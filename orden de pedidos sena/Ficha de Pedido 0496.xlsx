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71426053-5FEE-415F-BC02-13043C6B1F54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portacarnet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<sst xmlns="http://schemas.openxmlformats.org/spreadsheetml/2006/main" count="5009" uniqueCount="1391">
  <si>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</si>
  <si>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</si>
  <si>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</si>
  <si>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</si>
  <si>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</si>
  <si>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</si>
  <si>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</si>
  <si>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</si>
  <si>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</si>
  <si>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</si>
  <si>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</si>
  <si>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</si>
  <si>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</si>
  <si>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</si>
  <si>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</si>
  <si>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</si>
  <si>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</si>
  <si>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</si>
  <si>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</si>
  <si>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</si>
  <si>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</si>
  <si>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</si>
  <si>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</si>
  <si>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</si>
  <si>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</si>
  <si>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</si>
  <si>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</si>
  <si>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</si>
  <si>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</si>
  <si>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</si>
  <si>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</si>
  <si>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</si>
  <si>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</si>
  <si>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</si>
  <si>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</si>
  <si>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</si>
  <si>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</si>
  <si>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</si>
  <si>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</si>
  <si>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</si>
  <si>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</si>
  <si>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</si>
  <si>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</si>
  <si>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</si>
  <si>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</si>
  <si>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</si>
  <si>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</si>
  <si>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</si>
  <si>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</si>
  <si>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</si>
  <si>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</si>
  <si>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</si>
  <si>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</si>
  <si>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</si>
  <si>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</si>
  <si>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</si>
  <si>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</si>
  <si>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</si>
  <si>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</si>
  <si>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</si>
  <si>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</si>
  <si>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</si>
  <si>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</si>
  <si>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</si>
  <si>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</si>
  <si>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</si>
  <si>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</si>
  <si>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</si>
  <si>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</si>
  <si>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</si>
  <si>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</si>
  <si>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</si>
  <si>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</si>
  <si>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</si>
  <si>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</si>
  <si>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</si>
  <si>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</si>
  <si>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</si>
  <si>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</si>
  <si>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</si>
  <si>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</si>
  <si>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</si>
  <si>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</si>
  <si>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</si>
  <si>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</si>
  <si>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</si>
  <si>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</si>
  <si>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</si>
  <si>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</si>
  <si>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</si>
  <si>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</si>
  <si>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</si>
  <si>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</si>
  <si>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</si>
  <si>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</si>
  <si>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</si>
  <si>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</si>
  <si>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</si>
  <si>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</si>
  <si>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</si>
  <si>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</si>
  <si>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</si>
  <si>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</si>
  <si>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</si>
  <si>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</si>
  <si>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</si>
  <si>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</si>
  <si>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</si>
  <si>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</si>
  <si>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</si>
  <si>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</si>
  <si>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</si>
  <si>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</si>
  <si>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</si>
  <si>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</si>
  <si>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</si>
  <si>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</si>
  <si>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</si>
  <si>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</si>
  <si>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</si>
  <si>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</si>
  <si>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</si>
  <si>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</si>
  <si>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</si>
  <si>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</si>
  <si>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</si>
  <si>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</si>
  <si>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</si>
  <si>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</si>
  <si>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</si>
  <si>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</si>
  <si>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</si>
  <si>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</si>
  <si>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</si>
  <si>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</si>
  <si>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</si>
  <si>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</si>
  <si>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</si>
  <si>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</si>
  <si>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</si>
  <si>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</si>
  <si>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</si>
  <si>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</si>
  <si>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</si>
  <si>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</si>
  <si>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</si>
  <si>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</si>
  <si>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</si>
  <si>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</si>
  <si>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</si>
  <si>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</si>
  <si>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</si>
  <si>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</si>
  <si>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</si>
  <si>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</si>
  <si>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</si>
  <si>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</si>
  <si>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</si>
  <si>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</si>
  <si>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</si>
  <si>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</si>
  <si>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</si>
  <si>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</si>
  <si>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</si>
  <si>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</si>
  <si>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</si>
  <si>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</si>
  <si>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</si>
  <si>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</si>
  <si>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</si>
  <si>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</si>
  <si>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</si>
  <si>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</si>
  <si>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</si>
  <si>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</si>
  <si>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</si>
  <si>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</si>
  <si>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</si>
  <si>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</si>
  <si>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</si>
  <si>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</si>
  <si>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</si>
  <si>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</si>
  <si>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</si>
  <si>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</si>
  <si>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</si>
  <si>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</si>
  <si>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</si>
  <si>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</si>
  <si>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</si>
  <si>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</si>
  <si>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</si>
  <si>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</si>
  <si>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</si>
  <si>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</si>
  <si>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</si>
  <si>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</si>
  <si>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</si>
  <si>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</si>
  <si>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</si>
  <si>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</si>
  <si>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</si>
  <si>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</si>
  <si>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</si>
  <si>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</si>
  <si>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</si>
  <si>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</si>
  <si>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</si>
  <si>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</si>
  <si>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</si>
  <si>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</si>
  <si>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</si>
  <si>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</si>
  <si>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</si>
  <si>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</si>
  <si>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</si>
  <si>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</si>
  <si>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</si>
  <si>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</si>
  <si>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</si>
  <si>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</si>
  <si>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</si>
  <si>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</si>
  <si>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</si>
  <si>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</si>
  <si>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</si>
  <si>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</si>
  <si>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</si>
  <si>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</si>
  <si>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</si>
  <si>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</si>
  <si>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</si>
  <si>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</si>
  <si>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</si>
  <si>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</si>
  <si>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</si>
  <si>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</si>
  <si>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</si>
  <si>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</si>
  <si>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</si>
  <si>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</si>
  <si>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</si>
  <si>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</si>
  <si>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</si>
  <si>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</si>
  <si>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</si>
  <si>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</si>
  <si>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</si>
  <si>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</si>
  <si>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</si>
  <si>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</si>
  <si>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</si>
  <si>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</si>
  <si>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</si>
  <si>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</si>
  <si>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</si>
  <si>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</si>
  <si>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</si>
  <si>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</si>
  <si>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</si>
  <si>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</si>
  <si>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</si>
  <si>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</si>
  <si>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</si>
  <si>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</si>
  <si>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</si>
  <si>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</si>
  <si>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</si>
  <si>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</si>
  <si>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</si>
  <si>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</si>
  <si>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</si>
  <si>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</si>
  <si>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</si>
  <si>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</si>
  <si>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</si>
  <si>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</si>
  <si>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</si>
  <si>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</si>
  <si>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</si>
  <si>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</si>
  <si>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</si>
  <si>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</si>
  <si>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</si>
  <si>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</si>
  <si>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</si>
  <si>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</si>
  <si>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</si>
  <si>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</si>
  <si>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</si>
  <si>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</si>
  <si>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</si>
  <si>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</si>
  <si>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</si>
  <si>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</si>
  <si>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</si>
  <si>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</si>
  <si>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</si>
  <si>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</si>
  <si>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</si>
  <si>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</si>
  <si>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</si>
  <si>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</si>
  <si>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</si>
  <si>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</si>
  <si>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</si>
  <si>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</si>
  <si>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</si>
  <si>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</si>
  <si>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</si>
  <si>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</si>
  <si>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</si>
  <si>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</si>
  <si>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</si>
  <si>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</si>
  <si>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</si>
  <si>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</si>
  <si>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</si>
  <si>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</si>
  <si>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</si>
  <si>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</si>
  <si>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</si>
  <si>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</si>
  <si>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</si>
  <si>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</si>
  <si>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</si>
  <si>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</si>
  <si>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</si>
  <si>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</si>
  <si>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</si>
  <si>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</si>
  <si>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</si>
  <si>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</si>
  <si>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</si>
  <si>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</si>
  <si>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</si>
  <si>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</si>
  <si>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</si>
  <si>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</si>
  <si>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</si>
  <si>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</si>
  <si>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</si>
  <si>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</si>
  <si>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</si>
  <si>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</si>
  <si>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</si>
  <si>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</si>
  <si>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</si>
  <si>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</si>
  <si>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</si>
  <si>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</si>
  <si>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</si>
  <si>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</si>
  <si>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</si>
  <si>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</si>
  <si>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</si>
  <si>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</si>
  <si>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</si>
  <si>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</si>
  <si>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</si>
  <si>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</si>
  <si>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</si>
  <si>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</si>
  <si>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</si>
  <si>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</si>
  <si>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</si>
  <si>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</si>
  <si>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</si>
  <si>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</si>
  <si>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</si>
  <si>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</si>
  <si>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</si>
  <si>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</si>
  <si>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</si>
  <si>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</si>
  <si>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</si>
  <si>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</si>
  <si>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</si>
  <si>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</si>
  <si>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</si>
  <si>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</si>
  <si>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</si>
  <si>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</si>
  <si>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</si>
  <si>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</si>
  <si>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</si>
  <si>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</si>
  <si>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</si>
  <si>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</si>
  <si>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</si>
  <si>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</si>
  <si>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</si>
  <si>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</si>
  <si>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</si>
  <si>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</si>
  <si>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</si>
  <si>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</si>
  <si>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</si>
  <si>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</si>
  <si>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</si>
  <si>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</si>
  <si>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</si>
  <si>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</si>
  <si>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</si>
  <si>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</si>
  <si>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</si>
  <si>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</si>
  <si>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</si>
  <si>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</si>
  <si>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</si>
  <si>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</si>
  <si>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</si>
  <si>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</si>
  <si>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</si>
  <si>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</si>
  <si>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</si>
  <si>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</si>
  <si>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</si>
  <si>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</si>
  <si>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</si>
  <si>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</si>
  <si>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</si>
  <si>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</si>
  <si>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</si>
  <si>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</si>
  <si>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</si>
  <si>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</si>
  <si>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</si>
  <si>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</si>
  <si>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</si>
  <si>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</si>
  <si>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</si>
  <si>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</si>
  <si>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</si>
  <si>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</si>
  <si>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</si>
  <si>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</si>
  <si>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</si>
  <si>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</si>
  <si>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</si>
  <si>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</si>
  <si>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</si>
  <si>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</si>
  <si>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</si>
  <si>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</si>
  <si>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</si>
  <si>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</si>
  <si>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</si>
  <si>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</si>
  <si>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</si>
  <si>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</si>
  <si>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</si>
  <si>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</si>
  <si>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</si>
  <si>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</si>
  <si>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</si>
  <si>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</si>
  <si>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</si>
  <si>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</si>
  <si>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</si>
  <si>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</si>
  <si>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</si>
  <si>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</si>
  <si>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</si>
  <si>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</si>
  <si>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</si>
  <si>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</si>
  <si>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</si>
  <si>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</si>
  <si>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</si>
  <si>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</si>
  <si>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</si>
  <si>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</si>
  <si>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</si>
  <si>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</si>
  <si>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</si>
  <si>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</si>
  <si>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</si>
  <si>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</si>
  <si>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</si>
  <si>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</si>
  <si>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</si>
  <si>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</si>
  <si>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</si>
  <si>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</si>
  <si>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</si>
  <si>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</si>
  <si>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</si>
  <si>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</si>
  <si>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</si>
  <si>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</si>
  <si>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</si>
  <si>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</si>
  <si>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</si>
  <si>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</si>
  <si>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</si>
  <si>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</si>
  <si>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</si>
  <si>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</si>
  <si>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</si>
  <si>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</si>
  <si>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</si>
  <si>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</si>
  <si>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</si>
  <si>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</si>
  <si>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</si>
  <si>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</si>
  <si>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</si>
  <si>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</si>
  <si>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</si>
  <si>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</si>
  <si>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</si>
  <si>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</si>
  <si>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</si>
  <si>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</si>
  <si>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</si>
  <si>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</si>
  <si>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</si>
  <si>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</si>
  <si>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</si>
  <si>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</si>
  <si>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</si>
  <si>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</si>
  <si>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</si>
  <si>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</si>
  <si>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</si>
  <si>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</si>
  <si>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</si>
  <si>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</si>
  <si>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</si>
  <si>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</si>
  <si>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</si>
  <si>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</si>
  <si>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</si>
  <si>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</si>
  <si>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</si>
  <si>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</si>
  <si>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</si>
  <si>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</si>
  <si>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</si>
  <si>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</si>
  <si>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</si>
  <si>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</si>
  <si>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</si>
  <si>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</si>
  <si>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</si>
  <si>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</si>
  <si>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</si>
  <si>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</si>
  <si>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</si>
  <si>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</si>
  <si>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</si>
  <si>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</si>
  <si>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</si>
  <si>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</si>
  <si>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</si>
  <si>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</si>
  <si>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</si>
  <si>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</si>
  <si>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</si>
  <si>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</si>
  <si>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</si>
  <si>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</si>
  <si>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</si>
  <si>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</si>
  <si>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</si>
  <si>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</si>
  <si>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</si>
  <si>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</si>
  <si>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</si>
  <si>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</si>
  <si>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</si>
  <si>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</si>
  <si>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</si>
  <si>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</si>
  <si>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</si>
  <si>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</si>
  <si>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</si>
  <si>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</si>
  <si>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</si>
  <si>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</si>
  <si>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</si>
  <si>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</si>
  <si>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</si>
  <si>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</si>
  <si>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</si>
  <si>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</si>
  <si>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</si>
  <si>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</si>
  <si>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</si>
  <si>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</si>
  <si>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</si>
  <si>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</si>
  <si>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</si>
  <si>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</si>
  <si>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</si>
  <si>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</si>
  <si>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</si>
  <si>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</si>
  <si>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</si>
  <si>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</si>
  <si>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</si>
  <si>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</si>
  <si>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</si>
  <si>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</si>
  <si>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</si>
  <si>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</si>
  <si>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</si>
  <si>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</si>
  <si>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</si>
  <si>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</si>
  <si>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</si>
  <si>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</si>
  <si>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</si>
  <si>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</si>
  <si>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</si>
  <si>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</si>
  <si>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</si>
  <si>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</si>
  <si>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</si>
  <si>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</si>
  <si>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</si>
  <si>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</si>
  <si>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</si>
  <si>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</si>
  <si>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</si>
  <si>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</si>
  <si>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</si>
  <si>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</si>
  <si>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</si>
  <si>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</si>
  <si>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</si>
  <si>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</si>
  <si>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</si>
  <si>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</si>
  <si>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</si>
  <si>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</si>
  <si>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</si>
  <si>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</si>
  <si>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</si>
  <si>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</si>
  <si>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</si>
  <si>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</si>
  <si>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</si>
  <si>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</si>
  <si>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</si>
  <si>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</si>
  <si>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</si>
  <si>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</si>
  <si>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</si>
  <si>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</si>
  <si>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</si>
  <si>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</si>
  <si>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</si>
  <si>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</si>
  <si>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</si>
  <si>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</si>
  <si>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</si>
  <si>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</si>
  <si>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</si>
  <si>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</si>
  <si>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</si>
  <si>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</si>
  <si>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</si>
  <si>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</si>
  <si>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</si>
  <si>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</si>
  <si>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</si>
  <si>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</si>
  <si>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</si>
  <si>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</si>
  <si>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</si>
  <si>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</si>
  <si>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</si>
  <si>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</si>
  <si>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</si>
  <si>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</si>
  <si>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</si>
  <si>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</si>
  <si>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</si>
  <si>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</si>
  <si>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</si>
  <si>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</si>
  <si>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</si>
  <si>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</si>
  <si>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</si>
  <si>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</si>
  <si>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</si>
  <si>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</si>
  <si>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</si>
  <si>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</si>
  <si>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</si>
  <si>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</si>
  <si>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</si>
  <si>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</si>
  <si>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</si>
  <si>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</si>
  <si>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</si>
  <si>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</si>
  <si>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</si>
  <si>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</si>
  <si>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</si>
  <si>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</si>
  <si>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</si>
  <si>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</si>
  <si>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</si>
  <si>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</si>
  <si>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</si>
  <si>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</si>
  <si>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</si>
  <si>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</si>
  <si>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</si>
  <si>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</si>
  <si>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</si>
  <si>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</si>
  <si>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</si>
  <si>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</si>
  <si>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</si>
  <si>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</si>
  <si>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</si>
  <si>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</si>
  <si>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</si>
  <si>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</si>
  <si>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</si>
  <si>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</si>
  <si>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</si>
  <si>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</si>
  <si>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</si>
  <si>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</si>
  <si>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</si>
  <si>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</si>
  <si>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</si>
  <si>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</si>
  <si>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</si>
  <si>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</si>
  <si>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</si>
  <si>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</si>
  <si>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</si>
  <si>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</si>
  <si>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</si>
  <si>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</si>
  <si>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</si>
  <si>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</si>
  <si>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</si>
  <si>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</si>
  <si>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</si>
  <si>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</si>
  <si>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</si>
  <si>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</si>
  <si>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</si>
  <si>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</si>
  <si>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</si>
  <si>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</si>
  <si>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</si>
  <si>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</si>
  <si>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</si>
  <si>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</si>
  <si>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</si>
  <si>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</si>
  <si>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</si>
  <si>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</si>
  <si>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</si>
  <si>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</si>
  <si>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</si>
  <si>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</si>
  <si>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</si>
  <si>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</si>
  <si>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</si>
  <si>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</si>
  <si>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</si>
  <si>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</si>
  <si>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</si>
  <si>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</si>
  <si>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</si>
  <si>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</si>
  <si>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</si>
  <si>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</si>
  <si>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</si>
  <si>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</si>
  <si>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</si>
  <si>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</si>
  <si>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</si>
  <si>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</si>
  <si>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</si>
  <si>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</si>
  <si>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</si>
  <si>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</si>
  <si>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</si>
  <si>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</si>
  <si>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</si>
  <si>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</si>
  <si>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</si>
  <si>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</si>
  <si>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</si>
  <si>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</si>
  <si>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</si>
  <si>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</si>
  <si>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</si>
  <si>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</si>
  <si>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</si>
  <si>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</si>
  <si>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</si>
  <si>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</si>
  <si>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</si>
  <si>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</si>
  <si>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</si>
  <si>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</si>
  <si>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</si>
  <si>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</si>
  <si>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</si>
  <si>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</si>
  <si>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</si>
  <si>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</si>
  <si>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</si>
  <si>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</si>
  <si>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</si>
  <si>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</si>
  <si>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</si>
  <si>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</si>
  <si>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</si>
  <si>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</si>
  <si>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</si>
  <si>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</si>
  <si>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</si>
  <si>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</si>
  <si>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</si>
  <si>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</si>
  <si>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</si>
  <si>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</si>
  <si>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</si>
  <si>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</si>
  <si>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</si>
  <si>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</si>
  <si>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</si>
  <si>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</si>
  <si>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</si>
  <si>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</si>
  <si>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</si>
  <si>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</si>
  <si>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</si>
  <si>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</si>
  <si>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</si>
  <si>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</si>
  <si>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</si>
  <si>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</si>
  <si>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</si>
  <si>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</si>
  <si>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</si>
  <si>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</si>
  <si>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</si>
  <si>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</si>
  <si>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</si>
  <si>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</si>
  <si>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</si>
  <si>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</si>
  <si>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</si>
  <si>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</si>
  <si>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</si>
  <si>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</si>
  <si>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</si>
  <si>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</si>
  <si>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</si>
  <si>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</si>
  <si>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</si>
  <si>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</si>
  <si>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</si>
  <si>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</si>
  <si>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</si>
  <si>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</si>
  <si>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</si>
  <si>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</si>
  <si>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</si>
  <si>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</si>
  <si>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</si>
  <si>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</si>
  <si>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</si>
  <si>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</si>
  <si>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</si>
  <si>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</si>
  <si>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</si>
  <si>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</si>
  <si>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</si>
  <si>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</si>
  <si>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</si>
  <si>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</si>
  <si>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</si>
  <si>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</si>
  <si>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</si>
  <si>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</si>
  <si>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</si>
  <si>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</si>
  <si>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</si>
  <si>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</si>
  <si>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</si>
  <si>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</si>
  <si>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</si>
  <si>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</si>
  <si>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</si>
  <si>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</si>
  <si>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</si>
  <si>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</si>
  <si>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</si>
  <si>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</si>
  <si>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</si>
  <si>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</si>
  <si>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</si>
  <si>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</si>
  <si>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</si>
  <si>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</si>
  <si>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</si>
  <si>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</si>
  <si>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</si>
  <si>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</si>
  <si>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</si>
  <si>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</si>
  <si>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</si>
  <si>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</si>
  <si>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</si>
  <si>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</si>
  <si>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</si>
  <si>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</si>
  <si>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</si>
  <si>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</si>
  <si>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</si>
  <si>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</si>
  <si>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</si>
  <si>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</si>
  <si>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</si>
  <si>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</si>
  <si>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</si>
  <si>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</si>
  <si>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</si>
  <si>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</si>
  <si>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</si>
  <si>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</si>
  <si>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</si>
  <si>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</si>
  <si>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</si>
  <si>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</si>
  <si>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</si>
  <si>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</si>
  <si>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</si>
  <si>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</si>
  <si>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</si>
  <si>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</si>
  <si>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</si>
  <si>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</si>
  <si>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</si>
  <si>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</si>
  <si>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</si>
  <si>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</si>
  <si>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</si>
  <si>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</si>
  <si>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</si>
  <si>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</si>
  <si>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</si>
  <si>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</si>
  <si>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</si>
  <si>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</si>
  <si>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</si>
  <si>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</si>
  <si>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</si>
  <si>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</si>
  <si>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</si>
  <si>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</si>
  <si>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</si>
  <si>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</si>
  <si>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</si>
  <si>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</si>
  <si>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</si>
  <si>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</si>
  <si>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</si>
  <si>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</si>
  <si>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</si>
  <si>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</si>
  <si>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</si>
  <si>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</si>
  <si>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</si>
  <si>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</si>
  <si>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</si>
  <si>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</si>
  <si>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</si>
  <si>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</si>
  <si>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</si>
  <si>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</si>
  <si>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</si>
  <si>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</si>
  <si>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</si>
  <si>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</si>
  <si>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</si>
  <si>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</si>
  <si>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</si>
  <si>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</si>
  <si>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</si>
  <si>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</si>
  <si>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</si>
  <si>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</si>
  <si>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</si>
  <si>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</si>
  <si>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</si>
  <si>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</si>
  <si>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</si>
  <si>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</si>
  <si>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</si>
  <si>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</si>
  <si>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</si>
  <si>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</si>
  <si>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</si>
  <si>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</si>
  <si>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</si>
  <si>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</si>
  <si>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</si>
  <si>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</si>
  <si>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</si>
  <si>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</si>
  <si>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</si>
  <si>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</si>
  <si>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</si>
  <si>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</si>
  <si>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</si>
  <si>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</si>
  <si>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</si>
  <si>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</si>
  <si>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</si>
  <si>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</si>
  <si>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</si>
  <si>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</si>
  <si>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</si>
  <si>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</si>
  <si>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</si>
  <si>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</si>
  <si>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</si>
  <si>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</si>
  <si>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</si>
  <si>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</si>
  <si>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</si>
  <si>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</si>
  <si>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</si>
  <si>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</si>
  <si>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</si>
  <si>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</si>
  <si>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</si>
  <si>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</si>
  <si>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</si>
  <si>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</si>
  <si>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</si>
  <si>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</si>
  <si>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</si>
  <si>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</si>
  <si>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</si>
  <si>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</si>
  <si>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</si>
  <si>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</si>
  <si>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</si>
  <si>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</si>
  <si>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</si>
  <si>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</si>
  <si>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</si>
  <si>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</si>
  <si>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</si>
  <si>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</si>
  <si>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</si>
  <si>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</si>
  <si>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</si>
  <si>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</si>
  <si>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</si>
  <si>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</si>
  <si>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</si>
  <si>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</si>
  <si>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</si>
  <si>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</si>
  <si>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</si>
  <si>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</si>
  <si>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</si>
  <si>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</si>
  <si>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</si>
  <si>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</si>
  <si>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</si>
  <si>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</si>
  <si>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</si>
  <si>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</si>
  <si>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</si>
  <si>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</si>
  <si>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</si>
  <si>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</si>
  <si>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</si>
  <si>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</si>
  <si>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</si>
  <si>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</si>
  <si>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</si>
  <si>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</si>
  <si>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</si>
  <si>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</si>
  <si>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</si>
  <si>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</si>
  <si>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</si>
  <si>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</si>
  <si>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</si>
  <si>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</si>
  <si>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</si>
  <si>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</si>
  <si>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</si>
  <si>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</si>
  <si>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</si>
  <si>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</si>
  <si>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</si>
  <si>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</si>
  <si>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</si>
  <si>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</si>
  <si>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</si>
  <si>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</si>
  <si>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</si>
  <si>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</si>
  <si>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</si>
  <si>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</si>
  <si>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</si>
  <si>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</si>
  <si>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</si>
  <si>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</si>
  <si>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</si>
  <si>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</si>
  <si>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</si>
  <si>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</si>
  <si>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</si>
  <si>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</si>
  <si>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</si>
  <si>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</si>
  <si>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</si>
  <si>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</si>
  <si>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</si>
  <si>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</si>
  <si>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</si>
  <si>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</si>
  <si>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</si>
  <si>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</si>
  <si>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</si>
  <si>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</si>
  <si>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</si>
  <si>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</si>
  <si>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</si>
  <si>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</si>
  <si>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</si>
  <si>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</si>
  <si>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</si>
  <si>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</si>
  <si>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</si>
  <si>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</si>
  <si>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</si>
  <si>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</si>
  <si>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</si>
  <si>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</si>
  <si>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</si>
  <si>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</si>
  <si>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</si>
  <si>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</si>
  <si>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</si>
  <si>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</si>
  <si>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</si>
  <si>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</si>
  <si>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</si>
  <si>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</si>
  <si>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</si>
  <si>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</si>
  <si>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</si>
  <si>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</si>
  <si>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</si>
  <si>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</si>
  <si>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</si>
  <si>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</si>
  <si>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</si>
  <si>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</si>
  <si>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</si>
  <si>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</si>
  <si>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</si>
  <si>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</si>
  <si>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</si>
  <si>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</si>
  <si>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</si>
  <si>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</si>
  <si>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</si>
  <si>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</si>
  <si>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</si>
  <si>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</si>
  <si>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</si>
  <si>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</si>
  <si>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</si>
  <si>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</si>
  <si>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</si>
  <si>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</si>
  <si>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</si>
  <si>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</si>
  <si>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</si>
  <si>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</si>
  <si>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</si>
  <si>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</si>
  <si>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</si>
  <si>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</si>
  <si>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</si>
  <si>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</si>
  <si>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</si>
  <si>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</si>
  <si>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</si>
  <si>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</si>
  <si>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</si>
  <si>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</si>
  <si>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</si>
  <si>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</si>
  <si>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</si>
  <si>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</si>
  <si>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</si>
  <si>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</si>
  <si>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</si>
  <si>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</si>
  <si>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</si>
  <si>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</si>
  <si>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</si>
  <si>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</si>
  <si>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</si>
  <si>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</si>
  <si>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</si>
  <si>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</si>
  <si>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</si>
  <si>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</si>
  <si>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</si>
  <si>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</si>
  <si>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</si>
  <si>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</si>
  <si>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</si>
  <si>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</si>
  <si>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</si>
  <si>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</si>
  <si>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</si>
  <si>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</si>
  <si>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</si>
  <si>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</si>
  <si>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</si>
  <si>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</si>
  <si>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</si>
  <si>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</si>
  <si>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</si>
  <si>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</si>
  <si>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</si>
  <si>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</si>
  <si>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</si>
  <si>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</si>
  <si>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</si>
  <si>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</si>
  <si>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</si>
  <si>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</si>
  <si>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</si>
  <si>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</si>
  <si>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</si>
  <si>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</si>
  <si>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</si>
  <si>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</si>
  <si>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</si>
  <si>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</si>
  <si>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</si>
  <si>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</si>
  <si>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</si>
  <si>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</si>
  <si>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</si>
  <si>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</si>
  <si>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</si>
  <si>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</si>
  <si>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</si>
  <si>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</si>
  <si>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</si>
  <si>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</si>
  <si>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</si>
  <si>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</si>
  <si>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</si>
  <si>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</si>
  <si>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</si>
  <si>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</si>
  <si>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</si>
  <si>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</si>
  <si>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</si>
  <si>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</si>
  <si>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</si>
  <si>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</si>
  <si>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</si>
  <si>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</si>
  <si>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</si>
  <si>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</si>
  <si>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</si>
  <si>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</si>
  <si>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</si>
  <si>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</si>
  <si>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</si>
  <si>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</si>
  <si>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</si>
  <si>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</si>
  <si>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</si>
  <si>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</si>
  <si>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</si>
  <si>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</si>
  <si>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</si>
  <si>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</si>
  <si>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</si>
  <si>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</si>
  <si>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</si>
  <si>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</si>
  <si>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</si>
  <si>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</si>
  <si>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</si>
  <si>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</si>
  <si>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</si>
  <si>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</si>
  <si>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</si>
  <si>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</si>
  <si>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</si>
  <si>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</si>
  <si>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</si>
  <si>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</si>
  <si>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</si>
  <si>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</si>
  <si>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</si>
  <si>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</si>
  <si>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</si>
  <si>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</si>
  <si>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</si>
  <si>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</si>
  <si>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</si>
  <si>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</si>
  <si>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</si>
  <si>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</si>
  <si>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</si>
  <si>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</si>
  <si>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</si>
  <si>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</si>
  <si>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</si>
  <si>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</si>
  <si>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</si>
  <si>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</si>
  <si>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</si>
  <si>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</si>
  <si>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</si>
  <si>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</si>
  <si>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</si>
  <si>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</si>
  <si>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</si>
  <si>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</si>
  <si>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</si>
  <si>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</si>
  <si>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</si>
  <si>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</si>
  <si>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</si>
  <si>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</si>
  <si>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</si>
  <si>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</si>
  <si>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</si>
  <si>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</si>
  <si>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</si>
  <si>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</si>
  <si>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</si>
  <si>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</si>
  <si>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</si>
  <si>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</si>
  <si>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</si>
  <si>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</si>
  <si>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</si>
  <si>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</si>
  <si>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</si>
  <si>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</si>
  <si>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</si>
  <si>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</si>
  <si>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</si>
  <si>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</si>
  <si>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</si>
  <si>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</si>
  <si>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</si>
  <si>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</si>
  <si>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</si>
  <si>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</si>
  <si>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</si>
  <si>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</si>
  <si>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</si>
  <si>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</si>
  <si>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</si>
  <si>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</si>
  <si>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</si>
  <si>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</si>
  <si>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</si>
  <si>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</si>
  <si>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</si>
  <si>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</si>
  <si>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</si>
  <si>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</si>
  <si>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</si>
  <si>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VINILO PLASTICO TRANPARENTE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</si>
</sst>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323850</xdr:colOff>
      <xdr:row>0</xdr:row>
      <xdr:rowOff>0</xdr:rowOff>
    </xdr:from>
    <xdr:to>
      <xdr:col>24</xdr:col>
      <xdr:colOff>76200</xdr:colOff>
      <xdr:row>6</xdr:row>
      <xdr:rowOff>287268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1A2BC3-9899-4DA1-8145-275424E2D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7" t="19567" r="13025" b="6960"/>
        <a:stretch>
          <a:fillRect/>
        </a:stretch>
      </xdr:blipFill>
      <xdr:spPr>
        <a:xfrm>
          <a:off x="8201025" y="0"/>
          <a:ext cx="1495425" cy="20589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O4" sqref="O4:R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IF(E2="","",INDEX(Listas!H2:I30,MATCH(portacarnet!E2,Intructores,0),2))</f>
        <v>#N/A</v>
      </c>
      <c r="P2" s="322"/>
      <c r="Q2" s="322"/>
      <c r="R2" s="323"/>
      <c r="S2" s="397">
        <v>12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3371146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7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4291.7800000000007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64376.700000000012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0.5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IFERROR(IF(D10="","",INDEX(Tabla_Completa,MATCH(portacarnet!D10,Materiales,0),7)*S10),"")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IFERROR(IF(D11="","",INDEX(Tabla_Completa,MATCH(portacarnet!D11,Materiales,0),7)*S11),"")</f>
        <v>0</v>
      </c>
      <c r="X11" s="311"/>
      <c r="Y11" s="311"/>
    </row>
    <row r="12" spans="1:31" ht="15.75" customHeight="1">
      <c r="A12" s="298" t="s">
        <v>231</v>
      </c>
      <c r="B12" s="299"/>
      <c r="C12" s="300"/>
      <c r="D12" s="394" t="s">
        <v>246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m</v>
      </c>
      <c r="P12" s="305"/>
      <c r="Q12" s="306">
        <v>1</v>
      </c>
      <c r="R12" s="307"/>
      <c r="S12" s="308">
        <f t="shared" si="1"/>
        <v>15</v>
      </c>
      <c r="T12" s="309"/>
      <c r="U12" s="310"/>
      <c r="V12" s="310"/>
      <c r="W12" s="311">
        <f>IFERROR(IF(D12="","",INDEX(Tabla_Completa,MATCH(portacarnet!D12,Materiales,0),7)*S12),"")</f>
        <v>6150</v>
      </c>
      <c r="X12" s="311"/>
      <c r="Y12" s="311"/>
    </row>
    <row r="13" spans="1:31" ht="15.75" customHeight="1">
      <c r="A13" s="298" t="s">
        <v>39</v>
      </c>
      <c r="B13" s="299"/>
      <c r="C13" s="300"/>
      <c r="D13" s="390" t="s">
        <v>767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15</v>
      </c>
      <c r="T13" s="309"/>
      <c r="U13" s="310"/>
      <c r="V13" s="310"/>
      <c r="W13" s="311">
        <f>IFERROR(IF(D13="","",INDEX(Tabla_Completa,MATCH(portacarnet!D13,Materiales,0),7)*S13),"")</f>
        <v>58226.700000000004</v>
      </c>
      <c r="X13" s="311"/>
      <c r="Y13" s="311"/>
    </row>
    <row r="14" spans="1:31" ht="17.25" customHeight="1">
      <c r="A14" s="298"/>
      <c r="B14" s="299"/>
      <c r="C14" s="300"/>
      <c r="D14" s="390" t="s">
        <v>1390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>
        <v>4</v>
      </c>
      <c r="R14" s="307"/>
      <c r="S14" s="308">
        <f t="shared" si="1"/>
        <v>60</v>
      </c>
      <c r="T14" s="309"/>
      <c r="U14" s="310"/>
      <c r="V14" s="310"/>
      <c r="W14" s="311" t="str">
        <f>IFERROR(IF(D14="","",INDEX(Tabla_Completa,MATCH(portacarnet!D14,Materiales,0),7)*S14),"")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IFERROR(IF(D15="","",INDEX(Tabla_Completa,MATCH(portacarnet!D15,Materiales,0),7)*S15),"")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IFERROR(IF(D16="","",INDEX(Tabla_Completa,MATCH(portacarnet!D16,Materiales,0),7)*S16),"")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IFERROR(IF(D17="","",INDEX(Tabla_Completa,MATCH(portacarnet!D17,Materiales,0),7)*S17),"")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IFERROR(IF(D18="","",INDEX(Tabla_Completa,MATCH(portacarnet!D18,Materiales,0),7)*S18),"")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IFERROR(IF(D19="","",INDEX(Tabla_Completa,MATCH(portacarnet!D19,Materiales,0),7)*S19),"")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IFERROR(IF(D20="","",INDEX(Tabla_Completa,MATCH(portacarnet!D20,Materiales,0),7)*S20),"")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IFERROR(IF(D21="","",INDEX(Tabla_Completa,MATCH(portacarnet!D21,Materiales,0),7)*S21),"")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IFERROR(IF(D22="","",INDEX(Tabla_Completa,MATCH(portacarnet!D22,Materiales,0),7)*S22),"")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IFERROR(IF(D23="","",INDEX(Tabla_Completa,MATCH(portacarnet!D23,Materiales,0),7)*S23),"")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IFERROR(IF(D24="","",INDEX(Tabla_Completa,MATCH(portacarnet!D24,Materiales,0),7)*S24),"")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IFERROR(IF(D25="","",INDEX(Tabla_Completa,MATCH(portacarnet!D25,Materiales,0),7)*S25),"")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IFERROR(IF(D26="","",INDEX(Tabla_Completa,MATCH(portacarnet!D26,Materiales,0),7)*S26),"")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IFERROR(IF(D27="","",INDEX(Tabla_Completa,MATCH(portacarnet!D27,Materiales,0),7)*S27),"")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IFERROR(IF(D28="","",INDEX(Tabla_Completa,MATCH(portacarnet!D28,Materiales,0),7)*S28),"")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IFERROR(IF(D29="","",INDEX(Tabla_Completa,MATCH(portacarnet!D29,Materiales,0),7)*S29),"")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IFERROR(IF(D30="","",INDEX(Tabla_Completa,MATCH(portacarnet!D30,Materiales,0),7)*S30),"")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IFERROR(IF(D31="","",INDEX(Tabla_Completa,MATCH(portacarnet!D31,Materiales,0),7)*S31),"")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IF(portacarnet!O1="","",portacarnet!O1)</f>
        <v>45957</v>
      </c>
      <c r="O1" s="489"/>
      <c r="P1" s="427" t="s">
        <v>54</v>
      </c>
      <c r="Q1" s="428"/>
      <c r="R1" s="433" t="str">
        <f>IF(portacarnet!D4="","",portacarnet!D4)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portacarnet!F1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IF(portacarnet!O3="","",portacarnet!O3)</f>
        <v>3371146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IF(portacarnet!O4="","",portacarnet!O4)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IF(portacarnet!D5&lt;= 0,"",portacarnet!D5)</f>
        <v>4291.7800000000007</v>
      </c>
      <c r="C8" s="420"/>
      <c r="D8" s="421"/>
      <c r="E8" s="422" t="s">
        <v>61</v>
      </c>
      <c r="F8" s="423"/>
      <c r="G8" s="423"/>
      <c r="H8" s="423"/>
      <c r="I8" s="424"/>
      <c r="J8" s="425" t="str">
        <f>IF(portacarnet!E2="","",portacarnet!E2)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IFERROR(IF(portacarnet!D10="","",portacarnet!D10),"")</f>
        <v>Tinta marroquinera negra</v>
      </c>
      <c r="D12" s="407"/>
      <c r="E12" s="407"/>
      <c r="F12" s="407"/>
      <c r="G12" s="213" t="str">
        <f>IF(portacarnet!O10="","",portacarnet!O10)</f>
        <v>gal</v>
      </c>
      <c r="H12" s="213" cm="1">
        <f t="array" ref="H12">_xlfn.IFS(portacarnet!S10="","",portacarnet!S10&lt;=0,"",portacarnet!S10&gt;0,portacarnet!S10)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IFERROR(_xlfn.IFS(Q12&gt;0,"ENTREGADO",portacarnet!A10="HERRAMIENTAS_","DEVOLUTIVO"),"")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IFERROR(IF(portacarnet!D11="","",portacarnet!D11),"")</f>
        <v>Cemento de contacto</v>
      </c>
      <c r="D13" s="407"/>
      <c r="E13" s="407"/>
      <c r="F13" s="407"/>
      <c r="G13" s="213" t="str">
        <f>IF(portacarnet!O11="","",portacarnet!O11)</f>
        <v>gal</v>
      </c>
      <c r="H13" s="213" cm="1">
        <f t="array" ref="H13">_xlfn.IFS(portacarnet!S11="","",portacarnet!S11&lt;=0,"",portacarnet!S11&gt;0,portacarnet!S11)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IFERROR(_xlfn.IFS(Q13&gt;0,"ENTREGADO",portacarnet!A11="HERRAMIENTAS_","DEVOLUTIVO"),"")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IFERROR(IF(portacarnet!D12="","",portacarnet!D12),"")</f>
        <v>CINTA FALLA _RIBETE 18 mm  CON APRESTO #3</v>
      </c>
      <c r="D14" s="407"/>
      <c r="E14" s="407"/>
      <c r="F14" s="407"/>
      <c r="G14" s="213" t="str">
        <f>IF(portacarnet!O12="","",portacarnet!O12)</f>
        <v>m</v>
      </c>
      <c r="H14" s="213" cm="1">
        <f t="array" ref="H14">_xlfn.IFS(portacarnet!S12="","",portacarnet!S12&lt;=0,"",portacarnet!S12&gt;0,portacarnet!S12)</f>
        <v>15</v>
      </c>
      <c r="I14" s="214"/>
      <c r="J14" s="216"/>
      <c r="K14" s="197" cm="1">
        <f t="array" ref="K14">IFERROR(_xlfn.IFS(H14="","",J14=H14,"Cumplido",J14&lt;H14,H14-J14,J14&gt;H14,"Revisar"),"")</f>
        <v>15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IFERROR(_xlfn.IFS(Q14&gt;0,"ENTREGADO",portacarnet!A12="HERRAMIENTAS_","DEVOLUTIVO"),"")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IFERROR(IF(portacarnet!D13="","",portacarnet!D13),"")</f>
        <v>MOSQUETÓN LLAVERO NIQUELADO 3/8</v>
      </c>
      <c r="D15" s="407"/>
      <c r="E15" s="407"/>
      <c r="F15" s="407"/>
      <c r="G15" s="213" t="str">
        <f>IF(portacarnet!O13="","",portacarnet!O13)</f>
        <v>U</v>
      </c>
      <c r="H15" s="213" cm="1">
        <f t="array" ref="H15">_xlfn.IFS(portacarnet!S13="","",portacarnet!S13&lt;=0,"",portacarnet!S13&gt;0,portacarnet!S13)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IFERROR(_xlfn.IFS(Q15&gt;0,"ENTREGADO",portacarnet!A13="HERRAMIENTAS_","DEVOLUTIVO"),"")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IFERROR(IF(portacarnet!D14="","",portacarnet!D14),"")</f>
        <v>VINILO PLASTICO TRANPARENTE</v>
      </c>
      <c r="D16" s="407"/>
      <c r="E16" s="407"/>
      <c r="F16" s="407"/>
      <c r="G16" s="213" t="str">
        <f>IF(portacarnet!O14="","",portacarnet!O14)</f>
        <v/>
      </c>
      <c r="H16" s="213" cm="1">
        <f t="array" ref="H16">_xlfn.IFS(portacarnet!S14="","",portacarnet!S14&lt;=0,"",portacarnet!S14&gt;0,portacarnet!S14)</f>
        <v>60</v>
      </c>
      <c r="I16" s="214"/>
      <c r="J16" s="216"/>
      <c r="K16" s="197" cm="1">
        <f t="array" ref="K16">IFERROR(_xlfn.IFS(H16="","",J16=H16,"Cumplido",J16&lt;H16,H16-J16,J16&gt;H16,"Revisar"),"")</f>
        <v>60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IFERROR(_xlfn.IFS(Q16&gt;0,"ENTREGADO",portacarnet!A14="HERRAMIENTAS_","DEVOLUTIVO"),"")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IFERROR(IF(portacarnet!D15="","",portacarnet!D15),"")</f>
        <v/>
      </c>
      <c r="D17" s="407"/>
      <c r="E17" s="407"/>
      <c r="F17" s="407"/>
      <c r="G17" s="213" t="str">
        <f>IF(portacarnet!O15="","",portacarnet!O15)</f>
        <v/>
      </c>
      <c r="H17" s="213" t="str" cm="1">
        <f t="array" ref="H17">_xlfn.IFS(portacarnet!S15="","",portacarnet!S15&lt;=0,"",portacarnet!S15&gt;0,portacarnet!S15)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IFERROR(_xlfn.IFS(Q17&gt;0,"ENTREGADO",portacarnet!A15="HERRAMIENTAS_","DEVOLUTIVO"),"")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IFERROR(IF(portacarnet!D16="","",portacarnet!D16),"")</f>
        <v/>
      </c>
      <c r="D18" s="407"/>
      <c r="E18" s="407"/>
      <c r="F18" s="407"/>
      <c r="G18" s="213" t="str">
        <f>IF(portacarnet!O16="","",portacarnet!O16)</f>
        <v/>
      </c>
      <c r="H18" s="213" t="str" cm="1">
        <f t="array" ref="H18">_xlfn.IFS(portacarnet!S16="","",portacarnet!S16&lt;=0,"",portacarnet!S16&gt;0,portacarnet!S16)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IFERROR(_xlfn.IFS(Q18&gt;0,"ENTREGADO",portacarnet!A16="HERRAMIENTAS_","DEVOLUTIVO"),"")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IFERROR(IF(portacarnet!D17="","",portacarnet!D17),"")</f>
        <v/>
      </c>
      <c r="D19" s="407"/>
      <c r="E19" s="407"/>
      <c r="F19" s="407"/>
      <c r="G19" s="213" t="str">
        <f>IF(portacarnet!O17="","",portacarnet!O17)</f>
        <v/>
      </c>
      <c r="H19" s="213" t="str" cm="1">
        <f t="array" ref="H19">_xlfn.IFS(portacarnet!S17="","",portacarnet!S17&lt;=0,"",portacarnet!S17&gt;0,portacarnet!S17)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IFERROR(_xlfn.IFS(Q19&gt;0,"ENTREGADO",portacarnet!A17="HERRAMIENTAS_","DEVOLUTIVO"),"")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IFERROR(IF(portacarnet!D18="","",portacarnet!D18),"")</f>
        <v/>
      </c>
      <c r="D20" s="407"/>
      <c r="E20" s="407"/>
      <c r="F20" s="407"/>
      <c r="G20" s="213" t="str">
        <f>IF(portacarnet!O18="","",portacarnet!O18)</f>
        <v/>
      </c>
      <c r="H20" s="213" t="str" cm="1">
        <f t="array" ref="H20">_xlfn.IFS(portacarnet!S18="","",portacarnet!S18&lt;=0,"",portacarnet!S18&gt;0,portacarnet!S18)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IFERROR(_xlfn.IFS(Q20&gt;0,"ENTREGADO",portacarnet!A18="HERRAMIENTAS_","DEVOLUTIVO"),"")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IFERROR(IF(portacarnet!D19="","",portacarnet!D19),"")</f>
        <v/>
      </c>
      <c r="D21" s="407"/>
      <c r="E21" s="407"/>
      <c r="F21" s="407"/>
      <c r="G21" s="213" t="str">
        <f>IF(portacarnet!O19="","",portacarnet!O19)</f>
        <v/>
      </c>
      <c r="H21" s="213" t="str" cm="1">
        <f t="array" ref="H21">_xlfn.IFS(portacarnet!S19="","",portacarnet!S19&lt;=0,"",portacarnet!S19&gt;0,portacarnet!S19)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IFERROR(_xlfn.IFS(Q21&gt;0,"ENTREGADO",portacarnet!A19="HERRAMIENTAS_","DEVOLUTIVO"),"")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IFERROR(IF(portacarnet!D20="","",portacarnet!D20),"")</f>
        <v/>
      </c>
      <c r="D22" s="407"/>
      <c r="E22" s="407"/>
      <c r="F22" s="407"/>
      <c r="G22" s="213" t="str">
        <f>IF(portacarnet!O20="","",portacarnet!O20)</f>
        <v/>
      </c>
      <c r="H22" s="213" t="str" cm="1">
        <f t="array" ref="H22">_xlfn.IFS(portacarnet!S20="","",portacarnet!S20&lt;=0,"",portacarnet!S20&gt;0,portacarnet!S20)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IFERROR(_xlfn.IFS(Q22&gt;0,"ENTREGADO",portacarnet!A20="HERRAMIENTAS_","DEVOLUTIVO"),"")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IFERROR(IF(portacarnet!D21="","",portacarnet!D21),"")</f>
        <v/>
      </c>
      <c r="D23" s="407"/>
      <c r="E23" s="407"/>
      <c r="F23" s="407"/>
      <c r="G23" s="213" t="str">
        <f>IF(portacarnet!O21="","",portacarnet!O21)</f>
        <v/>
      </c>
      <c r="H23" s="213" t="str" cm="1">
        <f t="array" ref="H23">_xlfn.IFS(portacarnet!S21="","",portacarnet!S21&lt;=0,"",portacarnet!S21&gt;0,portacarnet!S21)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IFERROR(_xlfn.IFS(Q23&gt;0,"ENTREGADO",portacarnet!A21="HERRAMIENTAS_","DEVOLUTIVO"),"")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IFERROR(IF(portacarnet!D22="","",portacarnet!D22),"")</f>
        <v/>
      </c>
      <c r="D24" s="407"/>
      <c r="E24" s="407"/>
      <c r="F24" s="407"/>
      <c r="G24" s="213" t="str">
        <f>IF(portacarnet!O22="","",portacarnet!O22)</f>
        <v/>
      </c>
      <c r="H24" s="213" t="str" cm="1">
        <f t="array" ref="H24">_xlfn.IFS(portacarnet!S22="","",portacarnet!S22&lt;=0,"",portacarnet!S22&gt;0,portacarnet!S22)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IFERROR(_xlfn.IFS(Q24&gt;0,"ENTREGADO",portacarnet!A22="HERRAMIENTAS_","DEVOLUTIVO"),"")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IFERROR(IF(portacarnet!D23="","",portacarnet!D23),"")</f>
        <v/>
      </c>
      <c r="D25" s="407"/>
      <c r="E25" s="407"/>
      <c r="F25" s="407"/>
      <c r="G25" s="213" t="str">
        <f>IF(portacarnet!O23="","",portacarnet!O23)</f>
        <v/>
      </c>
      <c r="H25" s="213" t="str" cm="1">
        <f t="array" ref="H25">_xlfn.IFS(portacarnet!S23="","",portacarnet!S23&lt;=0,"",portacarnet!S23&gt;0,portacarnet!S23)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IFERROR(_xlfn.IFS(Q25&gt;0,"ENTREGADO",portacarnet!A23="HERRAMIENTAS_","DEVOLUTIVO"),"")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IFERROR(IF(portacarnet!D24="","",portacarnet!D24),"")</f>
        <v/>
      </c>
      <c r="D26" s="407"/>
      <c r="E26" s="407"/>
      <c r="F26" s="407"/>
      <c r="G26" s="213" t="str">
        <f>IF(portacarnet!O24="","",portacarnet!O24)</f>
        <v/>
      </c>
      <c r="H26" s="213" t="str" cm="1">
        <f t="array" ref="H26">_xlfn.IFS(portacarnet!S24="","",portacarnet!S24&lt;=0,"",portacarnet!S24&gt;0,portacarnet!S24)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IFERROR(_xlfn.IFS(Q26&gt;0,"ENTREGADO",portacarnet!A24="HERRAMIENTAS_","DEVOLUTIVO"),"")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IFERROR(IF(portacarnet!D25="","",portacarnet!D25),"")</f>
        <v/>
      </c>
      <c r="D27" s="407"/>
      <c r="E27" s="407"/>
      <c r="F27" s="407"/>
      <c r="G27" s="213" t="str">
        <f>IF(portacarnet!O25="","",portacarnet!O25)</f>
        <v/>
      </c>
      <c r="H27" s="213" t="str" cm="1">
        <f t="array" ref="H27">_xlfn.IFS(portacarnet!S25="","",portacarnet!S25&lt;=0,"",portacarnet!S25&gt;0,portacarnet!S25)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IFERROR(_xlfn.IFS(Q27&gt;0,"ENTREGADO",portacarnet!A25="HERRAMIENTAS_","DEVOLUTIVO"),"")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IFERROR(IF(portacarnet!D26="","",portacarnet!D26),"")</f>
        <v/>
      </c>
      <c r="D28" s="407"/>
      <c r="E28" s="407"/>
      <c r="F28" s="407"/>
      <c r="G28" s="213" t="str">
        <f>IF(portacarnet!O26="","",portacarnet!O26)</f>
        <v/>
      </c>
      <c r="H28" s="213" t="str" cm="1">
        <f t="array" ref="H28">_xlfn.IFS(portacarnet!S26="","",portacarnet!S26&lt;=0,"",portacarnet!S26&gt;0,portacarnet!S26)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IFERROR(_xlfn.IFS(Q28&gt;0,"ENTREGADO",portacarnet!A26="HERRAMIENTAS_","DEVOLUTIVO"),"")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IFERROR(IF(portacarnet!D27="","",portacarnet!D27),"")</f>
        <v/>
      </c>
      <c r="D29" s="407"/>
      <c r="E29" s="407"/>
      <c r="F29" s="407"/>
      <c r="G29" s="213" t="str">
        <f>IF(portacarnet!O27="","",portacarnet!O27)</f>
        <v/>
      </c>
      <c r="H29" s="213" t="str" cm="1">
        <f t="array" ref="H29">_xlfn.IFS(portacarnet!S27="","",portacarnet!S27&lt;=0,"",portacarnet!S27&gt;0,portacarnet!S27)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IFERROR(_xlfn.IFS(Q29&gt;0,"ENTREGADO",portacarnet!A27="HERRAMIENTAS_","DEVOLUTIVO"),"")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IFERROR(IF(portacarnet!D28="","",portacarnet!D28),"")</f>
        <v/>
      </c>
      <c r="D30" s="407"/>
      <c r="E30" s="407"/>
      <c r="F30" s="407"/>
      <c r="G30" s="213" t="str">
        <f>IF(portacarnet!O28="","",portacarnet!O28)</f>
        <v/>
      </c>
      <c r="H30" s="213" t="str" cm="1">
        <f t="array" ref="H30">_xlfn.IFS(portacarnet!S28="","",portacarnet!S28&lt;=0,"",portacarnet!S28&gt;0,portacarnet!S28)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IFERROR(_xlfn.IFS(Q30&gt;0,"ENTREGADO",portacarnet!A28="HERRAMIENTAS_","DEVOLUTIVO"),"")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IFERROR(IF(portacarnet!D29="","",portacarnet!D29),"")</f>
        <v/>
      </c>
      <c r="D31" s="407"/>
      <c r="E31" s="407"/>
      <c r="F31" s="407"/>
      <c r="G31" s="213" t="str">
        <f>IF(portacarnet!O29="","",portacarnet!O29)</f>
        <v/>
      </c>
      <c r="H31" s="213" t="str" cm="1">
        <f t="array" ref="H31">_xlfn.IFS(portacarnet!S29="","",portacarnet!S29&lt;=0,"",portacarnet!S29&gt;0,portacarnet!S29)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IFERROR(_xlfn.IFS(Q31&gt;0,"ENTREGADO",portacarnet!A29="HERRAMIENTAS_","DEVOLUTIVO"),"")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IFERROR(IF(portacarnet!D30="","",portacarnet!D30),"")</f>
        <v/>
      </c>
      <c r="D32" s="407"/>
      <c r="E32" s="407"/>
      <c r="F32" s="407"/>
      <c r="G32" s="213" t="str">
        <f>IF(portacarnet!O30="","",portacarnet!O30)</f>
        <v/>
      </c>
      <c r="H32" s="213" t="str" cm="1">
        <f t="array" ref="H32">_xlfn.IFS(portacarnet!S30="","",portacarnet!S30&lt;=0,"",portacarnet!S30&gt;0,portacarnet!S30)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IFERROR(_xlfn.IFS(Q32&gt;0,"ENTREGADO",portacarnet!A30="HERRAMIENTAS_","DEVOLUTIVO"),"")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portacarnet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