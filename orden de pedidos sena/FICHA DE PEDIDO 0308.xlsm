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4eafcdde7c3bc9e/SENA CDMC/2023 cdmc/septiembre/las flores/"/>
    </mc:Choice>
  </mc:AlternateContent>
  <xr:revisionPtr revIDLastSave="67" documentId="8_{9747F4D8-D1FC-7A40-8105-26372892F413}" xr6:coauthVersionLast="47" xr6:coauthVersionMax="47" xr10:uidLastSave="{438826F8-F2FF-0644-A530-ED5ACD0CBBD6}"/>
  <bookViews>
    <workbookView xWindow="0" yWindow="460" windowWidth="24040" windowHeight="1472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rgb="FF000000"/>
            <rFont val="Tahoma"/>
            <family val="2"/>
          </rPr>
          <t xml:space="preserve">Utilizar la combinación de teclas:
</t>
        </r>
        <r>
          <rPr>
            <sz val="9"/>
            <color rgb="FF000000"/>
            <rFont val="Tahoma"/>
            <family val="2"/>
          </rPr>
          <t xml:space="preserve">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rgb="FF000000"/>
            <rFont val="Tahoma"/>
            <family val="2"/>
          </rPr>
          <t xml:space="preserve">Diferenciar: como escribir en esas celdas;
</t>
        </r>
        <r>
          <rPr>
            <sz val="9"/>
            <color rgb="FF000000"/>
            <rFont val="Tahoma"/>
            <family val="2"/>
          </rPr>
          <t>Escribir con letras:</t>
        </r>
        <r>
          <rPr>
            <b/>
            <sz val="9"/>
            <color rgb="FF000000"/>
            <rFont val="Tahoma"/>
            <family val="2"/>
          </rPr>
          <t>Unidad:</t>
        </r>
        <r>
          <rPr>
            <sz val="9"/>
            <color rgb="FF000000"/>
            <rFont val="Tahoma"/>
            <family val="2"/>
          </rPr>
          <t xml:space="preserve"> Cuando  en  casilla  </t>
        </r>
        <r>
          <rPr>
            <b/>
            <sz val="9"/>
            <color rgb="FF000000"/>
            <rFont val="Tahoma"/>
            <family val="2"/>
          </rPr>
          <t>Cantidad a Producir</t>
        </r>
        <r>
          <rPr>
            <sz val="9"/>
            <color rgb="FF000000"/>
            <rFont val="Tahoma"/>
            <family val="2"/>
          </rPr>
          <t xml:space="preserve">  sea mayor a un solo producto, pero solo requiero 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unidad  </t>
        </r>
        <r>
          <rPr>
            <b/>
            <sz val="9"/>
            <color rgb="FF000000"/>
            <rFont val="Tahoma"/>
            <family val="2"/>
          </rPr>
          <t>para toda</t>
        </r>
        <r>
          <rPr>
            <sz val="9"/>
            <color rgb="FF000000"/>
            <rFont val="Tahoma"/>
            <family val="2"/>
          </rPr>
          <t xml:space="preserve"> la </t>
        </r>
        <r>
          <rPr>
            <b/>
            <sz val="9"/>
            <color rgb="FF000000"/>
            <rFont val="Tahoma"/>
            <family val="2"/>
          </rPr>
          <t xml:space="preserve">Cantidad a Producir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escribir 1:</t>
        </r>
        <r>
          <rPr>
            <sz val="9"/>
            <color rgb="FF000000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rgb="FF000000"/>
            <rFont val="Tahoma"/>
            <family val="2"/>
          </rPr>
          <t xml:space="preserve"> Cantidad a Producir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Nota: tambien puede utilizar faccionarios,(para hacer que una sola unidad se pueda pedir, aun teniendo en </t>
        </r>
        <r>
          <rPr>
            <b/>
            <sz val="9"/>
            <color rgb="FF000000"/>
            <rFont val="Tahoma"/>
            <family val="2"/>
          </rPr>
          <t xml:space="preserve">Cantidad a Producir </t>
        </r>
        <r>
          <rPr>
            <sz val="9"/>
            <color rgb="FF000000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Verifique</t>
        </r>
        <r>
          <rPr>
            <sz val="9"/>
            <color rgb="FF000000"/>
            <rFont val="Tahoma"/>
            <family val="2"/>
          </rPr>
          <t xml:space="preserve">  el  porcentaje  a aumentar por  </t>
        </r>
        <r>
          <rPr>
            <b/>
            <sz val="9"/>
            <color rgb="FF000000"/>
            <rFont val="Tahoma"/>
            <family val="2"/>
          </rPr>
          <t>DESTROZO</t>
        </r>
        <r>
          <rPr>
            <sz val="9"/>
            <color rgb="FF000000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rgb="FF000000"/>
            <rFont val="Tahoma"/>
            <family val="2"/>
          </rPr>
          <t xml:space="preserve">CANTIDAD PEDIDA </t>
        </r>
        <r>
          <rPr>
            <sz val="9"/>
            <color rgb="FF000000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rgb="FF000000"/>
            <rFont val="Tahoma"/>
            <family val="2"/>
          </rPr>
          <t>Nikkel: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Digite este dato Para solicitar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rgb="FF000000"/>
            <rFont val="Tahoma"/>
            <family val="2"/>
          </rPr>
          <t xml:space="preserve">Cantidad Pedida para: </t>
        </r>
        <r>
          <rPr>
            <b/>
            <i/>
            <sz val="8"/>
            <color rgb="FF000000"/>
            <rFont val="Tahoma"/>
            <family val="2"/>
          </rPr>
          <t>( esto es proporcionalidad)</t>
        </r>
        <r>
          <rPr>
            <b/>
            <i/>
            <sz val="9"/>
            <color rgb="FF000000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rgb="FF000000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<sst xmlns="http://schemas.openxmlformats.org/spreadsheetml/2006/main" count="5060" uniqueCount="1393">
  <si>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</si>
  <si>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</si>
  <si>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</si>
  <si>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</si>
  <si>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</si>
  <si>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</si>
  <si>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Juliana Romero Galvis</t>
  </si>
  <si>
    <t>CÉDULA</t>
  </si>
  <si>
    <t>PROGRAMA</t>
  </si>
  <si>
    <t>COMPLEMENTARIO MARROQUINERIA</t>
  </si>
  <si>
    <t>FICHA(#)</t>
  </si>
  <si>
    <t>NOMBRE DEL PRODUCTO</t>
  </si>
  <si>
    <t>BOLSO  BUCKET PARA CRUZAR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</si>
  <si>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</si>
  <si>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</si>
  <si>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</si>
  <si>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</si>
  <si>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</si>
  <si>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</si>
  <si>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</si>
  <si>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</si>
  <si>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</si>
  <si>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</si>
  <si>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</si>
  <si>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</si>
  <si>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</si>
  <si>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</si>
  <si>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</si>
  <si>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Colores Surtidos</t>
  </si>
  <si>
    <t>SiNTETICOS_TEXTILES</t>
  </si>
  <si>
    <t>FORRO MARROQUINERO DE POLIÉSTER</t>
  </si>
  <si>
    <t>Café</t>
  </si>
  <si>
    <t>HERRAJES</t>
  </si>
  <si>
    <t xml:space="preserve">CUADRANTE 1" PAVÓN </t>
  </si>
  <si>
    <t>INSUMOS_COMPL_</t>
  </si>
  <si>
    <t xml:space="preserve">CARTULINA PLANA </t>
  </si>
  <si>
    <t>CINTA  DE ENMASCARAR</t>
  </si>
  <si>
    <t>SECUNDARIO_MEDULAR</t>
  </si>
  <si>
    <t xml:space="preserve">HILO ENCERADO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</si>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</sst>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8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b/>
      <i/>
      <sz val="9"/>
      <color rgb="FF000000"/>
      <name val="Tahoma"/>
      <family val="2"/>
    </font>
    <font>
      <b/>
      <i/>
      <sz val="8"/>
      <color rgb="FF000000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7" fillId="0" borderId="0"/>
    <xf numFmtId="0" fontId="27" fillId="0" borderId="0"/>
    <xf numFmtId="0" fontId="1" fillId="23" borderId="5" applyNumberFormat="0" applyFont="0" applyAlignment="0" applyProtection="0"/>
    <xf numFmtId="9" fontId="25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6" fontId="25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28" fillId="27" borderId="11" xfId="36" applyFont="1" applyFill="1" applyBorder="1" applyAlignment="1">
      <alignment horizontal="center" vertical="center" wrapText="1"/>
    </xf>
    <xf numFmtId="168" fontId="26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29" fillId="29" borderId="0" xfId="0" applyFont="1" applyFill="1" applyAlignment="1">
      <alignment horizontal="center" wrapText="1"/>
    </xf>
    <xf numFmtId="0" fontId="31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29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2" fillId="0" borderId="39" xfId="35" applyFont="1" applyBorder="1" applyAlignment="1">
      <alignment vertical="center"/>
    </xf>
    <xf numFmtId="0" fontId="32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1" fontId="35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 applyAlignment="1">
      <alignment horizontal="center"/>
    </xf>
    <xf numFmtId="0" fontId="38" fillId="0" borderId="0" xfId="0" applyFont="1"/>
    <xf numFmtId="0" fontId="0" fillId="25" borderId="11" xfId="0" applyFill="1" applyBorder="1" applyAlignment="1">
      <alignment vertical="top" wrapText="1"/>
    </xf>
    <xf numFmtId="0" fontId="39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6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28" fillId="32" borderId="11" xfId="32" applyNumberFormat="1" applyFont="1" applyFill="1" applyBorder="1" applyAlignment="1">
      <alignment horizontal="right" vertical="center" wrapText="1"/>
    </xf>
    <xf numFmtId="171" fontId="25" fillId="25" borderId="0" xfId="32" applyNumberFormat="1" applyFont="1" applyFill="1" applyAlignment="1">
      <alignment horizontal="right"/>
    </xf>
    <xf numFmtId="171" fontId="34" fillId="27" borderId="11" xfId="41" applyNumberFormat="1" applyFont="1" applyFill="1" applyBorder="1" applyAlignment="1">
      <alignment horizontal="right"/>
    </xf>
    <xf numFmtId="171" fontId="28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0" fillId="27" borderId="11" xfId="41" applyFont="1" applyFill="1" applyBorder="1" applyAlignment="1">
      <alignment horizontal="center" vertical="top"/>
    </xf>
    <xf numFmtId="0" fontId="40" fillId="27" borderId="11" xfId="41" applyFont="1" applyFill="1" applyBorder="1" applyAlignment="1">
      <alignment horizontal="center"/>
    </xf>
    <xf numFmtId="171" fontId="42" fillId="24" borderId="11" xfId="41" applyNumberFormat="1" applyFont="1" applyFill="1" applyBorder="1" applyAlignment="1">
      <alignment horizontal="right"/>
    </xf>
    <xf numFmtId="0" fontId="34" fillId="27" borderId="11" xfId="41" applyFont="1" applyFill="1" applyBorder="1" applyAlignment="1">
      <alignment horizontal="center" vertical="top"/>
    </xf>
    <xf numFmtId="0" fontId="34" fillId="27" borderId="11" xfId="41" applyFont="1" applyFill="1" applyBorder="1" applyAlignment="1">
      <alignment horizontal="center"/>
    </xf>
    <xf numFmtId="171" fontId="43" fillId="28" borderId="11" xfId="32" applyNumberFormat="1" applyFont="1" applyFill="1" applyBorder="1" applyAlignment="1">
      <alignment horizontal="right" vertical="center" wrapText="1"/>
    </xf>
    <xf numFmtId="171" fontId="44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7" fillId="25" borderId="45" xfId="32" applyNumberFormat="1" applyFont="1" applyFill="1" applyBorder="1" applyAlignment="1">
      <alignment horizontal="center" vertical="center" wrapText="1"/>
    </xf>
    <xf numFmtId="0" fontId="47" fillId="30" borderId="45" xfId="0" applyFont="1" applyFill="1" applyBorder="1" applyAlignment="1">
      <alignment horizontal="center" vertical="center" wrapText="1"/>
    </xf>
    <xf numFmtId="1" fontId="30" fillId="34" borderId="45" xfId="0" applyNumberFormat="1" applyFont="1" applyFill="1" applyBorder="1" applyAlignment="1">
      <alignment horizontal="center" vertical="center" wrapText="1"/>
    </xf>
    <xf numFmtId="171" fontId="28" fillId="32" borderId="37" xfId="32" applyNumberFormat="1" applyFont="1" applyFill="1" applyBorder="1" applyAlignment="1">
      <alignment horizontal="right" vertical="center" wrapText="1"/>
    </xf>
    <xf numFmtId="0" fontId="28" fillId="27" borderId="37" xfId="36" applyFont="1" applyFill="1" applyBorder="1" applyAlignment="1">
      <alignment horizontal="center" vertical="center" wrapText="1"/>
    </xf>
    <xf numFmtId="1" fontId="47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5" fillId="33" borderId="43" xfId="0" applyFont="1" applyFill="1" applyBorder="1" applyAlignment="1">
      <alignment horizontal="center" vertical="center"/>
    </xf>
    <xf numFmtId="0" fontId="46" fillId="30" borderId="43" xfId="0" applyFont="1" applyFill="1" applyBorder="1" applyAlignment="1">
      <alignment horizontal="center" vertical="top" wrapText="1"/>
    </xf>
    <xf numFmtId="0" fontId="48" fillId="36" borderId="46" xfId="0" applyFont="1" applyFill="1" applyBorder="1" applyAlignment="1">
      <alignment horizontal="center" vertical="center"/>
    </xf>
    <xf numFmtId="171" fontId="47" fillId="25" borderId="43" xfId="32" applyNumberFormat="1" applyFont="1" applyFill="1" applyBorder="1" applyAlignment="1">
      <alignment horizontal="center" vertical="center" wrapText="1"/>
    </xf>
    <xf numFmtId="0" fontId="46" fillId="30" borderId="43" xfId="0" applyFont="1" applyFill="1" applyBorder="1" applyAlignment="1">
      <alignment horizontal="center" vertical="center" wrapText="1"/>
    </xf>
    <xf numFmtId="0" fontId="47" fillId="30" borderId="43" xfId="0" applyFont="1" applyFill="1" applyBorder="1" applyAlignment="1">
      <alignment horizontal="center" vertical="center" wrapText="1"/>
    </xf>
    <xf numFmtId="1" fontId="30" fillId="34" borderId="43" xfId="0" applyNumberFormat="1" applyFont="1" applyFill="1" applyBorder="1" applyAlignment="1">
      <alignment horizontal="center" vertical="center" wrapText="1"/>
    </xf>
    <xf numFmtId="168" fontId="47" fillId="25" borderId="10" xfId="32" applyNumberFormat="1" applyFont="1" applyFill="1" applyBorder="1" applyAlignment="1">
      <alignment horizontal="center" vertical="center" wrapText="1"/>
    </xf>
    <xf numFmtId="1" fontId="47" fillId="35" borderId="43" xfId="0" applyNumberFormat="1" applyFont="1" applyFill="1" applyBorder="1" applyAlignment="1">
      <alignment horizontal="center" vertical="center" wrapText="1"/>
    </xf>
    <xf numFmtId="1" fontId="47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7" fillId="0" borderId="15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0" fillId="31" borderId="0" xfId="0" applyFill="1"/>
    <xf numFmtId="0" fontId="36" fillId="31" borderId="0" xfId="0" applyFont="1" applyFill="1" applyAlignment="1">
      <alignment horizontal="center" vertical="center"/>
    </xf>
    <xf numFmtId="168" fontId="47" fillId="25" borderId="11" xfId="32" applyNumberFormat="1" applyFont="1" applyFill="1" applyBorder="1" applyAlignment="1">
      <alignment horizontal="center" vertical="center" wrapText="1"/>
    </xf>
    <xf numFmtId="1" fontId="47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28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1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7" fillId="25" borderId="19" xfId="32" applyNumberFormat="1" applyFont="1" applyFill="1" applyBorder="1" applyAlignment="1">
      <alignment horizontal="center" vertical="center" wrapText="1"/>
    </xf>
    <xf numFmtId="168" fontId="47" fillId="25" borderId="51" xfId="32" applyNumberFormat="1" applyFont="1" applyFill="1" applyBorder="1" applyAlignment="1">
      <alignment horizontal="center" vertical="center" wrapText="1"/>
    </xf>
    <xf numFmtId="0" fontId="44" fillId="24" borderId="11" xfId="0" applyFont="1" applyFill="1" applyBorder="1" applyAlignment="1">
      <alignment horizontal="center" wrapText="1"/>
    </xf>
    <xf numFmtId="171" fontId="25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4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39" fillId="30" borderId="10" xfId="0" applyFont="1" applyFill="1" applyBorder="1" applyAlignment="1">
      <alignment horizontal="center"/>
    </xf>
    <xf numFmtId="0" fontId="44" fillId="38" borderId="18" xfId="0" applyFont="1" applyFill="1" applyBorder="1" applyAlignment="1">
      <alignment wrapText="1"/>
    </xf>
    <xf numFmtId="0" fontId="45" fillId="33" borderId="0" xfId="0" applyFont="1" applyFill="1" applyAlignment="1">
      <alignment horizontal="center" vertical="center"/>
    </xf>
    <xf numFmtId="0" fontId="46" fillId="30" borderId="19" xfId="0" applyFont="1" applyFill="1" applyBorder="1" applyAlignment="1">
      <alignment horizontal="center" vertical="top" wrapText="1"/>
    </xf>
    <xf numFmtId="0" fontId="47" fillId="30" borderId="19" xfId="0" applyFont="1" applyFill="1" applyBorder="1" applyAlignment="1">
      <alignment horizontal="center" vertical="center" wrapText="1"/>
    </xf>
    <xf numFmtId="1" fontId="30" fillId="34" borderId="19" xfId="0" applyNumberFormat="1" applyFont="1" applyFill="1" applyBorder="1" applyAlignment="1">
      <alignment horizontal="center" vertical="center" wrapText="1"/>
    </xf>
    <xf numFmtId="1" fontId="47" fillId="35" borderId="52" xfId="0" applyNumberFormat="1" applyFont="1" applyFill="1" applyBorder="1" applyAlignment="1">
      <alignment horizontal="center" vertical="center" wrapText="1"/>
    </xf>
    <xf numFmtId="1" fontId="31" fillId="39" borderId="21" xfId="0" applyNumberFormat="1" applyFont="1" applyFill="1" applyBorder="1" applyAlignment="1" applyProtection="1">
      <alignment horizontal="center" vertical="center"/>
      <protection locked="0"/>
    </xf>
    <xf numFmtId="169" fontId="33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49" fillId="42" borderId="12" xfId="0" applyFont="1" applyFill="1" applyBorder="1" applyAlignment="1">
      <alignment horizontal="center" vertical="center" wrapText="1"/>
    </xf>
    <xf numFmtId="0" fontId="38" fillId="0" borderId="0" xfId="0" applyFont="1" applyAlignment="1">
      <alignment wrapText="1"/>
    </xf>
    <xf numFmtId="0" fontId="49" fillId="33" borderId="17" xfId="0" applyFont="1" applyFill="1" applyBorder="1" applyAlignment="1">
      <alignment horizontal="center" vertical="center" wrapText="1"/>
    </xf>
    <xf numFmtId="0" fontId="50" fillId="31" borderId="0" xfId="0" applyFont="1" applyFill="1"/>
    <xf numFmtId="0" fontId="51" fillId="45" borderId="12" xfId="0" applyFont="1" applyFill="1" applyBorder="1" applyAlignment="1">
      <alignment horizontal="center" vertical="center"/>
    </xf>
    <xf numFmtId="0" fontId="51" fillId="46" borderId="12" xfId="0" applyFont="1" applyFill="1" applyBorder="1" applyAlignment="1">
      <alignment horizontal="center" vertical="center"/>
    </xf>
    <xf numFmtId="0" fontId="48" fillId="46" borderId="12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168" fontId="47" fillId="25" borderId="0" xfId="32" applyNumberFormat="1" applyFont="1" applyFill="1" applyBorder="1" applyAlignment="1">
      <alignment horizontal="center" vertical="center" wrapText="1"/>
    </xf>
    <xf numFmtId="0" fontId="45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48" fillId="48" borderId="19" xfId="0" applyFont="1" applyFill="1" applyBorder="1" applyAlignment="1">
      <alignment horizontal="center" vertical="center"/>
    </xf>
    <xf numFmtId="0" fontId="53" fillId="47" borderId="0" xfId="0" applyFont="1" applyFill="1" applyAlignment="1">
      <alignment horizontal="center" vertical="center"/>
    </xf>
    <xf numFmtId="0" fontId="48" fillId="49" borderId="19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8" fillId="51" borderId="19" xfId="0" applyFont="1" applyFill="1" applyBorder="1" applyAlignment="1">
      <alignment horizontal="center" vertical="center"/>
    </xf>
    <xf numFmtId="0" fontId="51" fillId="53" borderId="0" xfId="0" applyFont="1" applyFill="1" applyAlignment="1">
      <alignment horizontal="center" vertical="center"/>
    </xf>
    <xf numFmtId="0" fontId="53" fillId="54" borderId="12" xfId="0" applyFont="1" applyFill="1" applyBorder="1" applyAlignment="1">
      <alignment horizontal="center" vertical="center"/>
    </xf>
    <xf numFmtId="0" fontId="48" fillId="55" borderId="19" xfId="0" applyFont="1" applyFill="1" applyBorder="1" applyAlignment="1">
      <alignment horizontal="center" vertical="center"/>
    </xf>
    <xf numFmtId="0" fontId="53" fillId="56" borderId="0" xfId="0" applyFont="1" applyFill="1" applyAlignment="1">
      <alignment horizontal="center" vertical="center"/>
    </xf>
    <xf numFmtId="0" fontId="53" fillId="58" borderId="0" xfId="0" applyFont="1" applyFill="1" applyAlignment="1">
      <alignment horizontal="center" vertical="center"/>
    </xf>
    <xf numFmtId="0" fontId="53" fillId="60" borderId="0" xfId="0" applyFont="1" applyFill="1" applyAlignment="1">
      <alignment horizontal="center" vertical="center"/>
    </xf>
    <xf numFmtId="0" fontId="52" fillId="60" borderId="25" xfId="0" applyFont="1" applyFill="1" applyBorder="1" applyAlignment="1">
      <alignment horizontal="center" vertical="center"/>
    </xf>
    <xf numFmtId="0" fontId="48" fillId="61" borderId="42" xfId="0" applyFont="1" applyFill="1" applyBorder="1" applyAlignment="1">
      <alignment horizontal="center" vertical="center"/>
    </xf>
    <xf numFmtId="168" fontId="47" fillId="25" borderId="53" xfId="32" applyNumberFormat="1" applyFont="1" applyFill="1" applyBorder="1" applyAlignment="1">
      <alignment horizontal="center" vertical="center" wrapText="1"/>
    </xf>
    <xf numFmtId="0" fontId="46" fillId="30" borderId="46" xfId="0" applyFont="1" applyFill="1" applyBorder="1" applyAlignment="1">
      <alignment horizontal="center" vertical="top" wrapText="1"/>
    </xf>
    <xf numFmtId="0" fontId="48" fillId="36" borderId="54" xfId="0" applyFont="1" applyFill="1" applyBorder="1" applyAlignment="1">
      <alignment horizontal="center" vertical="center"/>
    </xf>
    <xf numFmtId="0" fontId="53" fillId="62" borderId="12" xfId="0" applyFont="1" applyFill="1" applyBorder="1" applyAlignment="1">
      <alignment horizontal="center" vertical="center"/>
    </xf>
    <xf numFmtId="0" fontId="53" fillId="63" borderId="0" xfId="0" applyFont="1" applyFill="1" applyAlignment="1">
      <alignment horizontal="center" vertical="center"/>
    </xf>
    <xf numFmtId="0" fontId="48" fillId="64" borderId="26" xfId="0" applyFont="1" applyFill="1" applyBorder="1" applyAlignment="1">
      <alignment horizontal="center" vertical="center"/>
    </xf>
    <xf numFmtId="0" fontId="55" fillId="30" borderId="37" xfId="0" applyFont="1" applyFill="1" applyBorder="1" applyAlignment="1">
      <alignment horizontal="center"/>
    </xf>
    <xf numFmtId="171" fontId="28" fillId="32" borderId="19" xfId="32" applyNumberFormat="1" applyFont="1" applyFill="1" applyBorder="1" applyAlignment="1">
      <alignment horizontal="right" vertical="center" wrapText="1"/>
    </xf>
    <xf numFmtId="0" fontId="28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4" fillId="27" borderId="19" xfId="41" applyFont="1" applyFill="1" applyBorder="1" applyAlignment="1">
      <alignment horizontal="center" vertical="top"/>
    </xf>
    <xf numFmtId="171" fontId="42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5" fillId="0" borderId="11" xfId="41" applyFont="1" applyBorder="1" applyAlignment="1">
      <alignment vertical="top" wrapText="1"/>
    </xf>
    <xf numFmtId="0" fontId="25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28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39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28" fillId="0" borderId="0" xfId="32" applyNumberFormat="1" applyFont="1" applyFill="1" applyBorder="1" applyAlignment="1">
      <alignment horizontal="right" vertical="center" wrapText="1"/>
    </xf>
    <xf numFmtId="168" fontId="26" fillId="0" borderId="0" xfId="0" applyNumberFormat="1" applyFont="1" applyAlignment="1">
      <alignment horizontal="center" vertical="center"/>
    </xf>
    <xf numFmtId="0" fontId="28" fillId="0" borderId="0" xfId="36" applyFont="1" applyAlignment="1">
      <alignment horizontal="center" vertical="center" wrapText="1"/>
    </xf>
    <xf numFmtId="0" fontId="66" fillId="30" borderId="42" xfId="0" applyFont="1" applyFill="1" applyBorder="1" applyAlignment="1">
      <alignment horizontal="center"/>
    </xf>
    <xf numFmtId="0" fontId="39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28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28" fillId="27" borderId="10" xfId="36" applyFont="1" applyFill="1" applyBorder="1" applyAlignment="1">
      <alignment horizontal="center" vertical="center" wrapText="1"/>
    </xf>
    <xf numFmtId="0" fontId="28" fillId="27" borderId="12" xfId="36" applyFont="1" applyFill="1" applyBorder="1" applyAlignment="1">
      <alignment horizontal="center" vertical="center" wrapText="1"/>
    </xf>
    <xf numFmtId="0" fontId="34" fillId="0" borderId="19" xfId="41" applyFont="1" applyBorder="1" applyAlignment="1">
      <alignment horizontal="center" vertical="top"/>
    </xf>
    <xf numFmtId="171" fontId="34" fillId="0" borderId="19" xfId="41" applyNumberFormat="1" applyFont="1" applyBorder="1" applyAlignment="1">
      <alignment horizontal="right"/>
    </xf>
    <xf numFmtId="0" fontId="40" fillId="0" borderId="11" xfId="41" applyFont="1" applyBorder="1" applyAlignment="1">
      <alignment horizontal="center"/>
    </xf>
    <xf numFmtId="0" fontId="28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48" fillId="52" borderId="42" xfId="0" applyFont="1" applyFill="1" applyBorder="1" applyAlignment="1">
      <alignment horizontal="center" vertical="center"/>
    </xf>
    <xf numFmtId="1" fontId="30" fillId="34" borderId="59" xfId="0" applyNumberFormat="1" applyFont="1" applyFill="1" applyBorder="1" applyAlignment="1">
      <alignment horizontal="center" vertical="center" wrapText="1"/>
    </xf>
    <xf numFmtId="0" fontId="28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7" fillId="45" borderId="12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61" fillId="30" borderId="43" xfId="0" applyFont="1" applyFill="1" applyBorder="1" applyAlignment="1">
      <alignment horizontal="center" vertical="center" wrapText="1"/>
    </xf>
    <xf numFmtId="0" fontId="28" fillId="26" borderId="11" xfId="0" applyFont="1" applyFill="1" applyBorder="1" applyAlignment="1">
      <alignment horizontal="center" vertical="center"/>
    </xf>
    <xf numFmtId="0" fontId="28" fillId="0" borderId="0" xfId="0" applyFont="1"/>
    <xf numFmtId="0" fontId="28" fillId="31" borderId="0" xfId="0" applyFont="1" applyFill="1"/>
    <xf numFmtId="0" fontId="28" fillId="26" borderId="37" xfId="0" applyFont="1" applyFill="1" applyBorder="1" applyAlignment="1">
      <alignment horizontal="center" vertical="center"/>
    </xf>
    <xf numFmtId="0" fontId="28" fillId="26" borderId="12" xfId="0" applyFont="1" applyFill="1" applyBorder="1" applyAlignment="1">
      <alignment horizontal="center" vertical="center"/>
    </xf>
    <xf numFmtId="0" fontId="28" fillId="26" borderId="14" xfId="0" applyFont="1" applyFill="1" applyBorder="1" applyAlignment="1">
      <alignment horizontal="center" vertical="center"/>
    </xf>
    <xf numFmtId="0" fontId="28" fillId="25" borderId="11" xfId="0" applyFont="1" applyFill="1" applyBorder="1" applyAlignment="1">
      <alignment horizontal="center" vertical="top" wrapText="1"/>
    </xf>
    <xf numFmtId="0" fontId="61" fillId="30" borderId="45" xfId="0" applyFont="1" applyFill="1" applyBorder="1" applyAlignment="1">
      <alignment horizontal="center" vertical="center" wrapText="1"/>
    </xf>
    <xf numFmtId="0" fontId="61" fillId="30" borderId="19" xfId="0" applyFont="1" applyFill="1" applyBorder="1" applyAlignment="1">
      <alignment horizontal="center" vertical="center" wrapText="1"/>
    </xf>
    <xf numFmtId="0" fontId="69" fillId="0" borderId="11" xfId="0" applyFont="1" applyBorder="1" applyAlignment="1">
      <alignment horizontal="center" wrapText="1"/>
    </xf>
    <xf numFmtId="0" fontId="69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5" fillId="33" borderId="42" xfId="0" applyFont="1" applyFill="1" applyBorder="1" applyAlignment="1">
      <alignment horizontal="center" vertical="center"/>
    </xf>
    <xf numFmtId="0" fontId="46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48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7" fillId="28" borderId="17" xfId="0" applyNumberFormat="1" applyFont="1" applyFill="1" applyBorder="1" applyAlignment="1">
      <alignment horizontal="center" vertical="center"/>
    </xf>
    <xf numFmtId="0" fontId="52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48" fillId="57" borderId="60" xfId="0" applyFont="1" applyFill="1" applyBorder="1" applyAlignment="1">
      <alignment horizontal="center" vertical="center"/>
    </xf>
    <xf numFmtId="0" fontId="52" fillId="56" borderId="24" xfId="0" applyFont="1" applyFill="1" applyBorder="1" applyAlignment="1">
      <alignment horizontal="center" vertical="center"/>
    </xf>
    <xf numFmtId="0" fontId="67" fillId="52" borderId="54" xfId="0" applyFont="1" applyFill="1" applyBorder="1" applyAlignment="1">
      <alignment horizontal="center" vertical="center"/>
    </xf>
    <xf numFmtId="0" fontId="40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28" fillId="69" borderId="11" xfId="32" applyNumberFormat="1" applyFont="1" applyFill="1" applyBorder="1" applyAlignment="1">
      <alignment horizontal="right" vertical="center" wrapText="1"/>
    </xf>
    <xf numFmtId="171" fontId="28" fillId="0" borderId="11" xfId="32" applyNumberFormat="1" applyFont="1" applyFill="1" applyBorder="1" applyAlignment="1">
      <alignment horizontal="right" vertical="center" wrapText="1"/>
    </xf>
    <xf numFmtId="171" fontId="41" fillId="24" borderId="19" xfId="41" applyNumberFormat="1" applyFont="1" applyFill="1" applyBorder="1" applyAlignment="1">
      <alignment horizontal="right"/>
    </xf>
    <xf numFmtId="0" fontId="39" fillId="30" borderId="12" xfId="0" applyFont="1" applyFill="1" applyBorder="1" applyAlignment="1">
      <alignment horizontal="center"/>
    </xf>
    <xf numFmtId="0" fontId="0" fillId="24" borderId="12" xfId="0" applyFill="1" applyBorder="1"/>
    <xf numFmtId="0" fontId="39" fillId="30" borderId="14" xfId="0" applyFont="1" applyFill="1" applyBorder="1" applyAlignment="1">
      <alignment horizontal="center"/>
    </xf>
    <xf numFmtId="171" fontId="28" fillId="32" borderId="14" xfId="32" applyNumberFormat="1" applyFont="1" applyFill="1" applyBorder="1" applyAlignment="1">
      <alignment horizontal="right" vertical="center" wrapText="1"/>
    </xf>
    <xf numFmtId="0" fontId="31" fillId="46" borderId="12" xfId="0" applyFont="1" applyFill="1" applyBorder="1" applyAlignment="1">
      <alignment horizontal="center" vertical="center" wrapText="1"/>
    </xf>
    <xf numFmtId="0" fontId="49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1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1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7" fillId="35" borderId="23" xfId="0" applyFont="1" applyFill="1" applyBorder="1" applyAlignment="1">
      <alignment horizontal="center" vertical="center" wrapText="1"/>
    </xf>
    <xf numFmtId="0" fontId="37" fillId="43" borderId="12" xfId="0" applyFont="1" applyFill="1" applyBorder="1" applyAlignment="1">
      <alignment horizontal="center" vertical="center" wrapText="1"/>
    </xf>
    <xf numFmtId="0" fontId="31" fillId="75" borderId="0" xfId="0" applyFont="1" applyFill="1"/>
    <xf numFmtId="0" fontId="0" fillId="75" borderId="0" xfId="0" applyFill="1"/>
    <xf numFmtId="0" fontId="31" fillId="47" borderId="12" xfId="0" applyFont="1" applyFill="1" applyBorder="1" applyAlignment="1">
      <alignment horizontal="center" vertical="center" wrapText="1"/>
    </xf>
    <xf numFmtId="0" fontId="53" fillId="46" borderId="12" xfId="0" applyFont="1" applyFill="1" applyBorder="1" applyAlignment="1">
      <alignment horizontal="center" vertical="center"/>
    </xf>
    <xf numFmtId="1" fontId="52" fillId="73" borderId="12" xfId="0" applyNumberFormat="1" applyFont="1" applyFill="1" applyBorder="1" applyAlignment="1">
      <alignment horizontal="center" vertical="center"/>
    </xf>
    <xf numFmtId="0" fontId="49" fillId="33" borderId="23" xfId="0" applyFont="1" applyFill="1" applyBorder="1" applyAlignment="1">
      <alignment horizontal="center" vertical="center" wrapText="1"/>
    </xf>
    <xf numFmtId="0" fontId="49" fillId="43" borderId="17" xfId="0" applyFont="1" applyFill="1" applyBorder="1" applyAlignment="1">
      <alignment horizontal="center" vertical="center" wrapText="1"/>
    </xf>
    <xf numFmtId="0" fontId="29" fillId="43" borderId="17" xfId="0" applyFont="1" applyFill="1" applyBorder="1" applyAlignment="1">
      <alignment horizontal="center" vertical="center" wrapText="1"/>
    </xf>
    <xf numFmtId="0" fontId="31" fillId="76" borderId="12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28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3" fillId="0" borderId="0" xfId="0" applyFont="1"/>
    <xf numFmtId="0" fontId="29" fillId="0" borderId="0" xfId="0" applyFont="1" applyAlignment="1">
      <alignment horizontal="center" vertical="center"/>
    </xf>
    <xf numFmtId="0" fontId="74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3" fillId="25" borderId="0" xfId="0" applyFont="1" applyFill="1" applyAlignment="1">
      <alignment vertical="center" wrapText="1"/>
    </xf>
    <xf numFmtId="0" fontId="53" fillId="25" borderId="11" xfId="0" applyFont="1" applyFill="1" applyBorder="1" applyAlignment="1">
      <alignment vertical="center" wrapText="1"/>
    </xf>
    <xf numFmtId="0" fontId="53" fillId="25" borderId="18" xfId="0" applyFont="1" applyFill="1" applyBorder="1" applyAlignment="1">
      <alignment vertical="center" wrapText="1"/>
    </xf>
    <xf numFmtId="0" fontId="53" fillId="25" borderId="19" xfId="0" applyFont="1" applyFill="1" applyBorder="1" applyAlignment="1">
      <alignment vertical="center" wrapText="1"/>
    </xf>
    <xf numFmtId="0" fontId="53" fillId="25" borderId="26" xfId="0" applyFont="1" applyFill="1" applyBorder="1" applyAlignment="1">
      <alignment vertical="center" wrapText="1"/>
    </xf>
    <xf numFmtId="0" fontId="53" fillId="25" borderId="34" xfId="0" applyFont="1" applyFill="1" applyBorder="1" applyAlignment="1">
      <alignment vertical="center" wrapText="1"/>
    </xf>
    <xf numFmtId="0" fontId="53" fillId="25" borderId="33" xfId="0" applyFont="1" applyFill="1" applyBorder="1" applyAlignment="1">
      <alignment vertical="center" wrapText="1"/>
    </xf>
    <xf numFmtId="0" fontId="38" fillId="0" borderId="0" xfId="0" applyFont="1" applyAlignment="1">
      <alignment textRotation="90" wrapText="1"/>
    </xf>
    <xf numFmtId="0" fontId="75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0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39" fillId="30" borderId="0" xfId="0" applyFont="1" applyFill="1" applyAlignment="1">
      <alignment horizontal="center"/>
    </xf>
    <xf numFmtId="171" fontId="28" fillId="32" borderId="0" xfId="32" applyNumberFormat="1" applyFont="1" applyFill="1" applyBorder="1" applyAlignment="1">
      <alignment horizontal="right" vertical="center" wrapText="1"/>
    </xf>
    <xf numFmtId="0" fontId="28" fillId="26" borderId="0" xfId="0" applyFont="1" applyFill="1" applyAlignment="1">
      <alignment horizontal="center" vertical="center"/>
    </xf>
    <xf numFmtId="168" fontId="26" fillId="28" borderId="0" xfId="0" applyNumberFormat="1" applyFont="1" applyFill="1" applyAlignment="1">
      <alignment horizontal="center" vertical="center"/>
    </xf>
    <xf numFmtId="0" fontId="39" fillId="30" borderId="11" xfId="0" applyFont="1" applyFill="1" applyBorder="1" applyAlignment="1">
      <alignment horizontal="center"/>
    </xf>
    <xf numFmtId="0" fontId="39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28" fillId="26" borderId="19" xfId="0" applyFont="1" applyFill="1" applyBorder="1" applyAlignment="1">
      <alignment horizontal="center" vertical="center"/>
    </xf>
    <xf numFmtId="0" fontId="28" fillId="27" borderId="19" xfId="37" applyFont="1" applyFill="1" applyBorder="1" applyAlignment="1">
      <alignment horizontal="center" vertical="center" wrapText="1"/>
    </xf>
    <xf numFmtId="0" fontId="28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38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38" fillId="0" borderId="12" xfId="0" applyFont="1" applyBorder="1" applyAlignment="1">
      <alignment wrapText="1"/>
    </xf>
    <xf numFmtId="0" fontId="38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68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7" fillId="28" borderId="12" xfId="32" applyNumberFormat="1" applyFont="1" applyFill="1" applyBorder="1" applyAlignment="1">
      <alignment horizontal="right"/>
    </xf>
    <xf numFmtId="0" fontId="62" fillId="34" borderId="20" xfId="0" applyFont="1" applyFill="1" applyBorder="1" applyAlignment="1" applyProtection="1">
      <alignment horizontal="center" vertical="center"/>
      <protection locked="0"/>
    </xf>
    <xf numFmtId="0" fontId="62" fillId="34" borderId="27" xfId="0" applyFont="1" applyFill="1" applyBorder="1" applyAlignment="1" applyProtection="1">
      <alignment horizontal="center" vertical="center"/>
      <protection locked="0"/>
    </xf>
    <xf numFmtId="0" fontId="62" fillId="34" borderId="23" xfId="0" applyFont="1" applyFill="1" applyBorder="1" applyAlignment="1" applyProtection="1">
      <alignment horizontal="center" vertical="center"/>
      <protection locked="0"/>
    </xf>
    <xf numFmtId="0" fontId="36" fillId="0" borderId="20" xfId="0" applyFont="1" applyBorder="1" applyAlignment="1" applyProtection="1">
      <alignment horizontal="left" vertical="center" shrinkToFit="1"/>
      <protection locked="0"/>
    </xf>
    <xf numFmtId="0" fontId="36" fillId="0" borderId="27" xfId="0" applyFont="1" applyBorder="1" applyAlignment="1" applyProtection="1">
      <alignment horizontal="left" vertical="center" shrinkToFit="1"/>
      <protection locked="0"/>
    </xf>
    <xf numFmtId="0" fontId="36" fillId="0" borderId="23" xfId="0" applyFont="1" applyBorder="1" applyAlignment="1" applyProtection="1">
      <alignment horizontal="left" vertical="center" shrinkToFit="1"/>
      <protection locked="0"/>
    </xf>
    <xf numFmtId="0" fontId="37" fillId="28" borderId="20" xfId="0" applyFont="1" applyFill="1" applyBorder="1" applyAlignment="1">
      <alignment horizontal="center" vertical="center"/>
    </xf>
    <xf numFmtId="0" fontId="37" fillId="28" borderId="23" xfId="0" applyFont="1" applyFill="1" applyBorder="1" applyAlignment="1">
      <alignment horizontal="center" vertical="center"/>
    </xf>
    <xf numFmtId="0" fontId="37" fillId="0" borderId="20" xfId="0" applyFont="1" applyBorder="1" applyAlignment="1" applyProtection="1">
      <alignment horizontal="center" vertical="center"/>
      <protection locked="0"/>
    </xf>
    <xf numFmtId="0" fontId="37" fillId="0" borderId="23" xfId="0" applyFont="1" applyBorder="1" applyAlignment="1" applyProtection="1">
      <alignment horizontal="center" vertical="center"/>
      <protection locked="0"/>
    </xf>
    <xf numFmtId="168" fontId="25" fillId="33" borderId="20" xfId="32" applyNumberFormat="1" applyFont="1" applyFill="1" applyBorder="1" applyAlignment="1" applyProtection="1">
      <alignment horizontal="right"/>
    </xf>
    <xf numFmtId="168" fontId="25" fillId="33" borderId="23" xfId="32" applyNumberFormat="1" applyFont="1" applyFill="1" applyBorder="1" applyAlignment="1" applyProtection="1">
      <alignment horizontal="right"/>
    </xf>
    <xf numFmtId="0" fontId="31" fillId="74" borderId="0" xfId="0" applyFont="1" applyFill="1" applyAlignment="1">
      <alignment horizontal="center" vertical="center"/>
    </xf>
    <xf numFmtId="0" fontId="31" fillId="74" borderId="0" xfId="0" applyFont="1" applyFill="1" applyAlignment="1">
      <alignment horizontal="left" wrapText="1"/>
    </xf>
    <xf numFmtId="0" fontId="49" fillId="71" borderId="10" xfId="0" applyFont="1" applyFill="1" applyBorder="1" applyAlignment="1" applyProtection="1">
      <alignment horizontal="left" vertical="top" wrapText="1"/>
      <protection locked="0"/>
    </xf>
    <xf numFmtId="0" fontId="49" fillId="71" borderId="0" xfId="0" applyFont="1" applyFill="1" applyAlignment="1" applyProtection="1">
      <alignment horizontal="left" vertical="top" wrapText="1"/>
      <protection locked="0"/>
    </xf>
    <xf numFmtId="0" fontId="36" fillId="30" borderId="12" xfId="0" applyFont="1" applyFill="1" applyBorder="1" applyAlignment="1">
      <alignment horizontal="left" vertical="center" wrapText="1"/>
    </xf>
    <xf numFmtId="0" fontId="36" fillId="28" borderId="12" xfId="0" applyFont="1" applyFill="1" applyBorder="1" applyAlignment="1">
      <alignment horizontal="left" vertical="center" wrapText="1"/>
    </xf>
    <xf numFmtId="0" fontId="36" fillId="44" borderId="12" xfId="0" applyFont="1" applyFill="1" applyBorder="1" applyAlignment="1">
      <alignment horizontal="left" vertical="center" wrapText="1"/>
    </xf>
    <xf numFmtId="0" fontId="49" fillId="0" borderId="10" xfId="0" applyFont="1" applyBorder="1" applyAlignment="1">
      <alignment horizontal="center" vertical="center"/>
    </xf>
    <xf numFmtId="0" fontId="38" fillId="0" borderId="12" xfId="0" applyFont="1" applyBorder="1" applyAlignment="1">
      <alignment horizontal="center" wrapText="1"/>
    </xf>
    <xf numFmtId="0" fontId="50" fillId="0" borderId="12" xfId="0" applyFont="1" applyBorder="1" applyAlignment="1">
      <alignment horizontal="left" wrapText="1"/>
    </xf>
    <xf numFmtId="0" fontId="38" fillId="0" borderId="12" xfId="0" applyFont="1" applyBorder="1" applyAlignment="1">
      <alignment horizontal="left" wrapText="1"/>
    </xf>
    <xf numFmtId="0" fontId="51" fillId="65" borderId="12" xfId="0" applyFont="1" applyFill="1" applyBorder="1" applyAlignment="1">
      <alignment horizontal="center" vertical="center"/>
    </xf>
    <xf numFmtId="0" fontId="36" fillId="39" borderId="12" xfId="0" applyFont="1" applyFill="1" applyBorder="1" applyAlignment="1">
      <alignment horizontal="left" vertical="center"/>
    </xf>
    <xf numFmtId="0" fontId="31" fillId="31" borderId="12" xfId="0" applyFont="1" applyFill="1" applyBorder="1" applyAlignment="1">
      <alignment horizontal="left" vertical="center"/>
    </xf>
    <xf numFmtId="0" fontId="49" fillId="31" borderId="12" xfId="0" applyFont="1" applyFill="1" applyBorder="1" applyAlignment="1">
      <alignment horizontal="left" vertical="center"/>
    </xf>
    <xf numFmtId="0" fontId="57" fillId="41" borderId="12" xfId="0" applyFont="1" applyFill="1" applyBorder="1" applyAlignment="1">
      <alignment horizontal="center" vertical="center" wrapText="1"/>
    </xf>
    <xf numFmtId="0" fontId="57" fillId="31" borderId="12" xfId="0" applyFont="1" applyFill="1" applyBorder="1" applyAlignment="1">
      <alignment horizontal="center" vertical="center" wrapText="1"/>
    </xf>
    <xf numFmtId="0" fontId="60" fillId="33" borderId="21" xfId="0" applyFont="1" applyFill="1" applyBorder="1" applyAlignment="1" applyProtection="1">
      <alignment horizontal="left" vertical="center"/>
      <protection locked="0"/>
    </xf>
    <xf numFmtId="2" fontId="33" fillId="0" borderId="29" xfId="0" applyNumberFormat="1" applyFont="1" applyBorder="1" applyAlignment="1">
      <alignment horizontal="center" vertical="center"/>
    </xf>
    <xf numFmtId="2" fontId="33" fillId="0" borderId="30" xfId="0" applyNumberFormat="1" applyFont="1" applyBorder="1" applyAlignment="1">
      <alignment horizontal="center" vertical="center"/>
    </xf>
    <xf numFmtId="0" fontId="34" fillId="33" borderId="20" xfId="0" applyFont="1" applyFill="1" applyBorder="1" applyAlignment="1">
      <alignment horizontal="center" vertical="center" wrapText="1"/>
    </xf>
    <xf numFmtId="0" fontId="34" fillId="33" borderId="27" xfId="0" applyFont="1" applyFill="1" applyBorder="1" applyAlignment="1">
      <alignment horizontal="center" vertical="center" wrapText="1"/>
    </xf>
    <xf numFmtId="0" fontId="34" fillId="33" borderId="23" xfId="0" applyFont="1" applyFill="1" applyBorder="1" applyAlignment="1">
      <alignment horizontal="center" vertical="center" wrapText="1"/>
    </xf>
    <xf numFmtId="0" fontId="37" fillId="41" borderId="12" xfId="0" applyFont="1" applyFill="1" applyBorder="1" applyAlignment="1">
      <alignment horizontal="center" vertical="center"/>
    </xf>
    <xf numFmtId="0" fontId="37" fillId="41" borderId="20" xfId="0" applyFont="1" applyFill="1" applyBorder="1" applyAlignment="1">
      <alignment horizontal="center" vertical="center"/>
    </xf>
    <xf numFmtId="0" fontId="37" fillId="0" borderId="27" xfId="0" applyFont="1" applyBorder="1" applyAlignment="1" applyProtection="1">
      <alignment horizontal="center" vertical="center"/>
      <protection locked="0"/>
    </xf>
    <xf numFmtId="168" fontId="35" fillId="28" borderId="20" xfId="32" applyNumberFormat="1" applyFont="1" applyFill="1" applyBorder="1" applyAlignment="1">
      <alignment horizontal="left" vertical="center"/>
    </xf>
    <xf numFmtId="168" fontId="35" fillId="28" borderId="27" xfId="32" applyNumberFormat="1" applyFont="1" applyFill="1" applyBorder="1" applyAlignment="1">
      <alignment horizontal="left" vertical="center"/>
    </xf>
    <xf numFmtId="168" fontId="35" fillId="28" borderId="28" xfId="32" applyNumberFormat="1" applyFont="1" applyFill="1" applyBorder="1" applyAlignment="1">
      <alignment horizontal="left" vertical="center"/>
    </xf>
    <xf numFmtId="0" fontId="33" fillId="0" borderId="29" xfId="0" applyFont="1" applyBorder="1" applyAlignment="1" applyProtection="1">
      <alignment horizontal="center" vertical="center"/>
      <protection locked="0"/>
    </xf>
    <xf numFmtId="0" fontId="33" fillId="0" borderId="21" xfId="0" applyFont="1" applyBorder="1" applyAlignment="1" applyProtection="1">
      <alignment horizontal="center" vertical="center"/>
      <protection locked="0"/>
    </xf>
    <xf numFmtId="0" fontId="33" fillId="0" borderId="30" xfId="0" applyFont="1" applyBorder="1" applyAlignment="1" applyProtection="1">
      <alignment horizontal="center" vertical="center"/>
      <protection locked="0"/>
    </xf>
    <xf numFmtId="0" fontId="33" fillId="0" borderId="31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3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3" fillId="0" borderId="12" xfId="0" applyNumberFormat="1" applyFont="1" applyBorder="1" applyAlignment="1" applyProtection="1">
      <alignment horizontal="center" vertical="center"/>
      <protection locked="0"/>
    </xf>
    <xf numFmtId="0" fontId="57" fillId="44" borderId="12" xfId="0" applyFont="1" applyFill="1" applyBorder="1" applyAlignment="1">
      <alignment horizontal="center" vertical="center" wrapText="1"/>
    </xf>
    <xf numFmtId="0" fontId="59" fillId="33" borderId="20" xfId="0" applyFont="1" applyFill="1" applyBorder="1" applyAlignment="1">
      <alignment horizontal="center" vertical="top" wrapText="1"/>
    </xf>
    <xf numFmtId="0" fontId="59" fillId="33" borderId="27" xfId="0" applyFont="1" applyFill="1" applyBorder="1" applyAlignment="1">
      <alignment horizontal="center" vertical="top" wrapText="1"/>
    </xf>
    <xf numFmtId="0" fontId="56" fillId="28" borderId="25" xfId="0" applyFont="1" applyFill="1" applyBorder="1" applyAlignment="1">
      <alignment horizontal="center" vertical="center" wrapText="1"/>
    </xf>
    <xf numFmtId="0" fontId="56" fillId="28" borderId="35" xfId="0" applyFont="1" applyFill="1" applyBorder="1" applyAlignment="1">
      <alignment horizontal="center" vertical="center" wrapText="1"/>
    </xf>
    <xf numFmtId="0" fontId="56" fillId="28" borderId="36" xfId="0" applyFont="1" applyFill="1" applyBorder="1" applyAlignment="1">
      <alignment horizontal="center" vertical="center" wrapText="1"/>
    </xf>
    <xf numFmtId="0" fontId="56" fillId="33" borderId="25" xfId="0" applyFont="1" applyFill="1" applyBorder="1" applyAlignment="1">
      <alignment horizontal="center" vertical="center" wrapText="1"/>
    </xf>
    <xf numFmtId="0" fontId="56" fillId="33" borderId="35" xfId="0" applyFont="1" applyFill="1" applyBorder="1" applyAlignment="1">
      <alignment horizontal="center" vertical="center" wrapText="1"/>
    </xf>
    <xf numFmtId="0" fontId="34" fillId="33" borderId="12" xfId="0" applyFont="1" applyFill="1" applyBorder="1" applyAlignment="1">
      <alignment horizontal="center" vertical="center" wrapText="1"/>
    </xf>
    <xf numFmtId="167" fontId="31" fillId="0" borderId="12" xfId="0" applyNumberFormat="1" applyFont="1" applyBorder="1" applyAlignment="1" applyProtection="1">
      <alignment horizontal="center" vertical="center" wrapText="1"/>
      <protection locked="0"/>
    </xf>
    <xf numFmtId="167" fontId="31" fillId="0" borderId="20" xfId="0" applyNumberFormat="1" applyFont="1" applyBorder="1" applyAlignment="1" applyProtection="1">
      <alignment horizontal="center" vertical="center" wrapText="1"/>
      <protection locked="0"/>
    </xf>
    <xf numFmtId="0" fontId="37" fillId="0" borderId="10" xfId="0" applyFont="1" applyBorder="1" applyAlignment="1" applyProtection="1">
      <alignment horizontal="center" vertical="center" wrapText="1"/>
      <protection locked="0"/>
    </xf>
    <xf numFmtId="0" fontId="37" fillId="0" borderId="10" xfId="0" applyFont="1" applyBorder="1" applyAlignment="1" applyProtection="1">
      <alignment horizontal="center" vertical="center"/>
      <protection locked="0"/>
    </xf>
    <xf numFmtId="0" fontId="34" fillId="33" borderId="14" xfId="0" applyFont="1" applyFill="1" applyBorder="1" applyAlignment="1">
      <alignment horizontal="center" vertical="center" wrapText="1"/>
    </xf>
    <xf numFmtId="0" fontId="61" fillId="34" borderId="20" xfId="0" applyFont="1" applyFill="1" applyBorder="1" applyAlignment="1" applyProtection="1">
      <alignment horizontal="center" vertical="center"/>
      <protection locked="0"/>
    </xf>
    <xf numFmtId="0" fontId="61" fillId="34" borderId="27" xfId="0" applyFont="1" applyFill="1" applyBorder="1" applyAlignment="1" applyProtection="1">
      <alignment horizontal="center" vertical="center"/>
      <protection locked="0"/>
    </xf>
    <xf numFmtId="0" fontId="61" fillId="34" borderId="28" xfId="0" applyFont="1" applyFill="1" applyBorder="1" applyAlignment="1" applyProtection="1">
      <alignment horizontal="center" vertical="center"/>
      <protection locked="0"/>
    </xf>
    <xf numFmtId="0" fontId="59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7" fillId="33" borderId="20" xfId="0" applyFont="1" applyFill="1" applyBorder="1" applyAlignment="1">
      <alignment horizontal="center" vertical="center" wrapText="1"/>
    </xf>
    <xf numFmtId="0" fontId="57" fillId="33" borderId="23" xfId="0" applyFont="1" applyFill="1" applyBorder="1" applyAlignment="1">
      <alignment horizontal="center" vertical="center" wrapText="1"/>
    </xf>
    <xf numFmtId="0" fontId="37" fillId="34" borderId="20" xfId="0" applyFont="1" applyFill="1" applyBorder="1" applyAlignment="1" applyProtection="1">
      <alignment horizontal="center" vertical="center"/>
      <protection locked="0"/>
    </xf>
    <xf numFmtId="0" fontId="37" fillId="34" borderId="13" xfId="0" applyFont="1" applyFill="1" applyBorder="1" applyAlignment="1" applyProtection="1">
      <alignment horizontal="center" vertical="center"/>
      <protection locked="0"/>
    </xf>
    <xf numFmtId="0" fontId="37" fillId="34" borderId="33" xfId="0" applyFont="1" applyFill="1" applyBorder="1" applyAlignment="1" applyProtection="1">
      <alignment horizontal="center" vertical="center"/>
      <protection locked="0"/>
    </xf>
    <xf numFmtId="0" fontId="34" fillId="28" borderId="12" xfId="0" applyFont="1" applyFill="1" applyBorder="1" applyAlignment="1">
      <alignment horizontal="center" vertical="center" wrapText="1"/>
    </xf>
    <xf numFmtId="0" fontId="58" fillId="70" borderId="12" xfId="0" applyFont="1" applyFill="1" applyBorder="1" applyAlignment="1">
      <alignment horizontal="center" wrapText="1"/>
    </xf>
    <xf numFmtId="0" fontId="59" fillId="31" borderId="12" xfId="0" applyFont="1" applyFill="1" applyBorder="1" applyAlignment="1">
      <alignment horizontal="center" vertical="center" wrapText="1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29" fillId="34" borderId="20" xfId="0" applyFont="1" applyFill="1" applyBorder="1" applyAlignment="1" applyProtection="1">
      <alignment horizontal="center" vertical="center" shrinkToFit="1"/>
      <protection locked="0"/>
    </xf>
    <xf numFmtId="0" fontId="29" fillId="34" borderId="27" xfId="0" applyFont="1" applyFill="1" applyBorder="1" applyAlignment="1" applyProtection="1">
      <alignment horizontal="center" vertical="center" shrinkToFit="1"/>
      <protection locked="0"/>
    </xf>
    <xf numFmtId="0" fontId="29" fillId="34" borderId="23" xfId="0" applyFont="1" applyFill="1" applyBorder="1" applyAlignment="1" applyProtection="1">
      <alignment horizontal="center" vertical="center" shrinkToFit="1"/>
      <protection locked="0"/>
    </xf>
    <xf numFmtId="0" fontId="59" fillId="44" borderId="12" xfId="0" applyFont="1" applyFill="1" applyBorder="1" applyAlignment="1">
      <alignment horizontal="center" vertical="center" wrapText="1"/>
    </xf>
    <xf numFmtId="168" fontId="35" fillId="41" borderId="20" xfId="32" applyNumberFormat="1" applyFont="1" applyFill="1" applyBorder="1" applyAlignment="1">
      <alignment horizontal="center" vertical="center"/>
    </xf>
    <xf numFmtId="168" fontId="35" fillId="41" borderId="27" xfId="32" applyNumberFormat="1" applyFont="1" applyFill="1" applyBorder="1" applyAlignment="1">
      <alignment horizontal="center" vertical="center"/>
    </xf>
    <xf numFmtId="168" fontId="35" fillId="41" borderId="23" xfId="32" applyNumberFormat="1" applyFont="1" applyFill="1" applyBorder="1" applyAlignment="1">
      <alignment horizontal="center" vertical="center"/>
    </xf>
    <xf numFmtId="0" fontId="57" fillId="33" borderId="27" xfId="0" applyFont="1" applyFill="1" applyBorder="1" applyAlignment="1">
      <alignment horizontal="center" vertical="center" wrapText="1"/>
    </xf>
    <xf numFmtId="0" fontId="36" fillId="0" borderId="20" xfId="0" applyFont="1" applyBorder="1" applyAlignment="1" applyProtection="1">
      <alignment horizontal="left" vertical="center"/>
      <protection locked="0"/>
    </xf>
    <xf numFmtId="0" fontId="36" fillId="0" borderId="27" xfId="0" applyFont="1" applyBorder="1" applyAlignment="1" applyProtection="1">
      <alignment horizontal="left" vertical="center"/>
      <protection locked="0"/>
    </xf>
    <xf numFmtId="0" fontId="36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6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1" fillId="70" borderId="0" xfId="0" applyFont="1" applyFill="1" applyAlignment="1">
      <alignment horizontal="center" vertical="center"/>
    </xf>
    <xf numFmtId="0" fontId="71" fillId="70" borderId="26" xfId="0" applyFont="1" applyFill="1" applyBorder="1" applyAlignment="1">
      <alignment horizontal="center" vertical="center"/>
    </xf>
    <xf numFmtId="0" fontId="70" fillId="34" borderId="13" xfId="0" applyFont="1" applyFill="1" applyBorder="1" applyAlignment="1" applyProtection="1">
      <alignment horizontal="center" vertical="center"/>
      <protection locked="0"/>
    </xf>
    <xf numFmtId="0" fontId="31" fillId="26" borderId="12" xfId="0" applyFont="1" applyFill="1" applyBorder="1" applyAlignment="1">
      <alignment horizontal="left" vertical="top" wrapText="1"/>
    </xf>
    <xf numFmtId="0" fontId="31" fillId="26" borderId="12" xfId="0" applyFont="1" applyFill="1" applyBorder="1" applyAlignment="1">
      <alignment horizontal="center" wrapText="1"/>
    </xf>
    <xf numFmtId="0" fontId="31" fillId="26" borderId="20" xfId="0" applyFont="1" applyFill="1" applyBorder="1" applyAlignment="1">
      <alignment horizontal="center" wrapText="1"/>
    </xf>
    <xf numFmtId="0" fontId="53" fillId="0" borderId="23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173" fontId="49" fillId="33" borderId="12" xfId="0" applyNumberFormat="1" applyFont="1" applyFill="1" applyBorder="1" applyAlignment="1">
      <alignment horizontal="center" vertical="center"/>
    </xf>
    <xf numFmtId="173" fontId="49" fillId="33" borderId="20" xfId="0" applyNumberFormat="1" applyFont="1" applyFill="1" applyBorder="1" applyAlignment="1">
      <alignment horizontal="center" vertical="center"/>
    </xf>
    <xf numFmtId="0" fontId="31" fillId="33" borderId="12" xfId="0" applyFont="1" applyFill="1" applyBorder="1" applyAlignment="1">
      <alignment horizontal="center" vertical="center"/>
    </xf>
    <xf numFmtId="0" fontId="31" fillId="33" borderId="20" xfId="0" applyFont="1" applyFill="1" applyBorder="1" applyAlignment="1">
      <alignment horizontal="center" vertical="center"/>
    </xf>
    <xf numFmtId="0" fontId="31" fillId="26" borderId="12" xfId="0" applyFont="1" applyFill="1" applyBorder="1" applyAlignment="1">
      <alignment horizontal="left"/>
    </xf>
    <xf numFmtId="0" fontId="31" fillId="26" borderId="20" xfId="0" applyFont="1" applyFill="1" applyBorder="1" applyAlignment="1">
      <alignment horizontal="left" vertical="center"/>
    </xf>
    <xf numFmtId="0" fontId="31" fillId="26" borderId="27" xfId="0" applyFont="1" applyFill="1" applyBorder="1" applyAlignment="1">
      <alignment horizontal="left" vertical="center"/>
    </xf>
    <xf numFmtId="0" fontId="31" fillId="26" borderId="23" xfId="0" applyFont="1" applyFill="1" applyBorder="1" applyAlignment="1">
      <alignment horizontal="left" vertical="center"/>
    </xf>
    <xf numFmtId="0" fontId="31" fillId="26" borderId="20" xfId="0" applyFont="1" applyFill="1" applyBorder="1" applyAlignment="1">
      <alignment horizontal="left" vertical="center" wrapText="1"/>
    </xf>
    <xf numFmtId="0" fontId="31" fillId="26" borderId="27" xfId="0" applyFont="1" applyFill="1" applyBorder="1" applyAlignment="1">
      <alignment horizontal="left" vertical="center" wrapText="1"/>
    </xf>
    <xf numFmtId="0" fontId="31" fillId="26" borderId="23" xfId="0" applyFont="1" applyFill="1" applyBorder="1" applyAlignment="1">
      <alignment horizontal="left" vertical="center" wrapText="1"/>
    </xf>
    <xf numFmtId="0" fontId="31" fillId="33" borderId="23" xfId="0" applyFont="1" applyFill="1" applyBorder="1" applyAlignment="1">
      <alignment horizontal="center" vertical="center"/>
    </xf>
    <xf numFmtId="0" fontId="31" fillId="67" borderId="13" xfId="0" applyFont="1" applyFill="1" applyBorder="1" applyAlignment="1">
      <alignment horizontal="center" vertical="center" wrapText="1"/>
    </xf>
    <xf numFmtId="0" fontId="31" fillId="67" borderId="33" xfId="0" applyFont="1" applyFill="1" applyBorder="1" applyAlignment="1">
      <alignment horizontal="center" vertical="center" wrapText="1"/>
    </xf>
    <xf numFmtId="168" fontId="65" fillId="28" borderId="20" xfId="32" applyNumberFormat="1" applyFont="1" applyFill="1" applyBorder="1" applyAlignment="1">
      <alignment horizontal="center" vertical="center"/>
    </xf>
    <xf numFmtId="168" fontId="65" fillId="28" borderId="27" xfId="32" applyNumberFormat="1" applyFont="1" applyFill="1" applyBorder="1" applyAlignment="1">
      <alignment horizontal="center" vertical="center"/>
    </xf>
    <xf numFmtId="168" fontId="65" fillId="28" borderId="23" xfId="32" applyNumberFormat="1" applyFont="1" applyFill="1" applyBorder="1" applyAlignment="1">
      <alignment horizontal="center" vertical="center"/>
    </xf>
    <xf numFmtId="0" fontId="64" fillId="41" borderId="11" xfId="0" applyFont="1" applyFill="1" applyBorder="1" applyAlignment="1">
      <alignment horizontal="center" vertical="center" wrapText="1"/>
    </xf>
    <xf numFmtId="0" fontId="64" fillId="41" borderId="18" xfId="0" applyFont="1" applyFill="1" applyBorder="1" applyAlignment="1">
      <alignment horizontal="center" vertical="center" wrapText="1"/>
    </xf>
    <xf numFmtId="0" fontId="64" fillId="41" borderId="19" xfId="0" applyFont="1" applyFill="1" applyBorder="1" applyAlignment="1">
      <alignment horizontal="center" vertical="center" wrapText="1"/>
    </xf>
    <xf numFmtId="0" fontId="64" fillId="41" borderId="26" xfId="0" applyFont="1" applyFill="1" applyBorder="1" applyAlignment="1">
      <alignment horizontal="center" vertical="center" wrapText="1"/>
    </xf>
    <xf numFmtId="168" fontId="63" fillId="66" borderId="11" xfId="32" applyNumberFormat="1" applyFont="1" applyFill="1" applyBorder="1" applyAlignment="1">
      <alignment vertical="center"/>
    </xf>
    <xf numFmtId="168" fontId="63" fillId="66" borderId="10" xfId="32" applyNumberFormat="1" applyFont="1" applyFill="1" applyBorder="1" applyAlignment="1">
      <alignment vertical="center"/>
    </xf>
    <xf numFmtId="168" fontId="63" fillId="66" borderId="18" xfId="32" applyNumberFormat="1" applyFont="1" applyFill="1" applyBorder="1" applyAlignment="1">
      <alignment vertical="center"/>
    </xf>
    <xf numFmtId="168" fontId="63" fillId="66" borderId="34" xfId="32" applyNumberFormat="1" applyFont="1" applyFill="1" applyBorder="1" applyAlignment="1">
      <alignment vertical="center"/>
    </xf>
    <xf numFmtId="168" fontId="63" fillId="66" borderId="13" xfId="32" applyNumberFormat="1" applyFont="1" applyFill="1" applyBorder="1" applyAlignment="1">
      <alignment vertical="center"/>
    </xf>
    <xf numFmtId="168" fontId="63" fillId="66" borderId="33" xfId="32" applyNumberFormat="1" applyFont="1" applyFill="1" applyBorder="1" applyAlignment="1">
      <alignment vertical="center"/>
    </xf>
    <xf numFmtId="0" fontId="70" fillId="28" borderId="34" xfId="0" applyFont="1" applyFill="1" applyBorder="1" applyAlignment="1" applyProtection="1">
      <alignment horizontal="center" vertical="center"/>
      <protection locked="0"/>
    </xf>
    <xf numFmtId="0" fontId="70" fillId="28" borderId="13" xfId="0" applyFont="1" applyFill="1" applyBorder="1" applyAlignment="1" applyProtection="1">
      <alignment horizontal="center" vertical="center"/>
      <protection locked="0"/>
    </xf>
    <xf numFmtId="0" fontId="37" fillId="28" borderId="20" xfId="0" applyFont="1" applyFill="1" applyBorder="1" applyAlignment="1">
      <alignment horizontal="center" wrapText="1"/>
    </xf>
    <xf numFmtId="0" fontId="37" fillId="28" borderId="27" xfId="0" applyFont="1" applyFill="1" applyBorder="1" applyAlignment="1">
      <alignment horizontal="center" wrapText="1"/>
    </xf>
    <xf numFmtId="0" fontId="37" fillId="72" borderId="34" xfId="0" applyFont="1" applyFill="1" applyBorder="1" applyAlignment="1">
      <alignment horizontal="center" vertical="center"/>
    </xf>
    <xf numFmtId="0" fontId="37" fillId="72" borderId="13" xfId="0" applyFont="1" applyFill="1" applyBorder="1" applyAlignment="1">
      <alignment horizontal="center" vertical="center"/>
    </xf>
    <xf numFmtId="0" fontId="37" fillId="40" borderId="19" xfId="0" applyFont="1" applyFill="1" applyBorder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7" fillId="40" borderId="26" xfId="0" applyFont="1" applyFill="1" applyBorder="1" applyAlignment="1">
      <alignment horizontal="center" vertical="center"/>
    </xf>
    <xf numFmtId="0" fontId="31" fillId="44" borderId="11" xfId="0" applyFont="1" applyFill="1" applyBorder="1" applyAlignment="1">
      <alignment horizontal="center" wrapText="1"/>
    </xf>
    <xf numFmtId="0" fontId="31" fillId="44" borderId="10" xfId="0" applyFont="1" applyFill="1" applyBorder="1" applyAlignment="1">
      <alignment horizontal="center" wrapText="1"/>
    </xf>
    <xf numFmtId="0" fontId="31" fillId="44" borderId="18" xfId="0" applyFont="1" applyFill="1" applyBorder="1" applyAlignment="1">
      <alignment horizontal="center" wrapText="1"/>
    </xf>
    <xf numFmtId="0" fontId="31" fillId="44" borderId="34" xfId="0" applyFont="1" applyFill="1" applyBorder="1" applyAlignment="1">
      <alignment horizontal="center" wrapText="1"/>
    </xf>
    <xf numFmtId="0" fontId="31" fillId="44" borderId="13" xfId="0" applyFont="1" applyFill="1" applyBorder="1" applyAlignment="1">
      <alignment horizontal="center" wrapText="1"/>
    </xf>
    <xf numFmtId="0" fontId="31" fillId="44" borderId="33" xfId="0" applyFont="1" applyFill="1" applyBorder="1" applyAlignment="1">
      <alignment horizontal="center" wrapText="1"/>
    </xf>
    <xf numFmtId="0" fontId="37" fillId="71" borderId="12" xfId="0" applyFont="1" applyFill="1" applyBorder="1" applyAlignment="1">
      <alignment horizontal="center" vertical="center"/>
    </xf>
    <xf numFmtId="9" fontId="52" fillId="67" borderId="12" xfId="43" applyFont="1" applyFill="1" applyBorder="1" applyAlignment="1" applyProtection="1">
      <alignment horizontal="center" vertical="center"/>
      <protection locked="0"/>
    </xf>
    <xf numFmtId="0" fontId="37" fillId="33" borderId="19" xfId="0" applyFont="1" applyFill="1" applyBorder="1" applyAlignment="1">
      <alignment horizontal="center" vertical="center" wrapText="1"/>
    </xf>
    <xf numFmtId="0" fontId="37" fillId="33" borderId="0" xfId="0" applyFont="1" applyFill="1" applyAlignment="1">
      <alignment horizontal="center" vertical="center" wrapText="1"/>
    </xf>
    <xf numFmtId="0" fontId="37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2" fillId="0" borderId="29" xfId="0" applyFont="1" applyBorder="1" applyAlignment="1" applyProtection="1">
      <alignment horizontal="center" vertical="center"/>
      <protection locked="0"/>
    </xf>
    <xf numFmtId="0" fontId="72" fillId="0" borderId="30" xfId="0" applyFont="1" applyBorder="1" applyAlignment="1" applyProtection="1">
      <alignment horizontal="center" vertical="center"/>
      <protection locked="0"/>
    </xf>
    <xf numFmtId="0" fontId="72" fillId="0" borderId="31" xfId="0" applyFont="1" applyBorder="1" applyAlignment="1" applyProtection="1">
      <alignment horizontal="center" vertical="center"/>
      <protection locked="0"/>
    </xf>
    <xf numFmtId="0" fontId="72" fillId="0" borderId="32" xfId="0" applyFont="1" applyBorder="1" applyAlignment="1" applyProtection="1">
      <alignment horizontal="center" vertical="center"/>
      <protection locked="0"/>
    </xf>
    <xf numFmtId="0" fontId="72" fillId="0" borderId="62" xfId="0" applyFont="1" applyBorder="1" applyAlignment="1" applyProtection="1">
      <alignment horizontal="center" vertical="center"/>
      <protection locked="0"/>
    </xf>
    <xf numFmtId="0" fontId="72" fillId="0" borderId="63" xfId="0" applyFont="1" applyBorder="1" applyAlignment="1" applyProtection="1">
      <alignment horizontal="center" vertical="center"/>
      <protection locked="0"/>
    </xf>
    <xf numFmtId="0" fontId="37" fillId="28" borderId="33" xfId="0" applyFont="1" applyFill="1" applyBorder="1" applyAlignment="1">
      <alignment horizontal="center" vertical="center"/>
    </xf>
    <xf numFmtId="0" fontId="37" fillId="28" borderId="17" xfId="0" applyFont="1" applyFill="1" applyBorder="1" applyAlignment="1">
      <alignment horizontal="center" vertical="center"/>
    </xf>
    <xf numFmtId="0" fontId="37" fillId="28" borderId="12" xfId="0" applyFont="1" applyFill="1" applyBorder="1" applyAlignment="1">
      <alignment horizontal="center" vertical="center"/>
    </xf>
    <xf numFmtId="0" fontId="31" fillId="73" borderId="23" xfId="0" applyFont="1" applyFill="1" applyBorder="1" applyAlignment="1">
      <alignment horizontal="center" vertical="center"/>
    </xf>
    <xf numFmtId="0" fontId="31" fillId="73" borderId="12" xfId="0" applyFont="1" applyFill="1" applyBorder="1" applyAlignment="1">
      <alignment horizontal="center" vertical="center"/>
    </xf>
    <xf numFmtId="168" fontId="53" fillId="28" borderId="23" xfId="32" applyNumberFormat="1" applyFont="1" applyFill="1" applyBorder="1" applyAlignment="1">
      <alignment horizontal="center" vertical="center"/>
    </xf>
    <xf numFmtId="168" fontId="53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29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1" fillId="68" borderId="0" xfId="32" applyNumberFormat="1" applyFont="1" applyFill="1" applyAlignment="1">
      <alignment horizontal="center" vertical="center" wrapText="1"/>
    </xf>
    <xf numFmtId="0" fontId="53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143565</xdr:colOff>
      <xdr:row>0</xdr:row>
      <xdr:rowOff>88831</xdr:rowOff>
    </xdr:from>
    <xdr:to>
      <xdr:col>22</xdr:col>
      <xdr:colOff>121477</xdr:colOff>
      <xdr:row>3</xdr:row>
      <xdr:rowOff>349766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2D9332C4-D7CF-9622-C526-4C94506AC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82608" y="88831"/>
          <a:ext cx="2087217" cy="1243805"/>
        </a:xfrm>
        <a:prstGeom prst="rect">
          <a:avLst/>
        </a:prstGeom>
      </xdr:spPr>
    </xdr:pic>
    <xdr:clientData/>
  </xdr:twoCellAnchor>
  <xdr:twoCellAnchor editAs="oneCell">
    <xdr:from>
      <xdr:col>21</xdr:col>
      <xdr:colOff>629478</xdr:colOff>
      <xdr:row>1</xdr:row>
      <xdr:rowOff>196397</xdr:rowOff>
    </xdr:from>
    <xdr:to>
      <xdr:col>25</xdr:col>
      <xdr:colOff>4280</xdr:colOff>
      <xdr:row>7</xdr:row>
      <xdr:rowOff>1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1D39356E-E5DB-466C-A271-53A9B00E3F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7473" t="24438" r="25267" b="24553"/>
        <a:stretch/>
      </xdr:blipFill>
      <xdr:spPr>
        <a:xfrm>
          <a:off x="10204174" y="582919"/>
          <a:ext cx="1380435" cy="14711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24" sqref="Q24:R2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42578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JR0509-1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45174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1032366226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2828101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40000.640380952384</v>
      </c>
      <c r="E5" s="395"/>
      <c r="F5" s="396"/>
      <c r="G5" s="380" t="s">
        <v>16</v>
      </c>
      <c r="H5" s="397"/>
      <c r="I5" s="397"/>
      <c r="J5" s="381"/>
      <c r="K5" s="355">
        <v>24</v>
      </c>
      <c r="L5" s="355"/>
      <c r="M5" s="356" t="s">
        <v>17</v>
      </c>
      <c r="N5" s="356"/>
      <c r="O5" s="345">
        <f ca="1">IFERROR(IF(K5=0,"",D5*K5),"")</f>
        <v>960015.36914285715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4.1666666666666664E-2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35</v>
      </c>
      <c r="R10" s="316"/>
      <c r="S10" s="317">
        <f>IFERROR(IF(Q10="Unidad","1",(Q10*$K$5)),"")</f>
        <v>840</v>
      </c>
      <c r="T10" s="318"/>
      <c r="U10" s="305" t="s">
        <v>28</v>
      </c>
      <c r="V10" s="401"/>
      <c r="W10" s="306">
        <f ca="1">IFERROR(IF(D10="","",INDEX(Tabla_Completa,MATCH('Soli_citud '!D10,Materiales,0),7)*S10),"")</f>
        <v>754698</v>
      </c>
      <c r="X10" s="306"/>
      <c r="Y10" s="306"/>
      <c r="Z10" s="34"/>
    </row>
    <row r="11" spans="1:28" ht="17.25" customHeight="1">
      <c r="A11" s="307" t="s">
        <v>29</v>
      </c>
      <c r="B11" s="308"/>
      <c r="C11" s="309"/>
      <c r="D11" s="398" t="s">
        <v>30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2182</v>
      </c>
      <c r="R11" s="316"/>
      <c r="S11" s="317">
        <f t="shared" ref="S11:S31" si="1">IFERROR(IF(Q11="Unidad","1",(Q11*$K$5)),"")</f>
        <v>52368</v>
      </c>
      <c r="T11" s="318"/>
      <c r="U11" s="305" t="s">
        <v>31</v>
      </c>
      <c r="V11" s="305"/>
      <c r="W11" s="306">
        <f ca="1">IFERROR(IF(D11="","",INDEX(Tabla_Completa,MATCH('Soli_citud '!D11,Materiales,0),7)*S11),"")</f>
        <v>104795.84914285716</v>
      </c>
      <c r="X11" s="306"/>
      <c r="Y11" s="306"/>
    </row>
    <row r="12" spans="1:28" ht="15.75" customHeight="1">
      <c r="A12" s="307" t="s">
        <v>32</v>
      </c>
      <c r="B12" s="308"/>
      <c r="C12" s="309"/>
      <c r="D12" s="402" t="s">
        <v>33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U</v>
      </c>
      <c r="P12" s="314"/>
      <c r="Q12" s="315">
        <v>2</v>
      </c>
      <c r="R12" s="316"/>
      <c r="S12" s="317">
        <f t="shared" si="1"/>
        <v>48</v>
      </c>
      <c r="T12" s="318"/>
      <c r="U12" s="305"/>
      <c r="V12" s="305"/>
      <c r="W12" s="306">
        <f ca="1">IFERROR(IF(D12="","",INDEX(Tabla_Completa,MATCH('Soli_citud '!D12,Materiales,0),7)*S12),"")</f>
        <v>47923.68</v>
      </c>
      <c r="X12" s="306"/>
      <c r="Y12" s="306"/>
    </row>
    <row r="13" spans="1:28" ht="15.75" customHeight="1">
      <c r="A13" s="307" t="s">
        <v>34</v>
      </c>
      <c r="B13" s="308"/>
      <c r="C13" s="309"/>
      <c r="D13" s="398" t="s">
        <v>35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Pliego</v>
      </c>
      <c r="P13" s="314"/>
      <c r="Q13" s="315">
        <v>0.5</v>
      </c>
      <c r="R13" s="316"/>
      <c r="S13" s="317">
        <f t="shared" si="1"/>
        <v>12</v>
      </c>
      <c r="T13" s="318"/>
      <c r="U13" s="305"/>
      <c r="V13" s="305"/>
      <c r="W13" s="306">
        <f ca="1">IFERROR(IF(D13="","",INDEX(Tabla_Completa,MATCH('Soli_citud '!D13,Materiales,0),7)*S13),"")</f>
        <v>18997.84</v>
      </c>
      <c r="X13" s="306"/>
      <c r="Y13" s="306"/>
    </row>
    <row r="14" spans="1:28" ht="17.25" customHeight="1">
      <c r="A14" s="307" t="s">
        <v>34</v>
      </c>
      <c r="B14" s="308"/>
      <c r="C14" s="309"/>
      <c r="D14" s="398" t="s">
        <v>36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Rollo</v>
      </c>
      <c r="P14" s="314"/>
      <c r="Q14" s="315">
        <v>0.1</v>
      </c>
      <c r="R14" s="316"/>
      <c r="S14" s="317">
        <f t="shared" si="1"/>
        <v>2.4000000000000004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 t="s">
        <v>37</v>
      </c>
      <c r="B15" s="308"/>
      <c r="C15" s="309"/>
      <c r="D15" s="398" t="s">
        <v>38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Cono</v>
      </c>
      <c r="P15" s="314"/>
      <c r="Q15" s="315">
        <v>0.2</v>
      </c>
      <c r="R15" s="316"/>
      <c r="S15" s="317">
        <f t="shared" si="1"/>
        <v>4.8000000000000007</v>
      </c>
      <c r="T15" s="318"/>
      <c r="U15" s="305" t="s">
        <v>28</v>
      </c>
      <c r="V15" s="305"/>
      <c r="W15" s="306">
        <f ca="1">IFERROR(IF(D15="","",INDEX(Tabla_Completa,MATCH('Soli_citud '!D15,Materiales,0),7)*S15),"")</f>
        <v>33600.000000000007</v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9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9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9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9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9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9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9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9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9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9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9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9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9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9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9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39</v>
      </c>
      <c r="B39" s="319"/>
      <c r="C39" s="319"/>
      <c r="D39" s="320" t="s">
        <v>40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41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42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.95">
      <c r="A44" s="330" t="s">
        <v>43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44</v>
      </c>
      <c r="O44" s="332"/>
      <c r="P44" s="332"/>
      <c r="Q44" s="332"/>
      <c r="R44" s="327" t="s">
        <v>45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46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47</v>
      </c>
      <c r="O45" s="332"/>
      <c r="P45" s="332"/>
      <c r="Q45" s="332"/>
      <c r="R45" s="328" t="s">
        <v>48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49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26</v>
      </c>
      <c r="O46" s="332"/>
      <c r="P46" s="332"/>
      <c r="Q46" s="332"/>
      <c r="R46" s="329" t="s">
        <v>50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51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32</v>
      </c>
      <c r="O47" s="332"/>
      <c r="P47" s="332"/>
      <c r="Q47" s="332"/>
      <c r="R47" s="329" t="s">
        <v>52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53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54</v>
      </c>
      <c r="O48" s="332"/>
      <c r="P48" s="332"/>
      <c r="Q48" s="332"/>
      <c r="R48" s="329" t="s">
        <v>55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56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57</v>
      </c>
      <c r="O49" s="333"/>
      <c r="P49" s="333"/>
      <c r="Q49" s="333"/>
      <c r="R49" s="328" t="s">
        <v>58</v>
      </c>
      <c r="S49" s="328"/>
      <c r="T49" s="328"/>
      <c r="U49" s="328"/>
      <c r="V49" s="328"/>
      <c r="W49" s="328"/>
      <c r="X49" s="328"/>
    </row>
    <row r="50" spans="1:24">
      <c r="A50" s="326"/>
      <c r="B50" s="326"/>
      <c r="C50" s="326"/>
      <c r="D50" s="326"/>
      <c r="N50" s="332" t="s">
        <v>59</v>
      </c>
      <c r="O50" s="332"/>
      <c r="P50" s="332"/>
      <c r="Q50" s="332"/>
      <c r="R50" s="329" t="s">
        <v>60</v>
      </c>
      <c r="S50" s="329"/>
      <c r="T50" s="329"/>
      <c r="U50" s="329"/>
      <c r="V50" s="329"/>
      <c r="W50" s="329"/>
      <c r="X50" s="329"/>
    </row>
    <row r="51" spans="1:24">
      <c r="N51" s="332" t="s">
        <v>29</v>
      </c>
      <c r="O51" s="332"/>
      <c r="P51" s="332"/>
      <c r="Q51" s="332"/>
      <c r="R51" s="329" t="s">
        <v>61</v>
      </c>
      <c r="S51" s="329"/>
      <c r="T51" s="329"/>
      <c r="U51" s="329"/>
      <c r="V51" s="329"/>
      <c r="W51" s="329"/>
      <c r="X51" s="329"/>
    </row>
    <row r="52" spans="1:24">
      <c r="N52" s="332" t="s">
        <v>62</v>
      </c>
      <c r="O52" s="332"/>
      <c r="P52" s="332"/>
      <c r="Q52" s="332"/>
      <c r="R52" s="329" t="s">
        <v>52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C12" sqref="C12:F1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42578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42578125" customWidth="1"/>
  </cols>
  <sheetData>
    <row r="1" spans="1:27" ht="15.75" customHeight="1">
      <c r="A1" s="257"/>
      <c r="B1" s="258"/>
      <c r="C1" s="259"/>
      <c r="D1" s="414" t="s">
        <v>63</v>
      </c>
      <c r="E1" s="415"/>
      <c r="F1" s="415"/>
      <c r="G1" s="415"/>
      <c r="H1" s="415"/>
      <c r="I1" s="415"/>
      <c r="J1" s="421" t="s">
        <v>64</v>
      </c>
      <c r="K1" s="422"/>
      <c r="L1" s="422"/>
      <c r="M1" s="423"/>
      <c r="N1" s="416">
        <f>IF('Soli_citud '!O1="","",'Soli_citud '!O1)</f>
        <v>45174</v>
      </c>
      <c r="O1" s="417"/>
      <c r="P1" s="467" t="s">
        <v>65</v>
      </c>
      <c r="Q1" s="468"/>
      <c r="R1" s="463" t="str">
        <f>IF('Soli_citud '!D4="","",'Soli_citud '!D4)</f>
        <v>BOLSO  BUCKET PARA CRUZAR</v>
      </c>
      <c r="S1" s="464"/>
      <c r="Z1" t="s">
        <v>66</v>
      </c>
      <c r="AA1" s="252" t="s">
        <v>66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67</v>
      </c>
      <c r="K2" s="425"/>
      <c r="L2" s="425"/>
      <c r="M2" s="426"/>
      <c r="N2" s="418" t="str">
        <f>'Soli_citud '!F1</f>
        <v>JR0509-1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68</v>
      </c>
      <c r="K3" s="420"/>
      <c r="L3" s="420"/>
      <c r="M3" s="420"/>
      <c r="N3" s="406">
        <f>IF('Soli_citud '!O3="","",'Soli_citud '!O3)</f>
        <v>2828101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69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70</v>
      </c>
      <c r="C6" s="453"/>
      <c r="D6" s="454"/>
      <c r="E6" s="408" t="s">
        <v>71</v>
      </c>
      <c r="F6" s="408"/>
      <c r="G6" s="408"/>
      <c r="H6" s="408"/>
      <c r="I6" s="409"/>
      <c r="J6" s="443" t="s">
        <v>72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40000.640380952384</v>
      </c>
      <c r="C8" s="431"/>
      <c r="D8" s="432"/>
      <c r="E8" s="449" t="s">
        <v>73</v>
      </c>
      <c r="F8" s="450"/>
      <c r="G8" s="450"/>
      <c r="H8" s="450"/>
      <c r="I8" s="451"/>
      <c r="J8" s="445" t="str">
        <f>IF('Soli_citud '!E2="","",'Soli_citud '!E2)</f>
        <v>Juliana Romero Galvis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74</v>
      </c>
      <c r="C9" s="434"/>
      <c r="D9" s="459"/>
      <c r="E9" s="458" t="s">
        <v>75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76</v>
      </c>
      <c r="K10" s="428"/>
      <c r="L10" s="429"/>
      <c r="M10" s="242">
        <f>'Soli_citud '!K5</f>
        <v>24</v>
      </c>
      <c r="N10" s="447" t="s">
        <v>77</v>
      </c>
      <c r="O10" s="448"/>
      <c r="P10" s="471"/>
      <c r="Q10" s="472"/>
      <c r="R10" s="243" t="s">
        <v>78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79</v>
      </c>
      <c r="B11" s="264" t="s">
        <v>80</v>
      </c>
      <c r="C11" s="460" t="s">
        <v>81</v>
      </c>
      <c r="D11" s="461"/>
      <c r="E11" s="461"/>
      <c r="F11" s="462"/>
      <c r="G11" s="112" t="s">
        <v>82</v>
      </c>
      <c r="H11" s="112" t="s">
        <v>83</v>
      </c>
      <c r="I11" s="237" t="s">
        <v>84</v>
      </c>
      <c r="J11" s="110" t="s">
        <v>85</v>
      </c>
      <c r="K11" s="223" t="s">
        <v>86</v>
      </c>
      <c r="L11" s="419" t="s">
        <v>24</v>
      </c>
      <c r="M11" s="427"/>
      <c r="N11" s="240" t="s">
        <v>87</v>
      </c>
      <c r="O11" s="240" t="s">
        <v>88</v>
      </c>
      <c r="P11" s="244" t="s">
        <v>89</v>
      </c>
      <c r="Q11" s="245" t="s">
        <v>90</v>
      </c>
      <c r="R11" s="236" t="s">
        <v>91</v>
      </c>
      <c r="S11" s="224" t="s">
        <v>92</v>
      </c>
    </row>
    <row r="12" spans="1:27" ht="19.5" customHeight="1">
      <c r="A12" s="78">
        <v>1</v>
      </c>
      <c r="B12" s="265" t="str">
        <f>IF(H12="","",$N$2)</f>
        <v>JR0509-1</v>
      </c>
      <c r="C12" s="403" t="str">
        <f>IFERROR(IF('Soli_citud '!D10="","",'Soli_citud '!D10),"")</f>
        <v>NAPPA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840</v>
      </c>
      <c r="I12" s="227"/>
      <c r="J12" s="228"/>
      <c r="K12" s="207" cm="1">
        <f t="array" ref="K12">IFERROR(_xlfn.IFS(H12="","",J12=H12,"Cumplido",J12&lt;H12,H12-J12,J12&gt;H12,"Revisar"),"")</f>
        <v>840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JR0509-1</v>
      </c>
      <c r="C13" s="403" t="str">
        <f>IFERROR(IF('Soli_citud '!D11="","",'Soli_citud '!D11),"")</f>
        <v>FORRO MARROQUINERO DE POLIÉSTER</v>
      </c>
      <c r="D13" s="403"/>
      <c r="E13" s="403"/>
      <c r="F13" s="403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52368</v>
      </c>
      <c r="I13" s="227"/>
      <c r="J13" s="229"/>
      <c r="K13" s="207" cm="1">
        <f t="array" ref="K13">IFERROR(_xlfn.IFS(H13="","",J13=H13,"Cumplido",J13&lt;H13,H13-J13,J13&gt;H13,"Revisar"),"")</f>
        <v>52368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JR0509-1</v>
      </c>
      <c r="C14" s="403" t="str">
        <f>IFERROR(IF('Soli_citud '!D12="","",'Soli_citud '!D12),"")</f>
        <v xml:space="preserve">CUADRANTE 1" PAVÓN </v>
      </c>
      <c r="D14" s="403"/>
      <c r="E14" s="403"/>
      <c r="F14" s="403"/>
      <c r="G14" s="226" t="str">
        <f ca="1">IF('Soli_citud '!O12="","",'Soli_citud '!O12)</f>
        <v>U</v>
      </c>
      <c r="H14" s="226" cm="1">
        <f t="array" ref="H14">_xlfn.IFS('Soli_citud '!S12="","",'Soli_citud '!S12&lt;=0,"",'Soli_citud '!S12&gt;0,'Soli_citud '!S12)</f>
        <v>48</v>
      </c>
      <c r="I14" s="230"/>
      <c r="J14" s="229"/>
      <c r="K14" s="207" cm="1">
        <f t="array" ref="K14">IFERROR(_xlfn.IFS(H14="","",J14=H14,"Cumplido",J14&lt;H14,H14-J14,J14&gt;H14,"Revisar"),"")</f>
        <v>48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JR0509-1</v>
      </c>
      <c r="C15" s="403" t="str">
        <f>IFERROR(IF('Soli_citud '!D13="","",'Soli_citud '!D13),"")</f>
        <v xml:space="preserve">CARTULINA PLANA </v>
      </c>
      <c r="D15" s="403"/>
      <c r="E15" s="403"/>
      <c r="F15" s="403"/>
      <c r="G15" s="226" t="str">
        <f ca="1">IF('Soli_citud '!O13="","",'Soli_citud '!O13)</f>
        <v>Pliego</v>
      </c>
      <c r="H15" s="226" cm="1">
        <f t="array" ref="H15">_xlfn.IFS('Soli_citud '!S13="","",'Soli_citud '!S13&lt;=0,"",'Soli_citud '!S13&gt;0,'Soli_citud '!S13)</f>
        <v>12</v>
      </c>
      <c r="I15" s="230"/>
      <c r="J15" s="229"/>
      <c r="K15" s="207" cm="1">
        <f t="array" ref="K15">IFERROR(_xlfn.IFS(H15="","",J15=H15,"Cumplido",J15&lt;H15,H15-J15,J15&gt;H15,"Revisar"),"")</f>
        <v>12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JR0509-1</v>
      </c>
      <c r="C16" s="403" t="str">
        <f>IFERROR(IF('Soli_citud '!D14="","",'Soli_citud '!D14),"")</f>
        <v>CINTA  DE ENMASCARAR</v>
      </c>
      <c r="D16" s="403"/>
      <c r="E16" s="403"/>
      <c r="F16" s="403"/>
      <c r="G16" s="226" t="str">
        <f ca="1">IF('Soli_citud '!O14="","",'Soli_citud '!O14)</f>
        <v>Rollo</v>
      </c>
      <c r="H16" s="226" cm="1">
        <f t="array" ref="H16">_xlfn.IFS('Soli_citud '!S14="","",'Soli_citud '!S14&lt;=0,"",'Soli_citud '!S14&gt;0,'Soli_citud '!S14)</f>
        <v>2.4000000000000004</v>
      </c>
      <c r="I16" s="230"/>
      <c r="J16" s="229"/>
      <c r="K16" s="207" cm="1">
        <f t="array" ref="K16">IFERROR(_xlfn.IFS(H16="","",J16=H16,"Cumplido",J16&lt;H16,H16-J16,J16&gt;H16,"Revisar"),"")</f>
        <v>2.4000000000000004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JR0509-1</v>
      </c>
      <c r="C17" s="403" t="str">
        <f>IFERROR(IF('Soli_citud '!D15="","",'Soli_citud '!D15),"")</f>
        <v xml:space="preserve">HILO ENCERADO </v>
      </c>
      <c r="D17" s="403"/>
      <c r="E17" s="403"/>
      <c r="F17" s="403"/>
      <c r="G17" s="226" t="str">
        <f ca="1">IF('Soli_citud '!O15="","",'Soli_citud '!O15)</f>
        <v>Cono</v>
      </c>
      <c r="H17" s="226" cm="1">
        <f t="array" ref="H17">_xlfn.IFS('Soli_citud '!S15="","",'Soli_citud '!S15&lt;=0,"",'Soli_citud '!S15&gt;0,'Soli_citud '!S15)</f>
        <v>4.8000000000000007</v>
      </c>
      <c r="I17" s="230"/>
      <c r="J17" s="229"/>
      <c r="K17" s="207" cm="1">
        <f t="array" ref="K17">IFERROR(_xlfn.IFS(H17="","",J17=H17,"Cumplido",J17&lt;H17,H17-J17,J17&gt;H17,"Revisar"),"")</f>
        <v>4.8000000000000007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3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42578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93</v>
      </c>
      <c r="F1" s="490"/>
      <c r="Z1" s="252" t="s">
        <v>66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94</v>
      </c>
      <c r="B6" s="304">
        <f>SUBTOTAL(3,(BD!$B$8:$B$20))</f>
        <v>13</v>
      </c>
      <c r="C6" s="488"/>
      <c r="D6" s="489"/>
      <c r="H6" s="486" t="s">
        <v>95</v>
      </c>
      <c r="I6" s="486"/>
    </row>
    <row r="7" spans="1:26" ht="51">
      <c r="A7" s="73" t="s">
        <v>79</v>
      </c>
      <c r="B7" s="116" t="s">
        <v>96</v>
      </c>
      <c r="C7" s="70" t="s">
        <v>97</v>
      </c>
      <c r="D7" s="71" t="s">
        <v>98</v>
      </c>
      <c r="E7" s="91" t="s">
        <v>99</v>
      </c>
      <c r="F7" s="187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0" t="s">
        <v>44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44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0" t="s">
        <v>44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44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44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44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44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115</v>
      </c>
      <c r="C15" s="140" t="s">
        <v>44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116</v>
      </c>
      <c r="C16" s="140" t="s">
        <v>44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117</v>
      </c>
      <c r="C17" s="140" t="s">
        <v>44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118</v>
      </c>
      <c r="C18" s="140" t="s">
        <v>44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119</v>
      </c>
      <c r="C19" s="140" t="s">
        <v>44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120</v>
      </c>
      <c r="C20" s="275" t="s">
        <v>44</v>
      </c>
      <c r="D20" s="48" t="s">
        <v>107</v>
      </c>
      <c r="E20" s="43"/>
      <c r="F20" s="188" t="s">
        <v>107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94</v>
      </c>
      <c r="B32" s="210">
        <f>SUBTOTAL(3,(B34:B141))</f>
        <v>108</v>
      </c>
      <c r="C32"/>
      <c r="D32"/>
      <c r="E32"/>
      <c r="F32" s="189"/>
      <c r="H32"/>
      <c r="I32"/>
    </row>
    <row r="33" spans="1:10" ht="51">
      <c r="A33" s="73" t="s">
        <v>79</v>
      </c>
      <c r="B33" s="121" t="s">
        <v>96</v>
      </c>
      <c r="C33" s="66" t="s">
        <v>97</v>
      </c>
      <c r="D33" s="67" t="s">
        <v>98</v>
      </c>
      <c r="E33" s="69" t="s">
        <v>99</v>
      </c>
      <c r="F33" s="187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122</v>
      </c>
      <c r="C34" s="219" t="s">
        <v>123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124</v>
      </c>
      <c r="C35" s="219" t="s">
        <v>123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125</v>
      </c>
      <c r="C36" s="219" t="s">
        <v>123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126</v>
      </c>
      <c r="C37" s="219" t="s">
        <v>123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127</v>
      </c>
      <c r="C38" s="219" t="s">
        <v>123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128</v>
      </c>
      <c r="C39" s="219" t="s">
        <v>123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129</v>
      </c>
      <c r="C40" s="219" t="s">
        <v>123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130</v>
      </c>
      <c r="C41" s="219" t="s">
        <v>123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131</v>
      </c>
      <c r="C42" s="219" t="s">
        <v>123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132</v>
      </c>
      <c r="C43" s="219" t="s">
        <v>123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133</v>
      </c>
      <c r="C44" s="219" t="s">
        <v>123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134</v>
      </c>
      <c r="C45" s="219" t="s">
        <v>123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135</v>
      </c>
      <c r="C46" s="219" t="s">
        <v>123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136</v>
      </c>
      <c r="C47" s="219" t="s">
        <v>123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137</v>
      </c>
      <c r="C48" s="219" t="s">
        <v>123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138</v>
      </c>
      <c r="C49" s="219" t="s">
        <v>123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139</v>
      </c>
      <c r="C50" s="219" t="s">
        <v>123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140</v>
      </c>
      <c r="C51" s="219" t="s">
        <v>123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141</v>
      </c>
      <c r="C52" s="219" t="s">
        <v>123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142</v>
      </c>
      <c r="C53" s="219" t="s">
        <v>123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143</v>
      </c>
      <c r="C54" s="219" t="s">
        <v>123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144</v>
      </c>
      <c r="C55" s="219" t="s">
        <v>123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145</v>
      </c>
      <c r="C56" s="219" t="s">
        <v>123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146</v>
      </c>
      <c r="C57" s="219" t="s">
        <v>123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147</v>
      </c>
      <c r="C58" s="219" t="s">
        <v>123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148</v>
      </c>
      <c r="C59" s="219" t="s">
        <v>123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149</v>
      </c>
      <c r="C60" s="219" t="s">
        <v>123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150</v>
      </c>
      <c r="C61" s="219" t="s">
        <v>123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151</v>
      </c>
      <c r="C62" s="219" t="s">
        <v>123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152</v>
      </c>
      <c r="C63" s="219" t="s">
        <v>123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153</v>
      </c>
      <c r="C64" s="219" t="s">
        <v>123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154</v>
      </c>
      <c r="C65" s="219" t="s">
        <v>123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155</v>
      </c>
      <c r="C66" s="219" t="s">
        <v>123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156</v>
      </c>
      <c r="C67" s="219" t="s">
        <v>123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157</v>
      </c>
      <c r="C68" s="219" t="s">
        <v>123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158</v>
      </c>
      <c r="C69" s="219" t="s">
        <v>123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159</v>
      </c>
      <c r="C70" s="219" t="s">
        <v>123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160</v>
      </c>
      <c r="C71" s="219" t="s">
        <v>123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161</v>
      </c>
      <c r="C72" s="219" t="s">
        <v>123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162</v>
      </c>
      <c r="C73" s="219" t="s">
        <v>123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163</v>
      </c>
      <c r="C74" s="219" t="s">
        <v>123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164</v>
      </c>
      <c r="C75" s="219" t="s">
        <v>123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165</v>
      </c>
      <c r="C76" s="219" t="s">
        <v>123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166</v>
      </c>
      <c r="C77" s="219" t="s">
        <v>123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167</v>
      </c>
      <c r="C78" s="219" t="s">
        <v>123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168</v>
      </c>
      <c r="C79" s="219" t="s">
        <v>123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169</v>
      </c>
      <c r="C80" s="219" t="s">
        <v>123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170</v>
      </c>
      <c r="C81" s="219" t="s">
        <v>123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171</v>
      </c>
      <c r="C82" s="219" t="s">
        <v>123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172</v>
      </c>
      <c r="C83" s="219" t="s">
        <v>123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173</v>
      </c>
      <c r="C84" s="219" t="s">
        <v>123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174</v>
      </c>
      <c r="C85" s="219" t="s">
        <v>123</v>
      </c>
      <c r="D85" s="48" t="s">
        <v>175</v>
      </c>
      <c r="E85" s="43">
        <v>97321</v>
      </c>
      <c r="F85" s="188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176</v>
      </c>
      <c r="C86" s="219" t="s">
        <v>123</v>
      </c>
      <c r="D86" s="48" t="s">
        <v>175</v>
      </c>
      <c r="E86" s="43">
        <v>99191</v>
      </c>
      <c r="F86" s="188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177</v>
      </c>
      <c r="C87" s="219" t="s">
        <v>123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178</v>
      </c>
      <c r="C88" s="219" t="s">
        <v>123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179</v>
      </c>
      <c r="C89" s="219" t="s">
        <v>123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180</v>
      </c>
      <c r="C90" s="219" t="s">
        <v>123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181</v>
      </c>
      <c r="C91" s="219" t="s">
        <v>123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182</v>
      </c>
      <c r="C92" s="219" t="s">
        <v>123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183</v>
      </c>
      <c r="C93" s="219" t="s">
        <v>123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184</v>
      </c>
      <c r="C94" s="219" t="s">
        <v>123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185</v>
      </c>
      <c r="C95" s="219" t="s">
        <v>123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186</v>
      </c>
      <c r="C96" s="219" t="s">
        <v>123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187</v>
      </c>
      <c r="C97" s="219" t="s">
        <v>123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188</v>
      </c>
      <c r="C98" s="219" t="s">
        <v>123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189</v>
      </c>
      <c r="C99" s="219" t="s">
        <v>123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190</v>
      </c>
      <c r="C100" s="219" t="s">
        <v>123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191</v>
      </c>
      <c r="C101" s="219" t="s">
        <v>123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192</v>
      </c>
      <c r="C102" s="219" t="s">
        <v>123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193</v>
      </c>
      <c r="C103" s="219" t="s">
        <v>123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194</v>
      </c>
      <c r="C104" s="219" t="s">
        <v>123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195</v>
      </c>
      <c r="C105" s="219" t="s">
        <v>123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196</v>
      </c>
      <c r="C106" s="219" t="s">
        <v>123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197</v>
      </c>
      <c r="C107" s="219" t="s">
        <v>123</v>
      </c>
      <c r="D107" s="48" t="s">
        <v>175</v>
      </c>
      <c r="E107" s="43">
        <v>47662</v>
      </c>
      <c r="F107" s="188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198</v>
      </c>
      <c r="C108" s="219" t="s">
        <v>123</v>
      </c>
      <c r="D108" s="48" t="s">
        <v>175</v>
      </c>
      <c r="E108" s="43">
        <v>8533</v>
      </c>
      <c r="F108" s="188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199</v>
      </c>
      <c r="C109" s="219" t="s">
        <v>123</v>
      </c>
      <c r="D109" s="48" t="s">
        <v>175</v>
      </c>
      <c r="E109" s="43">
        <v>8367</v>
      </c>
      <c r="F109" s="188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200</v>
      </c>
      <c r="C110" s="219" t="s">
        <v>123</v>
      </c>
      <c r="D110" s="48" t="s">
        <v>175</v>
      </c>
      <c r="E110" s="43">
        <v>32859</v>
      </c>
      <c r="F110" s="188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201</v>
      </c>
      <c r="C111" s="219" t="s">
        <v>123</v>
      </c>
      <c r="D111" s="48" t="s">
        <v>175</v>
      </c>
      <c r="E111" s="43">
        <v>9366</v>
      </c>
      <c r="F111" s="188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202</v>
      </c>
      <c r="C112" s="219" t="s">
        <v>123</v>
      </c>
      <c r="D112" s="48" t="s">
        <v>175</v>
      </c>
      <c r="E112" s="43">
        <v>54502</v>
      </c>
      <c r="F112" s="188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203</v>
      </c>
      <c r="C113" s="219" t="s">
        <v>123</v>
      </c>
      <c r="D113" s="48" t="s">
        <v>204</v>
      </c>
      <c r="E113" s="43">
        <v>14170</v>
      </c>
      <c r="F113" s="188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205</v>
      </c>
      <c r="C114" s="219" t="s">
        <v>123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206</v>
      </c>
      <c r="C115" s="219" t="s">
        <v>123</v>
      </c>
      <c r="D115" s="48" t="s">
        <v>207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208</v>
      </c>
      <c r="C116" s="219" t="s">
        <v>123</v>
      </c>
      <c r="D116" s="48" t="s">
        <v>209</v>
      </c>
      <c r="E116" s="43">
        <v>50178</v>
      </c>
      <c r="F116" s="188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210</v>
      </c>
      <c r="C117" s="219" t="s">
        <v>123</v>
      </c>
      <c r="D117" s="48" t="s">
        <v>175</v>
      </c>
      <c r="E117" s="43">
        <v>35105</v>
      </c>
      <c r="F117" s="188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211</v>
      </c>
      <c r="C118" s="219" t="s">
        <v>123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212</v>
      </c>
      <c r="C119" s="219" t="s">
        <v>123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213</v>
      </c>
      <c r="C120" s="219" t="s">
        <v>123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214</v>
      </c>
      <c r="C121" s="219" t="s">
        <v>123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215</v>
      </c>
      <c r="C122" s="219" t="s">
        <v>123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216</v>
      </c>
      <c r="C123" s="219" t="s">
        <v>123</v>
      </c>
      <c r="D123" s="48" t="s">
        <v>217</v>
      </c>
      <c r="E123" s="43">
        <v>38591.666666666664</v>
      </c>
      <c r="F123" s="188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218</v>
      </c>
      <c r="C124" s="219" t="s">
        <v>123</v>
      </c>
      <c r="D124" s="48" t="s">
        <v>175</v>
      </c>
      <c r="E124" s="43">
        <v>22134</v>
      </c>
      <c r="F124" s="188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219</v>
      </c>
      <c r="C125" s="219" t="s">
        <v>123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220</v>
      </c>
      <c r="C126" s="219" t="s">
        <v>123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221</v>
      </c>
      <c r="C127" s="219" t="s">
        <v>123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222</v>
      </c>
      <c r="C128" s="219" t="s">
        <v>123</v>
      </c>
      <c r="D128" s="48" t="s">
        <v>175</v>
      </c>
      <c r="E128" s="43">
        <v>149370</v>
      </c>
      <c r="F128" s="188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223</v>
      </c>
      <c r="C129" s="219" t="s">
        <v>123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224</v>
      </c>
      <c r="C130" s="219" t="s">
        <v>123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225</v>
      </c>
      <c r="C131" s="219" t="s">
        <v>123</v>
      </c>
      <c r="D131" s="48" t="s">
        <v>209</v>
      </c>
      <c r="E131" s="43">
        <v>8850</v>
      </c>
      <c r="F131" s="188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226</v>
      </c>
      <c r="C132" s="219" t="s">
        <v>123</v>
      </c>
      <c r="D132" s="48" t="s">
        <v>227</v>
      </c>
      <c r="E132" s="43">
        <v>135533.5</v>
      </c>
      <c r="F132" s="188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228</v>
      </c>
      <c r="C133" s="219" t="s">
        <v>123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229</v>
      </c>
      <c r="C134" s="219" t="s">
        <v>123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230</v>
      </c>
      <c r="C135" s="219" t="s">
        <v>123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231</v>
      </c>
      <c r="C136" s="219" t="s">
        <v>123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232</v>
      </c>
      <c r="C137" s="219" t="s">
        <v>123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233</v>
      </c>
      <c r="C138" s="219" t="s">
        <v>123</v>
      </c>
      <c r="D138" s="48" t="s">
        <v>217</v>
      </c>
      <c r="E138" s="43">
        <v>90800</v>
      </c>
      <c r="F138" s="188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234</v>
      </c>
      <c r="C139" s="219" t="s">
        <v>123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235</v>
      </c>
      <c r="C140" s="219" t="s">
        <v>123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236</v>
      </c>
      <c r="C141" s="219" t="s">
        <v>123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94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51">
      <c r="A161" s="118" t="s">
        <v>79</v>
      </c>
      <c r="B161" s="123" t="s">
        <v>96</v>
      </c>
      <c r="C161" s="119" t="s">
        <v>97</v>
      </c>
      <c r="D161" s="103" t="s">
        <v>98</v>
      </c>
      <c r="E161" s="69" t="s">
        <v>99</v>
      </c>
      <c r="F161" s="187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0" t="s">
        <v>237</v>
      </c>
      <c r="C162" s="219" t="s">
        <v>37</v>
      </c>
      <c r="D162" s="48" t="s">
        <v>175</v>
      </c>
      <c r="E162" s="43">
        <v>760</v>
      </c>
      <c r="F162" s="188" t="s">
        <v>175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238</v>
      </c>
      <c r="C163" s="219" t="s">
        <v>37</v>
      </c>
      <c r="D163" s="48" t="s">
        <v>239</v>
      </c>
      <c r="E163" s="43">
        <v>45667</v>
      </c>
      <c r="F163" s="188" t="s">
        <v>239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240</v>
      </c>
      <c r="C164" s="219" t="s">
        <v>37</v>
      </c>
      <c r="D164" s="48" t="s">
        <v>241</v>
      </c>
      <c r="E164" s="43">
        <v>41000</v>
      </c>
      <c r="F164" s="188" t="s">
        <v>242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243</v>
      </c>
      <c r="C165" s="219" t="s">
        <v>37</v>
      </c>
      <c r="D165" s="48" t="s">
        <v>241</v>
      </c>
      <c r="E165" s="43">
        <v>58500</v>
      </c>
      <c r="F165" s="188" t="s">
        <v>242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244</v>
      </c>
      <c r="C166" s="219" t="s">
        <v>37</v>
      </c>
      <c r="D166" s="48" t="s">
        <v>239</v>
      </c>
      <c r="E166" s="43">
        <v>17830</v>
      </c>
      <c r="F166" s="188" t="s">
        <v>245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246</v>
      </c>
      <c r="C167" s="219" t="s">
        <v>37</v>
      </c>
      <c r="D167" s="48" t="s">
        <v>175</v>
      </c>
      <c r="E167" s="43">
        <v>639</v>
      </c>
      <c r="F167" s="48" t="s">
        <v>175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247</v>
      </c>
      <c r="C168" s="219" t="s">
        <v>37</v>
      </c>
      <c r="D168" s="48" t="s">
        <v>175</v>
      </c>
      <c r="E168" s="43">
        <v>639</v>
      </c>
      <c r="F168" s="48" t="s">
        <v>175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248</v>
      </c>
      <c r="C169" s="219" t="s">
        <v>37</v>
      </c>
      <c r="D169" s="48" t="s">
        <v>175</v>
      </c>
      <c r="E169" s="43">
        <v>639</v>
      </c>
      <c r="F169" s="48" t="s">
        <v>175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19" t="s">
        <v>37</v>
      </c>
      <c r="D170" s="48" t="s">
        <v>175</v>
      </c>
      <c r="E170" s="43">
        <v>639</v>
      </c>
      <c r="F170" s="48" t="s">
        <v>175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19" t="s">
        <v>37</v>
      </c>
      <c r="D171" s="48" t="s">
        <v>175</v>
      </c>
      <c r="E171" s="43">
        <v>639</v>
      </c>
      <c r="F171" s="48" t="s">
        <v>175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19" t="s">
        <v>37</v>
      </c>
      <c r="D172" s="48" t="s">
        <v>175</v>
      </c>
      <c r="E172" s="43">
        <v>639</v>
      </c>
      <c r="F172" s="48" t="s">
        <v>175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19" t="s">
        <v>37</v>
      </c>
      <c r="D173" s="48" t="s">
        <v>175</v>
      </c>
      <c r="E173" s="43">
        <v>639</v>
      </c>
      <c r="F173" s="48" t="s">
        <v>175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19" t="s">
        <v>37</v>
      </c>
      <c r="D174" s="48" t="s">
        <v>175</v>
      </c>
      <c r="E174" s="43">
        <v>639</v>
      </c>
      <c r="F174" s="48" t="s">
        <v>175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19" t="s">
        <v>37</v>
      </c>
      <c r="D175" s="48" t="s">
        <v>175</v>
      </c>
      <c r="E175" s="43">
        <v>639</v>
      </c>
      <c r="F175" s="48" t="s">
        <v>175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19" t="s">
        <v>37</v>
      </c>
      <c r="D176" s="48" t="s">
        <v>175</v>
      </c>
      <c r="E176" s="43">
        <v>639</v>
      </c>
      <c r="F176" s="48" t="s">
        <v>175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19" t="s">
        <v>37</v>
      </c>
      <c r="D177" s="48" t="s">
        <v>175</v>
      </c>
      <c r="E177" s="43">
        <v>639</v>
      </c>
      <c r="F177" s="48" t="s">
        <v>175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19" t="s">
        <v>37</v>
      </c>
      <c r="D178" s="48" t="s">
        <v>175</v>
      </c>
      <c r="E178" s="43">
        <v>475</v>
      </c>
      <c r="F178" s="48" t="s">
        <v>175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19" t="s">
        <v>37</v>
      </c>
      <c r="D179" s="48" t="s">
        <v>175</v>
      </c>
      <c r="E179" s="43">
        <v>475</v>
      </c>
      <c r="F179" s="48" t="s">
        <v>175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19" t="s">
        <v>37</v>
      </c>
      <c r="D180" s="48" t="s">
        <v>175</v>
      </c>
      <c r="E180" s="43">
        <v>475</v>
      </c>
      <c r="F180" s="48" t="s">
        <v>175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19" t="s">
        <v>37</v>
      </c>
      <c r="D181" s="48" t="s">
        <v>175</v>
      </c>
      <c r="E181" s="43">
        <v>475</v>
      </c>
      <c r="F181" s="48" t="s">
        <v>175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19" t="s">
        <v>37</v>
      </c>
      <c r="D182" s="48" t="s">
        <v>175</v>
      </c>
      <c r="E182" s="43">
        <v>475</v>
      </c>
      <c r="F182" s="48" t="s">
        <v>175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19" t="s">
        <v>37</v>
      </c>
      <c r="D183" s="48" t="s">
        <v>175</v>
      </c>
      <c r="E183" s="43">
        <v>475</v>
      </c>
      <c r="F183" s="48" t="s">
        <v>175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19" t="s">
        <v>37</v>
      </c>
      <c r="D184" s="48" t="s">
        <v>175</v>
      </c>
      <c r="E184" s="43">
        <v>475</v>
      </c>
      <c r="F184" s="48" t="s">
        <v>175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9" t="s">
        <v>37</v>
      </c>
      <c r="D185" s="48" t="s">
        <v>175</v>
      </c>
      <c r="E185" s="43">
        <v>475</v>
      </c>
      <c r="F185" s="48" t="s">
        <v>175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9" t="s">
        <v>37</v>
      </c>
      <c r="D186" s="48" t="s">
        <v>175</v>
      </c>
      <c r="E186" s="43">
        <v>475</v>
      </c>
      <c r="F186" s="48" t="s">
        <v>175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9" t="s">
        <v>37</v>
      </c>
      <c r="D187" s="48" t="s">
        <v>175</v>
      </c>
      <c r="E187" s="43">
        <v>475</v>
      </c>
      <c r="F187" s="48" t="s">
        <v>175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9" t="s">
        <v>37</v>
      </c>
      <c r="D188" s="48" t="s">
        <v>175</v>
      </c>
      <c r="E188" s="43">
        <v>475</v>
      </c>
      <c r="F188" s="48" t="s">
        <v>175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9" t="s">
        <v>37</v>
      </c>
      <c r="D189" s="48" t="s">
        <v>175</v>
      </c>
      <c r="E189" s="43">
        <v>475</v>
      </c>
      <c r="F189" s="48" t="s">
        <v>175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9" t="s">
        <v>37</v>
      </c>
      <c r="D190" s="48" t="s">
        <v>175</v>
      </c>
      <c r="E190" s="43">
        <v>475</v>
      </c>
      <c r="F190" s="48" t="s">
        <v>175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9" t="s">
        <v>37</v>
      </c>
      <c r="D191" s="58" t="s">
        <v>175</v>
      </c>
      <c r="E191" s="43">
        <v>475</v>
      </c>
      <c r="F191" s="58" t="s">
        <v>175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9" t="s">
        <v>37</v>
      </c>
      <c r="D192" s="58" t="s">
        <v>175</v>
      </c>
      <c r="E192" s="43">
        <v>475</v>
      </c>
      <c r="F192" s="58" t="s">
        <v>175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9" t="s">
        <v>37</v>
      </c>
      <c r="D193" s="58" t="s">
        <v>175</v>
      </c>
      <c r="E193" s="43">
        <v>475</v>
      </c>
      <c r="F193" s="58" t="s">
        <v>175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9" t="s">
        <v>37</v>
      </c>
      <c r="D194" s="58" t="s">
        <v>175</v>
      </c>
      <c r="E194" s="43">
        <v>475</v>
      </c>
      <c r="F194" s="58" t="s">
        <v>175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9" t="s">
        <v>37</v>
      </c>
      <c r="D195" s="58" t="s">
        <v>175</v>
      </c>
      <c r="E195" s="43">
        <v>475</v>
      </c>
      <c r="F195" s="58" t="s">
        <v>175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9" t="s">
        <v>37</v>
      </c>
      <c r="D196" s="58" t="s">
        <v>175</v>
      </c>
      <c r="E196" s="43">
        <v>475</v>
      </c>
      <c r="F196" s="58" t="s">
        <v>175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9" t="s">
        <v>37</v>
      </c>
      <c r="D197" s="58" t="s">
        <v>175</v>
      </c>
      <c r="E197" s="43">
        <v>475</v>
      </c>
      <c r="F197" s="58" t="s">
        <v>175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9" t="s">
        <v>37</v>
      </c>
      <c r="D198" s="48" t="s">
        <v>175</v>
      </c>
      <c r="E198" s="43">
        <v>475</v>
      </c>
      <c r="F198" s="48" t="s">
        <v>175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9" t="s">
        <v>37</v>
      </c>
      <c r="D199" s="48" t="s">
        <v>175</v>
      </c>
      <c r="E199" s="43">
        <v>475</v>
      </c>
      <c r="F199" s="48" t="s">
        <v>175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9" t="s">
        <v>37</v>
      </c>
      <c r="D200" s="48" t="s">
        <v>175</v>
      </c>
      <c r="E200" s="43">
        <v>475</v>
      </c>
      <c r="F200" s="48" t="s">
        <v>175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9" t="s">
        <v>37</v>
      </c>
      <c r="D201" s="151" t="s">
        <v>175</v>
      </c>
      <c r="E201" s="43">
        <v>475</v>
      </c>
      <c r="F201" s="48" t="s">
        <v>175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9" t="s">
        <v>37</v>
      </c>
      <c r="D202" s="48" t="s">
        <v>175</v>
      </c>
      <c r="E202" s="43">
        <v>475</v>
      </c>
      <c r="F202" s="48" t="s">
        <v>175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9" t="s">
        <v>37</v>
      </c>
      <c r="D203" s="151" t="s">
        <v>175</v>
      </c>
      <c r="E203" s="152">
        <v>639</v>
      </c>
      <c r="F203" s="48" t="s">
        <v>175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9" t="s">
        <v>37</v>
      </c>
      <c r="D204" s="151" t="s">
        <v>175</v>
      </c>
      <c r="E204" s="152">
        <v>639</v>
      </c>
      <c r="F204" s="48" t="s">
        <v>175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9" t="s">
        <v>37</v>
      </c>
      <c r="D205" s="151" t="s">
        <v>175</v>
      </c>
      <c r="E205" s="152">
        <v>639</v>
      </c>
      <c r="F205" s="48" t="s">
        <v>175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9" t="s">
        <v>37</v>
      </c>
      <c r="D206" s="151" t="s">
        <v>175</v>
      </c>
      <c r="E206" s="152">
        <v>639</v>
      </c>
      <c r="F206" s="48" t="s">
        <v>175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9" t="s">
        <v>37</v>
      </c>
      <c r="D207" s="151" t="s">
        <v>175</v>
      </c>
      <c r="E207" s="152">
        <v>639</v>
      </c>
      <c r="F207" s="48" t="s">
        <v>175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9" t="s">
        <v>37</v>
      </c>
      <c r="D208" s="151" t="s">
        <v>175</v>
      </c>
      <c r="E208" s="152">
        <v>639</v>
      </c>
      <c r="F208" s="48" t="s">
        <v>175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9" t="s">
        <v>37</v>
      </c>
      <c r="D209" s="151" t="s">
        <v>175</v>
      </c>
      <c r="E209" s="152">
        <v>639</v>
      </c>
      <c r="F209" s="48" t="s">
        <v>175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9" t="s">
        <v>37</v>
      </c>
      <c r="D210" s="48" t="s">
        <v>175</v>
      </c>
      <c r="E210" s="43">
        <v>639</v>
      </c>
      <c r="F210" s="48" t="s">
        <v>175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9" t="s">
        <v>37</v>
      </c>
      <c r="D211" s="151" t="s">
        <v>175</v>
      </c>
      <c r="E211" s="152">
        <v>639</v>
      </c>
      <c r="F211" s="48" t="s">
        <v>175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9" t="s">
        <v>37</v>
      </c>
      <c r="D212" s="151" t="s">
        <v>175</v>
      </c>
      <c r="E212" s="152">
        <v>639</v>
      </c>
      <c r="F212" s="48" t="s">
        <v>175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9" t="s">
        <v>37</v>
      </c>
      <c r="D213" s="151" t="s">
        <v>175</v>
      </c>
      <c r="E213" s="152">
        <v>639</v>
      </c>
      <c r="F213" s="48" t="s">
        <v>175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9" t="s">
        <v>37</v>
      </c>
      <c r="D214" s="151" t="s">
        <v>175</v>
      </c>
      <c r="E214" s="152">
        <v>639</v>
      </c>
      <c r="F214" s="48" t="s">
        <v>175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9" t="s">
        <v>37</v>
      </c>
      <c r="D215" s="151" t="s">
        <v>175</v>
      </c>
      <c r="E215" s="152">
        <v>639</v>
      </c>
      <c r="F215" s="48" t="s">
        <v>175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9" t="s">
        <v>37</v>
      </c>
      <c r="D216" s="48" t="s">
        <v>175</v>
      </c>
      <c r="E216" s="43">
        <v>639</v>
      </c>
      <c r="F216" s="48" t="s">
        <v>175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9" t="s">
        <v>37</v>
      </c>
      <c r="D217" s="48" t="s">
        <v>175</v>
      </c>
      <c r="E217" s="166">
        <v>639</v>
      </c>
      <c r="F217" s="86" t="s">
        <v>175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9" t="s">
        <v>37</v>
      </c>
      <c r="D218" s="48" t="s">
        <v>175</v>
      </c>
      <c r="E218" s="166">
        <v>475.34</v>
      </c>
      <c r="F218" s="86" t="s">
        <v>175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9" t="s">
        <v>37</v>
      </c>
      <c r="D219" s="48" t="s">
        <v>175</v>
      </c>
      <c r="E219" s="166">
        <v>475.34</v>
      </c>
      <c r="F219" s="86" t="s">
        <v>175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9" t="s">
        <v>37</v>
      </c>
      <c r="D220" s="48" t="s">
        <v>175</v>
      </c>
      <c r="E220" s="166">
        <v>475.34</v>
      </c>
      <c r="F220" s="86" t="s">
        <v>175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9" t="s">
        <v>37</v>
      </c>
      <c r="D221" s="48" t="s">
        <v>175</v>
      </c>
      <c r="E221" s="43">
        <v>475.34</v>
      </c>
      <c r="F221" s="300" t="s">
        <v>175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9" t="s">
        <v>37</v>
      </c>
      <c r="D222" s="48" t="s">
        <v>175</v>
      </c>
      <c r="E222" s="166">
        <v>475.34</v>
      </c>
      <c r="F222" s="86" t="s">
        <v>175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9" t="s">
        <v>37</v>
      </c>
      <c r="D223" s="48" t="s">
        <v>175</v>
      </c>
      <c r="E223" s="166">
        <v>475.34</v>
      </c>
      <c r="F223" s="86" t="s">
        <v>175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9" t="s">
        <v>37</v>
      </c>
      <c r="D224" s="48" t="s">
        <v>175</v>
      </c>
      <c r="E224" s="166">
        <v>475.34</v>
      </c>
      <c r="F224" s="86" t="s">
        <v>175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9" t="s">
        <v>37</v>
      </c>
      <c r="D225" s="48" t="s">
        <v>175</v>
      </c>
      <c r="E225" s="166">
        <v>475.34</v>
      </c>
      <c r="F225" s="86" t="s">
        <v>175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9" t="s">
        <v>37</v>
      </c>
      <c r="D226" s="48" t="s">
        <v>175</v>
      </c>
      <c r="E226" s="166">
        <v>475.34</v>
      </c>
      <c r="F226" s="86" t="s">
        <v>175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9" t="s">
        <v>37</v>
      </c>
      <c r="D227" s="48" t="s">
        <v>175</v>
      </c>
      <c r="E227" s="166">
        <v>475.34</v>
      </c>
      <c r="F227" s="86" t="s">
        <v>175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9" t="s">
        <v>37</v>
      </c>
      <c r="D228" s="48" t="s">
        <v>242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9" t="s">
        <v>37</v>
      </c>
      <c r="D229" s="48" t="s">
        <v>242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310</v>
      </c>
      <c r="C230" s="219" t="s">
        <v>37</v>
      </c>
      <c r="D230" s="48" t="s">
        <v>242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311</v>
      </c>
      <c r="C231" s="219" t="s">
        <v>37</v>
      </c>
      <c r="D231" s="48" t="s">
        <v>242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9" t="s">
        <v>37</v>
      </c>
      <c r="D232" s="49" t="s">
        <v>239</v>
      </c>
      <c r="E232" s="166">
        <v>16471.25</v>
      </c>
      <c r="F232" s="301" t="s">
        <v>239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9" t="s">
        <v>37</v>
      </c>
      <c r="D233" s="49" t="s">
        <v>239</v>
      </c>
      <c r="E233" s="166">
        <v>32931.5</v>
      </c>
      <c r="F233" s="301" t="s">
        <v>239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9" t="s">
        <v>37</v>
      </c>
      <c r="D234" s="49" t="s">
        <v>239</v>
      </c>
      <c r="E234" s="166">
        <v>16209.5</v>
      </c>
      <c r="F234" s="301" t="s">
        <v>239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9" t="s">
        <v>37</v>
      </c>
      <c r="D235" s="49" t="s">
        <v>239</v>
      </c>
      <c r="E235" s="166">
        <v>32417</v>
      </c>
      <c r="F235" s="301" t="s">
        <v>239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9" t="s">
        <v>37</v>
      </c>
      <c r="D236" s="49" t="s">
        <v>239</v>
      </c>
      <c r="E236" s="166">
        <v>50250</v>
      </c>
      <c r="F236" s="301" t="s">
        <v>239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9" t="s">
        <v>37</v>
      </c>
      <c r="D237" s="49" t="s">
        <v>239</v>
      </c>
      <c r="E237" s="166">
        <v>25131.5</v>
      </c>
      <c r="F237" s="301" t="s">
        <v>239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9" t="s">
        <v>37</v>
      </c>
      <c r="D238" s="48" t="s">
        <v>241</v>
      </c>
      <c r="E238" s="166">
        <v>3700</v>
      </c>
      <c r="F238" s="192" t="s">
        <v>245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9" t="s">
        <v>37</v>
      </c>
      <c r="D239" s="48" t="s">
        <v>242</v>
      </c>
      <c r="E239" s="43">
        <v>92</v>
      </c>
      <c r="F239" s="193" t="s">
        <v>242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19" t="s">
        <v>37</v>
      </c>
      <c r="D240" s="48" t="s">
        <v>242</v>
      </c>
      <c r="E240" s="43">
        <v>92</v>
      </c>
      <c r="F240" s="193" t="s">
        <v>242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19" t="s">
        <v>37</v>
      </c>
      <c r="D241" s="48" t="s">
        <v>242</v>
      </c>
      <c r="E241" s="43">
        <v>92</v>
      </c>
      <c r="F241" s="193" t="s">
        <v>242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322</v>
      </c>
      <c r="C242" s="219" t="s">
        <v>37</v>
      </c>
      <c r="D242" s="48" t="s">
        <v>245</v>
      </c>
      <c r="E242" s="43">
        <v>8591.7999999999993</v>
      </c>
      <c r="F242" s="193" t="s">
        <v>242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323</v>
      </c>
      <c r="C243" s="219" t="s">
        <v>37</v>
      </c>
      <c r="D243" s="48" t="s">
        <v>242</v>
      </c>
      <c r="E243" s="43">
        <v>10740.701999999999</v>
      </c>
      <c r="F243" s="193" t="s">
        <v>242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324</v>
      </c>
      <c r="C244" s="219" t="s">
        <v>37</v>
      </c>
      <c r="D244" s="48" t="s">
        <v>242</v>
      </c>
      <c r="E244" s="43">
        <v>26000</v>
      </c>
      <c r="F244" s="193" t="s">
        <v>245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325</v>
      </c>
      <c r="C245" s="219" t="s">
        <v>37</v>
      </c>
      <c r="D245" s="48" t="s">
        <v>242</v>
      </c>
      <c r="E245" s="43">
        <v>13000</v>
      </c>
      <c r="F245" s="193" t="s">
        <v>245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38</v>
      </c>
      <c r="C246" s="276" t="s">
        <v>37</v>
      </c>
      <c r="D246" s="48" t="s">
        <v>242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37</v>
      </c>
      <c r="D247" s="48" t="s">
        <v>241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37</v>
      </c>
      <c r="D248" s="48" t="s">
        <v>112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37</v>
      </c>
      <c r="D249" s="48" t="s">
        <v>112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6" t="s">
        <v>37</v>
      </c>
      <c r="D250" s="277" t="s">
        <v>112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6" t="s">
        <v>37</v>
      </c>
      <c r="D251" s="277" t="s">
        <v>241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6" t="s">
        <v>37</v>
      </c>
      <c r="D252" s="277" t="s">
        <v>242</v>
      </c>
      <c r="E252" s="303">
        <v>7183</v>
      </c>
      <c r="F252" s="278" t="s">
        <v>245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6" t="s">
        <v>37</v>
      </c>
      <c r="D253" s="277" t="s">
        <v>242</v>
      </c>
      <c r="E253" s="303">
        <v>10597</v>
      </c>
      <c r="F253" s="278" t="s">
        <v>245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6" t="s">
        <v>37</v>
      </c>
      <c r="D254" s="277" t="s">
        <v>112</v>
      </c>
      <c r="E254" s="141">
        <v>2866.6666666666665</v>
      </c>
      <c r="F254" s="278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6" t="s">
        <v>37</v>
      </c>
      <c r="D255" s="277" t="s">
        <v>112</v>
      </c>
      <c r="E255" s="141">
        <v>2866.6666666666665</v>
      </c>
      <c r="F255" s="278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6" t="s">
        <v>37</v>
      </c>
      <c r="D256" s="277" t="s">
        <v>245</v>
      </c>
      <c r="E256" s="141"/>
      <c r="F256" s="278" t="s">
        <v>245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6" t="s">
        <v>37</v>
      </c>
      <c r="D257" s="277" t="s">
        <v>239</v>
      </c>
      <c r="E257" s="141">
        <v>8000</v>
      </c>
      <c r="F257" s="278" t="s">
        <v>245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6" t="s">
        <v>37</v>
      </c>
      <c r="D258" s="277" t="s">
        <v>239</v>
      </c>
      <c r="E258" s="141">
        <v>10000</v>
      </c>
      <c r="F258" s="278" t="s">
        <v>245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6" t="s">
        <v>37</v>
      </c>
      <c r="D259" s="277" t="s">
        <v>239</v>
      </c>
      <c r="E259" s="141">
        <v>10000</v>
      </c>
      <c r="F259" s="278" t="s">
        <v>245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6" t="s">
        <v>37</v>
      </c>
      <c r="D260" s="277" t="s">
        <v>245</v>
      </c>
      <c r="E260" s="141"/>
      <c r="F260" s="278" t="s">
        <v>245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6" t="s">
        <v>37</v>
      </c>
      <c r="D261" s="277" t="s">
        <v>207</v>
      </c>
      <c r="E261" s="141">
        <v>636792</v>
      </c>
      <c r="F261" s="278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6" t="s">
        <v>37</v>
      </c>
      <c r="D262" s="277" t="s">
        <v>308</v>
      </c>
      <c r="E262" s="141">
        <v>28.18</v>
      </c>
      <c r="F262" s="278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6" t="s">
        <v>37</v>
      </c>
      <c r="D263" s="277" t="s">
        <v>308</v>
      </c>
      <c r="E263" s="141">
        <v>2700</v>
      </c>
      <c r="F263" s="278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6" t="s">
        <v>37</v>
      </c>
      <c r="D264" s="277" t="s">
        <v>308</v>
      </c>
      <c r="E264" s="141">
        <v>18.53</v>
      </c>
      <c r="F264" s="278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6" t="s">
        <v>37</v>
      </c>
      <c r="D265" s="277" t="s">
        <v>242</v>
      </c>
      <c r="E265" s="141">
        <v>1800</v>
      </c>
      <c r="F265" s="278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346</v>
      </c>
      <c r="C266" s="276" t="s">
        <v>37</v>
      </c>
      <c r="D266" s="277" t="s">
        <v>242</v>
      </c>
      <c r="E266" s="141">
        <v>1057</v>
      </c>
      <c r="F266" s="278" t="s">
        <v>242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347</v>
      </c>
      <c r="C267" s="276" t="s">
        <v>37</v>
      </c>
      <c r="D267" s="277" t="s">
        <v>308</v>
      </c>
      <c r="E267" s="141">
        <v>18.53</v>
      </c>
      <c r="F267" s="278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348</v>
      </c>
      <c r="C268" s="276" t="s">
        <v>37</v>
      </c>
      <c r="D268" s="277" t="s">
        <v>308</v>
      </c>
      <c r="E268" s="141">
        <v>22.8</v>
      </c>
      <c r="F268" s="278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349</v>
      </c>
      <c r="C269" s="276" t="s">
        <v>37</v>
      </c>
      <c r="D269" s="277" t="s">
        <v>308</v>
      </c>
      <c r="E269" s="141">
        <v>22.8</v>
      </c>
      <c r="F269" s="278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350</v>
      </c>
      <c r="C270" s="276" t="s">
        <v>37</v>
      </c>
      <c r="D270" s="277" t="s">
        <v>308</v>
      </c>
      <c r="E270" s="141">
        <v>14.73</v>
      </c>
      <c r="F270" s="278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351</v>
      </c>
      <c r="C271" s="276" t="s">
        <v>37</v>
      </c>
      <c r="D271" s="277" t="s">
        <v>308</v>
      </c>
      <c r="E271" s="141">
        <v>14.73</v>
      </c>
      <c r="F271" s="278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352</v>
      </c>
      <c r="C272" s="276" t="s">
        <v>37</v>
      </c>
      <c r="D272" s="277" t="s">
        <v>242</v>
      </c>
      <c r="E272" s="141">
        <v>819.99999999999989</v>
      </c>
      <c r="F272" s="278" t="s">
        <v>242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353</v>
      </c>
      <c r="C273" s="276" t="s">
        <v>37</v>
      </c>
      <c r="D273" s="277" t="s">
        <v>242</v>
      </c>
      <c r="E273" s="141">
        <v>1170</v>
      </c>
      <c r="F273" s="278" t="s">
        <v>242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6" t="s">
        <v>37</v>
      </c>
      <c r="D274" s="277" t="s">
        <v>242</v>
      </c>
      <c r="E274" s="141">
        <v>8000</v>
      </c>
      <c r="F274" s="278" t="s">
        <v>245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6" t="s">
        <v>37</v>
      </c>
      <c r="D275" s="277" t="s">
        <v>242</v>
      </c>
      <c r="E275" s="141">
        <v>11000</v>
      </c>
      <c r="F275" s="278" t="s">
        <v>245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6" t="s">
        <v>37</v>
      </c>
      <c r="D276" s="277" t="s">
        <v>242</v>
      </c>
      <c r="E276" s="141">
        <v>10858</v>
      </c>
      <c r="F276" s="278" t="s">
        <v>245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6" t="s">
        <v>37</v>
      </c>
      <c r="D277" s="277" t="s">
        <v>242</v>
      </c>
      <c r="E277" s="141">
        <v>13999.16</v>
      </c>
      <c r="F277" s="278" t="s">
        <v>242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6" t="s">
        <v>37</v>
      </c>
      <c r="D278" s="277" t="s">
        <v>239</v>
      </c>
      <c r="E278" s="141"/>
      <c r="F278" s="278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6" t="s">
        <v>37</v>
      </c>
      <c r="D279" s="277" t="s">
        <v>245</v>
      </c>
      <c r="E279" s="141"/>
      <c r="F279" s="278" t="s">
        <v>245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6" t="s">
        <v>37</v>
      </c>
      <c r="D280" s="277" t="s">
        <v>245</v>
      </c>
      <c r="E280" s="141"/>
      <c r="F280" s="278" t="s">
        <v>245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6" t="s">
        <v>37</v>
      </c>
      <c r="D281" s="277" t="s">
        <v>362</v>
      </c>
      <c r="E281" s="141"/>
      <c r="F281" s="277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6" t="s">
        <v>37</v>
      </c>
      <c r="D282" s="277" t="s">
        <v>217</v>
      </c>
      <c r="E282" s="141">
        <v>4776.666666666667</v>
      </c>
      <c r="F282" s="278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6" t="s">
        <v>37</v>
      </c>
      <c r="D283" s="277" t="s">
        <v>242</v>
      </c>
      <c r="E283" s="141">
        <v>1035.3</v>
      </c>
      <c r="F283" s="278" t="s">
        <v>242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6" t="s">
        <v>37</v>
      </c>
      <c r="D284" s="277" t="s">
        <v>241</v>
      </c>
      <c r="E284" s="141">
        <v>700</v>
      </c>
      <c r="F284" s="278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6" t="s">
        <v>37</v>
      </c>
      <c r="D285" s="277" t="s">
        <v>241</v>
      </c>
      <c r="E285" s="141">
        <v>1100</v>
      </c>
      <c r="F285" s="278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6" t="s">
        <v>37</v>
      </c>
      <c r="D286" s="277" t="s">
        <v>308</v>
      </c>
      <c r="E286" s="141">
        <v>1000</v>
      </c>
      <c r="F286" s="278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6" t="s">
        <v>37</v>
      </c>
      <c r="D287" s="277" t="s">
        <v>242</v>
      </c>
      <c r="E287" s="141">
        <v>700</v>
      </c>
      <c r="F287" s="278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6" t="s">
        <v>37</v>
      </c>
      <c r="D288" s="48" t="s">
        <v>242</v>
      </c>
      <c r="E288" s="166">
        <v>84</v>
      </c>
      <c r="F288" s="278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6" t="s">
        <v>37</v>
      </c>
      <c r="D289" s="277" t="s">
        <v>242</v>
      </c>
      <c r="E289" s="166">
        <v>10780</v>
      </c>
      <c r="F289" s="278" t="s">
        <v>245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94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79</v>
      </c>
      <c r="B515" s="125" t="s">
        <v>96</v>
      </c>
      <c r="C515" s="119" t="s">
        <v>97</v>
      </c>
      <c r="D515" s="103" t="s">
        <v>98</v>
      </c>
      <c r="E515" s="69" t="s">
        <v>99</v>
      </c>
      <c r="F515" s="187" t="s">
        <v>100</v>
      </c>
      <c r="G515" s="71" t="s">
        <v>101</v>
      </c>
      <c r="H515" s="72" t="s">
        <v>102</v>
      </c>
      <c r="I515" s="72" t="s">
        <v>103</v>
      </c>
      <c r="J515" s="74" t="s">
        <v>104</v>
      </c>
    </row>
    <row r="516" spans="1:10" ht="15" customHeight="1">
      <c r="A516" s="41">
        <v>1</v>
      </c>
      <c r="B516" s="146" t="s">
        <v>371</v>
      </c>
      <c r="C516" s="219" t="s">
        <v>26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9" t="s">
        <v>26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9" t="s">
        <v>26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9" t="s">
        <v>26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9" t="s">
        <v>26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9" t="s">
        <v>26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9" t="s">
        <v>26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9" t="s">
        <v>26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9" t="s">
        <v>26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9" t="s">
        <v>26</v>
      </c>
      <c r="D525" s="215" t="s">
        <v>372</v>
      </c>
      <c r="E525" s="217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9" t="s">
        <v>26</v>
      </c>
      <c r="D526" s="48" t="s">
        <v>372</v>
      </c>
      <c r="E526" s="216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9" t="s">
        <v>26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9" t="s">
        <v>26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9" t="s">
        <v>26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9" t="s">
        <v>26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9" t="s">
        <v>26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9" t="s">
        <v>26</v>
      </c>
      <c r="D532" s="214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9" t="s">
        <v>26</v>
      </c>
      <c r="D533" s="214" t="s">
        <v>372</v>
      </c>
      <c r="E533" s="218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9" t="s">
        <v>26</v>
      </c>
      <c r="D534" s="214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391</v>
      </c>
      <c r="C536" s="219" t="s">
        <v>26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392</v>
      </c>
      <c r="C537" s="219" t="s">
        <v>26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393</v>
      </c>
      <c r="C538" s="219" t="s">
        <v>26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94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79</v>
      </c>
      <c r="B561" s="178" t="s">
        <v>96</v>
      </c>
      <c r="C561" s="66" t="s">
        <v>97</v>
      </c>
      <c r="D561" s="67" t="s">
        <v>98</v>
      </c>
      <c r="E561" s="69" t="s">
        <v>99</v>
      </c>
      <c r="F561" s="187" t="s">
        <v>100</v>
      </c>
      <c r="G561" s="71" t="s">
        <v>101</v>
      </c>
      <c r="H561" s="72" t="s">
        <v>102</v>
      </c>
      <c r="I561" s="179" t="s">
        <v>103</v>
      </c>
      <c r="J561" s="75" t="s">
        <v>104</v>
      </c>
    </row>
    <row r="562" spans="1:10" ht="15" customHeight="1">
      <c r="A562" s="41">
        <v>1</v>
      </c>
      <c r="B562" s="232" t="s">
        <v>394</v>
      </c>
      <c r="C562" s="219" t="s">
        <v>32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395</v>
      </c>
      <c r="C563" s="219" t="s">
        <v>32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396</v>
      </c>
      <c r="C564" s="219" t="s">
        <v>32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397</v>
      </c>
      <c r="C565" s="219" t="s">
        <v>32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398</v>
      </c>
      <c r="C566" s="219" t="s">
        <v>32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399</v>
      </c>
      <c r="C567" s="219" t="s">
        <v>32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400</v>
      </c>
      <c r="C568" s="219" t="s">
        <v>32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401</v>
      </c>
      <c r="C569" s="219" t="s">
        <v>32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402</v>
      </c>
      <c r="C570" s="219" t="s">
        <v>32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403</v>
      </c>
      <c r="C571" s="219" t="s">
        <v>32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404</v>
      </c>
      <c r="C572" s="219" t="s">
        <v>32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405</v>
      </c>
      <c r="C573" s="219" t="s">
        <v>32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406</v>
      </c>
      <c r="C574" s="219" t="s">
        <v>32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407</v>
      </c>
      <c r="C575" s="219" t="s">
        <v>32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408</v>
      </c>
      <c r="C576" s="219" t="s">
        <v>32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409</v>
      </c>
      <c r="C577" s="219" t="s">
        <v>32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410</v>
      </c>
      <c r="C578" s="219" t="s">
        <v>32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411</v>
      </c>
      <c r="C579" s="219" t="s">
        <v>32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412</v>
      </c>
      <c r="C580" s="219" t="s">
        <v>32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413</v>
      </c>
      <c r="C581" s="219" t="s">
        <v>32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414</v>
      </c>
      <c r="C582" s="219" t="s">
        <v>32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415</v>
      </c>
      <c r="C583" s="219" t="s">
        <v>32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416</v>
      </c>
      <c r="C584" s="219" t="s">
        <v>32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417</v>
      </c>
      <c r="C585" s="219" t="s">
        <v>32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418</v>
      </c>
      <c r="C586" s="219" t="s">
        <v>32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419</v>
      </c>
      <c r="C587" s="219" t="s">
        <v>32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420</v>
      </c>
      <c r="C588" s="219" t="s">
        <v>32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421</v>
      </c>
      <c r="C589" s="219" t="s">
        <v>32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422</v>
      </c>
      <c r="C590" s="219" t="s">
        <v>32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423</v>
      </c>
      <c r="C591" s="219" t="s">
        <v>32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424</v>
      </c>
      <c r="C592" s="219" t="s">
        <v>32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425</v>
      </c>
      <c r="C593" s="219" t="s">
        <v>32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426</v>
      </c>
      <c r="C594" s="219" t="s">
        <v>32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427</v>
      </c>
      <c r="C595" s="219" t="s">
        <v>32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428</v>
      </c>
      <c r="C596" s="219" t="s">
        <v>32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429</v>
      </c>
      <c r="C597" s="219" t="s">
        <v>32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430</v>
      </c>
      <c r="C598" s="219" t="s">
        <v>32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431</v>
      </c>
      <c r="C599" s="219" t="s">
        <v>32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432</v>
      </c>
      <c r="C600" s="219" t="s">
        <v>32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433</v>
      </c>
      <c r="C601" s="219" t="s">
        <v>32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434</v>
      </c>
      <c r="C602" s="219" t="s">
        <v>32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435</v>
      </c>
      <c r="C603" s="219" t="s">
        <v>32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436</v>
      </c>
      <c r="C604" s="219" t="s">
        <v>32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437</v>
      </c>
      <c r="C605" s="219" t="s">
        <v>32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438</v>
      </c>
      <c r="C606" s="219" t="s">
        <v>32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439</v>
      </c>
      <c r="C607" s="219" t="s">
        <v>32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440</v>
      </c>
      <c r="C608" s="219" t="s">
        <v>32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441</v>
      </c>
      <c r="C609" s="219" t="s">
        <v>32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442</v>
      </c>
      <c r="C610" s="219" t="s">
        <v>32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443</v>
      </c>
      <c r="C611" s="219" t="s">
        <v>32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444</v>
      </c>
      <c r="C612" s="219" t="s">
        <v>32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445</v>
      </c>
      <c r="C613" s="219" t="s">
        <v>32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446</v>
      </c>
      <c r="C614" s="219" t="s">
        <v>32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447</v>
      </c>
      <c r="C615" s="219" t="s">
        <v>32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448</v>
      </c>
      <c r="C616" s="219" t="s">
        <v>32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449</v>
      </c>
      <c r="C617" s="219" t="s">
        <v>32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450</v>
      </c>
      <c r="C618" s="219" t="s">
        <v>32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451</v>
      </c>
      <c r="C619" s="219" t="s">
        <v>32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452</v>
      </c>
      <c r="C620" s="219" t="s">
        <v>32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453</v>
      </c>
      <c r="C621" s="219" t="s">
        <v>32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454</v>
      </c>
      <c r="C622" s="219" t="s">
        <v>32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455</v>
      </c>
      <c r="C623" s="219" t="s">
        <v>32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456</v>
      </c>
      <c r="C624" s="219" t="s">
        <v>32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457</v>
      </c>
      <c r="C625" s="219" t="s">
        <v>32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458</v>
      </c>
      <c r="C626" s="219" t="s">
        <v>32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459</v>
      </c>
      <c r="C627" s="219" t="s">
        <v>32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460</v>
      </c>
      <c r="C628" s="219" t="s">
        <v>32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461</v>
      </c>
      <c r="C629" s="219" t="s">
        <v>32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462</v>
      </c>
      <c r="C630" s="219" t="s">
        <v>32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463</v>
      </c>
      <c r="C631" s="219" t="s">
        <v>32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464</v>
      </c>
      <c r="C632" s="219" t="s">
        <v>32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465</v>
      </c>
      <c r="C633" s="219" t="s">
        <v>32</v>
      </c>
      <c r="D633" s="48" t="s">
        <v>112</v>
      </c>
      <c r="E633" s="55">
        <v>1000</v>
      </c>
      <c r="F633" s="194" t="s">
        <v>112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466</v>
      </c>
      <c r="C634" s="219" t="s">
        <v>32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467</v>
      </c>
      <c r="C635" s="219" t="s">
        <v>32</v>
      </c>
      <c r="D635" s="48" t="s">
        <v>112</v>
      </c>
      <c r="E635" s="55">
        <v>6957.9299999999994</v>
      </c>
      <c r="F635" s="194" t="s">
        <v>112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468</v>
      </c>
      <c r="C636" s="219" t="s">
        <v>32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469</v>
      </c>
      <c r="C637" s="219" t="s">
        <v>32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470</v>
      </c>
      <c r="C638" s="219" t="s">
        <v>32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471</v>
      </c>
      <c r="C639" s="219" t="s">
        <v>32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472</v>
      </c>
      <c r="C640" s="219" t="s">
        <v>32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473</v>
      </c>
      <c r="C641" s="219" t="s">
        <v>32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474</v>
      </c>
      <c r="C642" s="219" t="s">
        <v>32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475</v>
      </c>
      <c r="C643" s="219" t="s">
        <v>32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476</v>
      </c>
      <c r="C644" s="219" t="s">
        <v>32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477</v>
      </c>
      <c r="C645" s="219" t="s">
        <v>32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478</v>
      </c>
      <c r="C646" s="219" t="s">
        <v>32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479</v>
      </c>
      <c r="C647" s="219" t="s">
        <v>32</v>
      </c>
      <c r="D647" s="48" t="s">
        <v>112</v>
      </c>
      <c r="E647" s="43">
        <v>3700</v>
      </c>
      <c r="F647" s="188" t="s">
        <v>112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480</v>
      </c>
      <c r="C648" s="219" t="s">
        <v>32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481</v>
      </c>
      <c r="C649" s="219" t="s">
        <v>32</v>
      </c>
      <c r="D649" s="48" t="s">
        <v>112</v>
      </c>
      <c r="E649" s="55">
        <v>1200</v>
      </c>
      <c r="F649" s="194" t="s">
        <v>112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482</v>
      </c>
      <c r="C650" s="219" t="s">
        <v>32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483</v>
      </c>
      <c r="C651" s="219" t="s">
        <v>32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484</v>
      </c>
      <c r="C652" s="219" t="s">
        <v>32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485</v>
      </c>
      <c r="C653" s="219" t="s">
        <v>32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486</v>
      </c>
      <c r="C654" s="219" t="s">
        <v>32</v>
      </c>
      <c r="D654" s="48" t="s">
        <v>112</v>
      </c>
      <c r="E654" s="55">
        <v>873.94</v>
      </c>
      <c r="F654" s="194" t="s">
        <v>112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487</v>
      </c>
      <c r="C655" s="219" t="s">
        <v>32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488</v>
      </c>
      <c r="C656" s="219" t="s">
        <v>32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489</v>
      </c>
      <c r="C657" s="219" t="s">
        <v>32</v>
      </c>
      <c r="D657" s="48" t="s">
        <v>112</v>
      </c>
      <c r="E657" s="55">
        <v>1173.3399999999999</v>
      </c>
      <c r="F657" s="194" t="s">
        <v>112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490</v>
      </c>
      <c r="C658" s="219" t="s">
        <v>32</v>
      </c>
      <c r="D658" s="48" t="s">
        <v>112</v>
      </c>
      <c r="E658" s="55">
        <v>998.41</v>
      </c>
      <c r="F658" s="194" t="s">
        <v>112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491</v>
      </c>
      <c r="C659" s="219" t="s">
        <v>32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492</v>
      </c>
      <c r="C660" s="219" t="s">
        <v>32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493</v>
      </c>
      <c r="C661" s="219" t="s">
        <v>32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494</v>
      </c>
      <c r="C662" s="219" t="s">
        <v>32</v>
      </c>
      <c r="D662" s="48" t="s">
        <v>112</v>
      </c>
      <c r="E662" s="55">
        <v>1173.3399999999999</v>
      </c>
      <c r="F662" s="194" t="s">
        <v>112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495</v>
      </c>
      <c r="C663" s="219" t="s">
        <v>32</v>
      </c>
      <c r="D663" s="48" t="s">
        <v>112</v>
      </c>
      <c r="E663" s="55">
        <v>998.41</v>
      </c>
      <c r="F663" s="194" t="s">
        <v>112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33</v>
      </c>
      <c r="C664" s="219" t="s">
        <v>32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32</v>
      </c>
      <c r="D665" s="48" t="s">
        <v>112</v>
      </c>
      <c r="E665" s="55">
        <v>1173.3399999999999</v>
      </c>
      <c r="F665" s="194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32</v>
      </c>
      <c r="D666" s="48" t="s">
        <v>112</v>
      </c>
      <c r="E666" s="55">
        <v>998.41</v>
      </c>
      <c r="F666" s="194" t="s">
        <v>112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32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32</v>
      </c>
      <c r="D668" s="48" t="s">
        <v>112</v>
      </c>
      <c r="E668" s="55">
        <v>1018.64</v>
      </c>
      <c r="F668" s="194" t="s">
        <v>112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32</v>
      </c>
      <c r="D669" s="48" t="s">
        <v>112</v>
      </c>
      <c r="E669" s="55">
        <v>1173.3399999999999</v>
      </c>
      <c r="F669" s="194" t="s">
        <v>112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32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32</v>
      </c>
      <c r="D671" s="48" t="s">
        <v>112</v>
      </c>
      <c r="E671" s="55">
        <v>1018.64</v>
      </c>
      <c r="F671" s="194" t="s">
        <v>112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32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32</v>
      </c>
      <c r="D673" s="48" t="s">
        <v>112</v>
      </c>
      <c r="E673" s="55">
        <v>2746.52</v>
      </c>
      <c r="F673" s="194" t="s">
        <v>112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32</v>
      </c>
      <c r="D674" s="48" t="s">
        <v>112</v>
      </c>
      <c r="E674" s="55">
        <v>1173.3399999999999</v>
      </c>
      <c r="F674" s="194" t="s">
        <v>112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32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32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32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32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32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32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32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32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32</v>
      </c>
      <c r="D683" s="48" t="s">
        <v>112</v>
      </c>
      <c r="E683" s="55">
        <v>2563</v>
      </c>
      <c r="F683" s="188" t="s">
        <v>112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32</v>
      </c>
      <c r="D684" s="48" t="s">
        <v>112</v>
      </c>
      <c r="E684" s="43">
        <v>2364.5299999999997</v>
      </c>
      <c r="F684" s="188" t="s">
        <v>112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32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32</v>
      </c>
      <c r="D686" s="48" t="s">
        <v>112</v>
      </c>
      <c r="E686" s="43">
        <v>2563</v>
      </c>
      <c r="F686" s="188" t="s">
        <v>112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32</v>
      </c>
      <c r="D687" s="48" t="s">
        <v>112</v>
      </c>
      <c r="E687" s="55">
        <v>2563</v>
      </c>
      <c r="F687" s="194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32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32</v>
      </c>
      <c r="D689" s="48" t="s">
        <v>112</v>
      </c>
      <c r="E689" s="43">
        <v>2440.69</v>
      </c>
      <c r="F689" s="188" t="s">
        <v>112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32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32</v>
      </c>
      <c r="D691" s="48" t="s">
        <v>112</v>
      </c>
      <c r="E691" s="55">
        <v>873.94</v>
      </c>
      <c r="F691" s="194" t="s">
        <v>112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32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32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32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32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32</v>
      </c>
      <c r="D696" s="48" t="s">
        <v>112</v>
      </c>
      <c r="E696" s="55">
        <v>1547</v>
      </c>
      <c r="F696" s="194" t="s">
        <v>112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32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32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32</v>
      </c>
      <c r="D699" s="48" t="s">
        <v>112</v>
      </c>
      <c r="E699" s="55">
        <v>1850</v>
      </c>
      <c r="F699" s="194" t="s">
        <v>112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32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32</v>
      </c>
      <c r="D701" s="48" t="s">
        <v>112</v>
      </c>
      <c r="E701" s="55">
        <v>4799.2700000000004</v>
      </c>
      <c r="F701" s="194" t="s">
        <v>112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32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19" t="s">
        <v>32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19" t="s">
        <v>32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19" t="s">
        <v>32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19" t="s">
        <v>32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19" t="s">
        <v>32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19" t="s">
        <v>32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19" t="s">
        <v>32</v>
      </c>
      <c r="D709" s="48" t="s">
        <v>112</v>
      </c>
      <c r="E709" s="55">
        <v>1000</v>
      </c>
      <c r="F709" s="194" t="s">
        <v>112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19" t="s">
        <v>32</v>
      </c>
      <c r="D710" s="48" t="s">
        <v>112</v>
      </c>
      <c r="E710" s="55">
        <v>8973.7900000000009</v>
      </c>
      <c r="F710" s="194" t="s">
        <v>112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19" t="s">
        <v>32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19" t="s">
        <v>32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19" t="s">
        <v>32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19" t="s">
        <v>32</v>
      </c>
      <c r="D714" s="48" t="s">
        <v>112</v>
      </c>
      <c r="E714" s="55">
        <v>3844.89</v>
      </c>
      <c r="F714" s="194" t="s">
        <v>112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19" t="s">
        <v>32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19" t="s">
        <v>32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19" t="s">
        <v>32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19" t="s">
        <v>32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19" t="s">
        <v>32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19" t="s">
        <v>32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19" t="s">
        <v>32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19" t="s">
        <v>32</v>
      </c>
      <c r="D722" s="48" t="s">
        <v>112</v>
      </c>
      <c r="E722" s="55">
        <v>1661.24</v>
      </c>
      <c r="F722" s="194" t="s">
        <v>112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19" t="s">
        <v>32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9" t="s">
        <v>32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9" t="s">
        <v>32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9" t="s">
        <v>32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9" t="s">
        <v>32</v>
      </c>
      <c r="D727" s="48" t="s">
        <v>112</v>
      </c>
      <c r="E727" s="55">
        <v>690.75</v>
      </c>
      <c r="F727" s="194" t="s">
        <v>112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9" t="s">
        <v>32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9" t="s">
        <v>32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9" t="s">
        <v>32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9" t="s">
        <v>32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9" t="s">
        <v>32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9" t="s">
        <v>32</v>
      </c>
      <c r="D733" s="48" t="s">
        <v>112</v>
      </c>
      <c r="E733" s="43">
        <v>690.75</v>
      </c>
      <c r="F733" s="188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9" t="s">
        <v>32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9" t="s">
        <v>32</v>
      </c>
      <c r="D735" s="48" t="s">
        <v>112</v>
      </c>
      <c r="E735" s="55">
        <v>690.75</v>
      </c>
      <c r="F735" s="194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9" t="s">
        <v>32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9" t="s">
        <v>32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9" t="s">
        <v>32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9" t="s">
        <v>32</v>
      </c>
      <c r="D739" s="48" t="s">
        <v>112</v>
      </c>
      <c r="E739" s="43">
        <v>690.75</v>
      </c>
      <c r="F739" s="188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9" t="s">
        <v>32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9" t="s">
        <v>32</v>
      </c>
      <c r="D741" s="48" t="s">
        <v>112</v>
      </c>
      <c r="E741" s="55">
        <v>690.75</v>
      </c>
      <c r="F741" s="194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9" t="s">
        <v>32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9" t="s">
        <v>32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9" t="s">
        <v>32</v>
      </c>
      <c r="D744" s="48" t="s">
        <v>112</v>
      </c>
      <c r="E744" s="43">
        <v>690.75</v>
      </c>
      <c r="F744" s="188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9" t="s">
        <v>32</v>
      </c>
      <c r="D745" s="48" t="s">
        <v>112</v>
      </c>
      <c r="E745" s="55">
        <v>690.75</v>
      </c>
      <c r="F745" s="194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9" t="s">
        <v>32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9" t="s">
        <v>32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9" t="s">
        <v>32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9" t="s">
        <v>32</v>
      </c>
      <c r="D749" s="48" t="s">
        <v>112</v>
      </c>
      <c r="E749" s="43">
        <v>690.75</v>
      </c>
      <c r="F749" s="188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9" t="s">
        <v>32</v>
      </c>
      <c r="D750" s="48" t="s">
        <v>112</v>
      </c>
      <c r="E750" s="55">
        <v>690.75</v>
      </c>
      <c r="F750" s="194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9" t="s">
        <v>32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9" t="s">
        <v>32</v>
      </c>
      <c r="D752" s="48" t="s">
        <v>112</v>
      </c>
      <c r="E752" s="55">
        <v>3850</v>
      </c>
      <c r="F752" s="194" t="s">
        <v>112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9" t="s">
        <v>32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9" t="s">
        <v>32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9" t="s">
        <v>32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9" t="s">
        <v>32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9" t="s">
        <v>32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9" t="s">
        <v>32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9" t="s">
        <v>32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9" t="s">
        <v>32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9" t="s">
        <v>32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9" t="s">
        <v>32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9" t="s">
        <v>32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9" t="s">
        <v>32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2.1">
      <c r="A765" s="41">
        <f t="shared" si="26"/>
        <v>204</v>
      </c>
      <c r="B765" s="168" t="s">
        <v>596</v>
      </c>
      <c r="C765" s="219" t="s">
        <v>32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9" t="s">
        <v>32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9" t="s">
        <v>32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9" t="s">
        <v>32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9" t="s">
        <v>32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9" t="s">
        <v>32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9" t="s">
        <v>32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9" t="s">
        <v>32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9" t="s">
        <v>32</v>
      </c>
      <c r="D773" s="48" t="s">
        <v>112</v>
      </c>
      <c r="E773" s="55">
        <v>8973.7900000000009</v>
      </c>
      <c r="F773" s="194" t="s">
        <v>112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9" t="s">
        <v>32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9" t="s">
        <v>32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9" t="s">
        <v>32</v>
      </c>
      <c r="D776" s="48" t="s">
        <v>112</v>
      </c>
      <c r="E776" s="55">
        <v>1661.24</v>
      </c>
      <c r="F776" s="194" t="s">
        <v>112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9" t="s">
        <v>32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9" t="s">
        <v>32</v>
      </c>
      <c r="D778" s="48" t="s">
        <v>112</v>
      </c>
      <c r="E778" s="55">
        <v>690.75</v>
      </c>
      <c r="F778" s="194" t="s">
        <v>112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19" t="s">
        <v>32</v>
      </c>
      <c r="D779" s="48" t="s">
        <v>112</v>
      </c>
      <c r="E779" s="56">
        <v>1505.04</v>
      </c>
      <c r="F779" s="188" t="s">
        <v>112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9" t="s">
        <v>32</v>
      </c>
      <c r="D780" s="48" t="s">
        <v>112</v>
      </c>
      <c r="E780" s="56">
        <v>3628.57</v>
      </c>
      <c r="F780" s="188" t="s">
        <v>112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9" t="s">
        <v>32</v>
      </c>
      <c r="D781" s="48" t="s">
        <v>112</v>
      </c>
      <c r="E781" s="56">
        <v>1505.04</v>
      </c>
      <c r="F781" s="188" t="s">
        <v>112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19" t="s">
        <v>32</v>
      </c>
      <c r="D782" s="48" t="s">
        <v>112</v>
      </c>
      <c r="E782" s="55">
        <v>2898.84</v>
      </c>
      <c r="F782" s="194" t="s">
        <v>112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9" t="s">
        <v>32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9" t="s">
        <v>32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9" t="s">
        <v>32</v>
      </c>
      <c r="D785" s="48" t="s">
        <v>112</v>
      </c>
      <c r="E785" s="55">
        <v>833</v>
      </c>
      <c r="F785" s="194" t="s">
        <v>112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19" t="s">
        <v>32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19" t="s">
        <v>32</v>
      </c>
      <c r="D787" s="48" t="s">
        <v>112</v>
      </c>
      <c r="E787" s="55">
        <v>1266.6666666666667</v>
      </c>
      <c r="F787" s="194" t="s">
        <v>112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2.1">
      <c r="A788" s="41">
        <f t="shared" si="26"/>
        <v>227</v>
      </c>
      <c r="B788" s="168" t="s">
        <v>619</v>
      </c>
      <c r="C788" s="219" t="s">
        <v>32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2.1">
      <c r="A789" s="41">
        <f t="shared" si="26"/>
        <v>228</v>
      </c>
      <c r="B789" s="168" t="s">
        <v>620</v>
      </c>
      <c r="C789" s="219" t="s">
        <v>32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2.1">
      <c r="A790" s="41">
        <f t="shared" si="26"/>
        <v>229</v>
      </c>
      <c r="B790" s="168" t="s">
        <v>621</v>
      </c>
      <c r="C790" s="219" t="s">
        <v>32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2.1">
      <c r="A791" s="41">
        <f t="shared" si="26"/>
        <v>230</v>
      </c>
      <c r="B791" s="168" t="s">
        <v>622</v>
      </c>
      <c r="C791" s="219" t="s">
        <v>32</v>
      </c>
      <c r="D791" s="48" t="s">
        <v>112</v>
      </c>
      <c r="E791" s="43">
        <v>1266.6666666666667</v>
      </c>
      <c r="F791" s="188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2.1">
      <c r="A792" s="41">
        <f t="shared" si="26"/>
        <v>231</v>
      </c>
      <c r="B792" s="168" t="s">
        <v>623</v>
      </c>
      <c r="C792" s="219" t="s">
        <v>32</v>
      </c>
      <c r="D792" s="48" t="s">
        <v>112</v>
      </c>
      <c r="E792" s="55">
        <v>1266.6666666666667</v>
      </c>
      <c r="F792" s="194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2.1">
      <c r="A793" s="41">
        <f t="shared" si="26"/>
        <v>232</v>
      </c>
      <c r="B793" s="168" t="s">
        <v>624</v>
      </c>
      <c r="C793" s="219" t="s">
        <v>32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2.1">
      <c r="A794" s="41">
        <f t="shared" si="26"/>
        <v>233</v>
      </c>
      <c r="B794" s="168" t="s">
        <v>625</v>
      </c>
      <c r="C794" s="219" t="s">
        <v>32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2.1">
      <c r="A795" s="41">
        <f t="shared" si="26"/>
        <v>234</v>
      </c>
      <c r="B795" s="168" t="s">
        <v>626</v>
      </c>
      <c r="C795" s="219" t="s">
        <v>32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2.1">
      <c r="A796" s="41">
        <f t="shared" si="26"/>
        <v>235</v>
      </c>
      <c r="B796" s="168" t="s">
        <v>627</v>
      </c>
      <c r="C796" s="219" t="s">
        <v>32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2.1">
      <c r="A797" s="41">
        <f t="shared" si="26"/>
        <v>236</v>
      </c>
      <c r="B797" s="168" t="s">
        <v>628</v>
      </c>
      <c r="C797" s="219" t="s">
        <v>32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2.1">
      <c r="A798" s="41">
        <f t="shared" si="26"/>
        <v>237</v>
      </c>
      <c r="B798" s="168" t="s">
        <v>629</v>
      </c>
      <c r="C798" s="219" t="s">
        <v>32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15.95">
      <c r="A799" s="41">
        <f t="shared" si="26"/>
        <v>238</v>
      </c>
      <c r="B799" s="168" t="s">
        <v>630</v>
      </c>
      <c r="C799" s="219" t="s">
        <v>32</v>
      </c>
      <c r="D799" s="48" t="s">
        <v>112</v>
      </c>
      <c r="E799" s="55">
        <v>455.66624999999999</v>
      </c>
      <c r="F799" s="194" t="s">
        <v>112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15.95">
      <c r="A800" s="41">
        <f t="shared" si="26"/>
        <v>239</v>
      </c>
      <c r="B800" s="168" t="s">
        <v>631</v>
      </c>
      <c r="C800" s="219" t="s">
        <v>32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15.95">
      <c r="A801" s="41">
        <f t="shared" si="26"/>
        <v>240</v>
      </c>
      <c r="B801" s="168" t="s">
        <v>632</v>
      </c>
      <c r="C801" s="219" t="s">
        <v>32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15.95">
      <c r="A802" s="41">
        <f t="shared" si="26"/>
        <v>241</v>
      </c>
      <c r="B802" s="168" t="s">
        <v>633</v>
      </c>
      <c r="C802" s="219" t="s">
        <v>32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15.95">
      <c r="A803" s="41">
        <f t="shared" si="26"/>
        <v>242</v>
      </c>
      <c r="B803" s="168" t="s">
        <v>634</v>
      </c>
      <c r="C803" s="219" t="s">
        <v>32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15.95">
      <c r="A804" s="41">
        <f t="shared" si="26"/>
        <v>243</v>
      </c>
      <c r="B804" s="168" t="s">
        <v>635</v>
      </c>
      <c r="C804" s="219" t="s">
        <v>32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15.95">
      <c r="A805" s="41">
        <f t="shared" si="26"/>
        <v>244</v>
      </c>
      <c r="B805" s="168" t="s">
        <v>636</v>
      </c>
      <c r="C805" s="219" t="s">
        <v>32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15.95">
      <c r="A806" s="41">
        <f t="shared" si="26"/>
        <v>245</v>
      </c>
      <c r="B806" s="168" t="s">
        <v>637</v>
      </c>
      <c r="C806" s="219" t="s">
        <v>32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2.1">
      <c r="A807" s="41">
        <f t="shared" si="26"/>
        <v>246</v>
      </c>
      <c r="B807" s="168" t="s">
        <v>638</v>
      </c>
      <c r="C807" s="219" t="s">
        <v>32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15.95">
      <c r="A808" s="41">
        <f t="shared" si="26"/>
        <v>247</v>
      </c>
      <c r="B808" s="168" t="s">
        <v>639</v>
      </c>
      <c r="C808" s="219" t="s">
        <v>32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2.1">
      <c r="A809" s="41">
        <f t="shared" si="26"/>
        <v>248</v>
      </c>
      <c r="B809" s="168" t="s">
        <v>640</v>
      </c>
      <c r="C809" s="219" t="s">
        <v>32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2.1">
      <c r="A810" s="41">
        <f t="shared" si="26"/>
        <v>249</v>
      </c>
      <c r="B810" s="168" t="s">
        <v>641</v>
      </c>
      <c r="C810" s="219" t="s">
        <v>32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2.1">
      <c r="A811" s="41">
        <f t="shared" si="26"/>
        <v>250</v>
      </c>
      <c r="B811" s="168" t="s">
        <v>642</v>
      </c>
      <c r="C811" s="219" t="s">
        <v>32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2.1">
      <c r="A812" s="41">
        <f t="shared" si="26"/>
        <v>251</v>
      </c>
      <c r="B812" s="168" t="s">
        <v>643</v>
      </c>
      <c r="C812" s="219" t="s">
        <v>32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15.95">
      <c r="A813" s="41">
        <f t="shared" si="26"/>
        <v>252</v>
      </c>
      <c r="B813" s="36" t="s">
        <v>644</v>
      </c>
      <c r="C813" s="219" t="s">
        <v>32</v>
      </c>
      <c r="D813" s="48" t="s">
        <v>112</v>
      </c>
      <c r="E813" s="43">
        <v>3356</v>
      </c>
      <c r="F813" s="188" t="s">
        <v>112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.95">
      <c r="A814" s="41">
        <f t="shared" si="26"/>
        <v>253</v>
      </c>
      <c r="B814" s="168" t="s">
        <v>645</v>
      </c>
      <c r="C814" s="219" t="s">
        <v>32</v>
      </c>
      <c r="D814" s="48" t="s">
        <v>112</v>
      </c>
      <c r="E814" s="55">
        <v>1900</v>
      </c>
      <c r="F814" s="194" t="s">
        <v>112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.95">
      <c r="A815" s="41">
        <f t="shared" si="26"/>
        <v>254</v>
      </c>
      <c r="B815" s="168" t="s">
        <v>646</v>
      </c>
      <c r="C815" s="219" t="s">
        <v>32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.95">
      <c r="A816" s="41">
        <f t="shared" si="26"/>
        <v>255</v>
      </c>
      <c r="B816" s="168" t="s">
        <v>647</v>
      </c>
      <c r="C816" s="219" t="s">
        <v>32</v>
      </c>
      <c r="D816" s="48" t="s">
        <v>112</v>
      </c>
      <c r="E816" s="55">
        <v>23075</v>
      </c>
      <c r="F816" s="194" t="s">
        <v>112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.95">
      <c r="A817" s="41">
        <f t="shared" si="26"/>
        <v>256</v>
      </c>
      <c r="B817" s="36" t="s">
        <v>648</v>
      </c>
      <c r="C817" s="219" t="s">
        <v>32</v>
      </c>
      <c r="D817" s="48" t="s">
        <v>112</v>
      </c>
      <c r="E817" s="55">
        <v>23075.289999999997</v>
      </c>
      <c r="F817" s="188" t="s">
        <v>112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.95">
      <c r="A818" s="41">
        <f t="shared" si="26"/>
        <v>257</v>
      </c>
      <c r="B818" s="168" t="s">
        <v>649</v>
      </c>
      <c r="C818" s="219" t="s">
        <v>32</v>
      </c>
      <c r="D818" s="48" t="s">
        <v>112</v>
      </c>
      <c r="E818" s="55">
        <v>1018.64</v>
      </c>
      <c r="F818" s="194" t="s">
        <v>112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.95">
      <c r="A819" s="41">
        <f t="shared" ref="A819:A885" si="28">A818+1</f>
        <v>258</v>
      </c>
      <c r="B819" s="168" t="s">
        <v>650</v>
      </c>
      <c r="C819" s="219" t="s">
        <v>32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.95">
      <c r="A820" s="41">
        <f t="shared" si="28"/>
        <v>259</v>
      </c>
      <c r="B820" s="36" t="s">
        <v>651</v>
      </c>
      <c r="C820" s="219" t="s">
        <v>32</v>
      </c>
      <c r="D820" s="48" t="s">
        <v>112</v>
      </c>
      <c r="E820" s="43">
        <v>3356</v>
      </c>
      <c r="F820" s="188" t="s">
        <v>112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2.1">
      <c r="A821" s="41">
        <f t="shared" si="28"/>
        <v>260</v>
      </c>
      <c r="B821" s="36" t="s">
        <v>652</v>
      </c>
      <c r="C821" s="219" t="s">
        <v>32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15.95">
      <c r="A822" s="41">
        <f t="shared" si="28"/>
        <v>261</v>
      </c>
      <c r="B822" s="36" t="s">
        <v>653</v>
      </c>
      <c r="C822" s="219" t="s">
        <v>32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 ht="15.95">
      <c r="A823" s="41">
        <f t="shared" si="28"/>
        <v>262</v>
      </c>
      <c r="B823" s="36" t="s">
        <v>654</v>
      </c>
      <c r="C823" s="219" t="s">
        <v>32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.95">
      <c r="A824" s="41">
        <f t="shared" si="28"/>
        <v>263</v>
      </c>
      <c r="B824" s="36" t="s">
        <v>655</v>
      </c>
      <c r="C824" s="219" t="s">
        <v>32</v>
      </c>
      <c r="D824" s="48" t="s">
        <v>112</v>
      </c>
      <c r="E824" s="55">
        <v>3356</v>
      </c>
      <c r="F824" s="194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.95">
      <c r="A825" s="41">
        <f t="shared" si="28"/>
        <v>264</v>
      </c>
      <c r="B825" s="36" t="s">
        <v>656</v>
      </c>
      <c r="C825" s="219" t="s">
        <v>32</v>
      </c>
      <c r="D825" s="48" t="s">
        <v>112</v>
      </c>
      <c r="E825" s="43">
        <v>3356</v>
      </c>
      <c r="F825" s="188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15.95">
      <c r="A826" s="41">
        <f t="shared" si="28"/>
        <v>265</v>
      </c>
      <c r="B826" s="36" t="s">
        <v>657</v>
      </c>
      <c r="C826" s="219" t="s">
        <v>32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15.95">
      <c r="A827" s="41">
        <f t="shared" si="28"/>
        <v>266</v>
      </c>
      <c r="B827" s="36" t="s">
        <v>658</v>
      </c>
      <c r="C827" s="219" t="s">
        <v>32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.95">
      <c r="A828" s="41">
        <f t="shared" si="28"/>
        <v>267</v>
      </c>
      <c r="B828" s="36" t="s">
        <v>659</v>
      </c>
      <c r="C828" s="219" t="s">
        <v>32</v>
      </c>
      <c r="D828" s="48" t="s">
        <v>112</v>
      </c>
      <c r="E828" s="55">
        <v>198</v>
      </c>
      <c r="F828" s="194" t="s">
        <v>112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.95">
      <c r="A829" s="41">
        <f t="shared" si="28"/>
        <v>268</v>
      </c>
      <c r="B829" s="36" t="s">
        <v>660</v>
      </c>
      <c r="C829" s="219" t="s">
        <v>32</v>
      </c>
      <c r="D829" s="48" t="s">
        <v>112</v>
      </c>
      <c r="E829" s="55">
        <v>3356</v>
      </c>
      <c r="F829" s="194" t="s">
        <v>112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.95">
      <c r="A830" s="41">
        <f t="shared" si="28"/>
        <v>269</v>
      </c>
      <c r="B830" s="36" t="s">
        <v>661</v>
      </c>
      <c r="C830" s="219" t="s">
        <v>32</v>
      </c>
      <c r="D830" s="48" t="s">
        <v>112</v>
      </c>
      <c r="E830" s="55">
        <v>198</v>
      </c>
      <c r="F830" s="194" t="s">
        <v>112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.95">
      <c r="A831" s="41">
        <f t="shared" si="28"/>
        <v>270</v>
      </c>
      <c r="B831" s="36" t="s">
        <v>662</v>
      </c>
      <c r="C831" s="219" t="s">
        <v>32</v>
      </c>
      <c r="D831" s="48" t="s">
        <v>112</v>
      </c>
      <c r="E831" s="55">
        <v>3356</v>
      </c>
      <c r="F831" s="194" t="s">
        <v>112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.95">
      <c r="A832" s="41">
        <f t="shared" si="28"/>
        <v>271</v>
      </c>
      <c r="B832" s="36" t="s">
        <v>663</v>
      </c>
      <c r="C832" s="219" t="s">
        <v>32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.95">
      <c r="A833" s="41">
        <f t="shared" si="28"/>
        <v>272</v>
      </c>
      <c r="B833" s="36" t="s">
        <v>664</v>
      </c>
      <c r="C833" s="219" t="s">
        <v>32</v>
      </c>
      <c r="D833" s="48" t="s">
        <v>112</v>
      </c>
      <c r="E833" s="43">
        <v>198</v>
      </c>
      <c r="F833" s="188" t="s">
        <v>112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.95">
      <c r="A834" s="41">
        <f t="shared" si="28"/>
        <v>273</v>
      </c>
      <c r="B834" s="36" t="s">
        <v>665</v>
      </c>
      <c r="C834" s="219" t="s">
        <v>32</v>
      </c>
      <c r="D834" s="48" t="s">
        <v>112</v>
      </c>
      <c r="E834" s="55">
        <v>198</v>
      </c>
      <c r="F834" s="194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.95">
      <c r="A835" s="41">
        <f t="shared" si="28"/>
        <v>274</v>
      </c>
      <c r="B835" s="36" t="s">
        <v>666</v>
      </c>
      <c r="C835" s="219" t="s">
        <v>32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.95">
      <c r="A836" s="41">
        <f t="shared" si="28"/>
        <v>275</v>
      </c>
      <c r="B836" s="36" t="s">
        <v>667</v>
      </c>
      <c r="C836" s="219" t="s">
        <v>32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.95">
      <c r="A837" s="41">
        <f t="shared" si="28"/>
        <v>276</v>
      </c>
      <c r="B837" s="36" t="s">
        <v>668</v>
      </c>
      <c r="C837" s="219" t="s">
        <v>32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.95">
      <c r="A838" s="41">
        <f t="shared" si="28"/>
        <v>277</v>
      </c>
      <c r="B838" s="36" t="s">
        <v>669</v>
      </c>
      <c r="C838" s="219" t="s">
        <v>32</v>
      </c>
      <c r="D838" s="48" t="s">
        <v>112</v>
      </c>
      <c r="E838" s="55">
        <v>3356</v>
      </c>
      <c r="F838" s="194" t="s">
        <v>112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.95">
      <c r="A839" s="41">
        <f t="shared" si="28"/>
        <v>278</v>
      </c>
      <c r="B839" s="168" t="s">
        <v>670</v>
      </c>
      <c r="C839" s="219" t="s">
        <v>32</v>
      </c>
      <c r="D839" s="48" t="s">
        <v>112</v>
      </c>
      <c r="E839" s="55">
        <v>1100</v>
      </c>
      <c r="F839" s="194" t="s">
        <v>112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.95">
      <c r="A840" s="41">
        <f t="shared" si="28"/>
        <v>279</v>
      </c>
      <c r="B840" s="168" t="s">
        <v>671</v>
      </c>
      <c r="C840" s="219" t="s">
        <v>32</v>
      </c>
      <c r="D840" s="48" t="s">
        <v>112</v>
      </c>
      <c r="E840" s="55">
        <v>1350</v>
      </c>
      <c r="F840" s="194" t="s">
        <v>112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.95">
      <c r="A841" s="41">
        <f t="shared" si="28"/>
        <v>280</v>
      </c>
      <c r="B841" s="168" t="s">
        <v>672</v>
      </c>
      <c r="C841" s="219" t="s">
        <v>32</v>
      </c>
      <c r="D841" s="48" t="s">
        <v>112</v>
      </c>
      <c r="E841" s="55">
        <v>925</v>
      </c>
      <c r="F841" s="194" t="s">
        <v>112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 ht="15.95">
      <c r="A842" s="41">
        <f t="shared" si="28"/>
        <v>281</v>
      </c>
      <c r="B842" s="36" t="s">
        <v>673</v>
      </c>
      <c r="C842" s="219" t="s">
        <v>32</v>
      </c>
      <c r="D842" s="48" t="s">
        <v>112</v>
      </c>
      <c r="E842" s="43">
        <v>3373</v>
      </c>
      <c r="F842" s="188" t="s">
        <v>112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 ht="15.95">
      <c r="A843" s="41">
        <f t="shared" si="28"/>
        <v>282</v>
      </c>
      <c r="B843" s="182" t="s">
        <v>674</v>
      </c>
      <c r="C843" s="219" t="s">
        <v>32</v>
      </c>
      <c r="D843" s="48" t="s">
        <v>112</v>
      </c>
      <c r="E843" s="56">
        <v>1275.68</v>
      </c>
      <c r="F843" s="188" t="s">
        <v>112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.95">
      <c r="A844" s="41">
        <f t="shared" si="28"/>
        <v>283</v>
      </c>
      <c r="B844" s="36" t="s">
        <v>675</v>
      </c>
      <c r="C844" s="219" t="s">
        <v>32</v>
      </c>
      <c r="D844" s="48" t="s">
        <v>112</v>
      </c>
      <c r="E844" s="55">
        <v>3373</v>
      </c>
      <c r="F844" s="194" t="s">
        <v>112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 ht="15.95">
      <c r="A845" s="41">
        <f t="shared" si="28"/>
        <v>284</v>
      </c>
      <c r="B845" s="182" t="s">
        <v>676</v>
      </c>
      <c r="C845" s="219" t="s">
        <v>32</v>
      </c>
      <c r="D845" s="48" t="s">
        <v>112</v>
      </c>
      <c r="E845" s="56">
        <v>1275.68</v>
      </c>
      <c r="F845" s="188" t="s">
        <v>112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 ht="15.95">
      <c r="A846" s="41">
        <f t="shared" si="28"/>
        <v>285</v>
      </c>
      <c r="B846" s="36" t="s">
        <v>677</v>
      </c>
      <c r="C846" s="219" t="s">
        <v>32</v>
      </c>
      <c r="D846" s="48" t="s">
        <v>112</v>
      </c>
      <c r="E846" s="43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.95">
      <c r="A847" s="41">
        <f t="shared" si="28"/>
        <v>286</v>
      </c>
      <c r="B847" s="168" t="s">
        <v>678</v>
      </c>
      <c r="C847" s="219" t="s">
        <v>32</v>
      </c>
      <c r="D847" s="48" t="s">
        <v>112</v>
      </c>
      <c r="E847" s="55">
        <v>2746.52</v>
      </c>
      <c r="F847" s="194" t="s">
        <v>112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 ht="15.95">
      <c r="A848" s="41">
        <f t="shared" si="28"/>
        <v>287</v>
      </c>
      <c r="B848" s="36" t="s">
        <v>679</v>
      </c>
      <c r="C848" s="219" t="s">
        <v>32</v>
      </c>
      <c r="D848" s="48" t="s">
        <v>112</v>
      </c>
      <c r="E848" s="43">
        <v>1275.68</v>
      </c>
      <c r="F848" s="188" t="s">
        <v>112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 ht="15.95">
      <c r="A849" s="41">
        <f t="shared" si="28"/>
        <v>288</v>
      </c>
      <c r="B849" s="36" t="s">
        <v>680</v>
      </c>
      <c r="C849" s="219" t="s">
        <v>32</v>
      </c>
      <c r="D849" s="48" t="s">
        <v>112</v>
      </c>
      <c r="E849" s="43">
        <v>1225.7</v>
      </c>
      <c r="F849" s="188" t="s">
        <v>112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 ht="15.95">
      <c r="A850" s="41">
        <f t="shared" si="28"/>
        <v>289</v>
      </c>
      <c r="B850" s="36" t="s">
        <v>681</v>
      </c>
      <c r="C850" s="219" t="s">
        <v>32</v>
      </c>
      <c r="D850" s="48" t="s">
        <v>112</v>
      </c>
      <c r="E850" s="43">
        <v>3881.78</v>
      </c>
      <c r="F850" s="188" t="s">
        <v>112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 ht="15.95">
      <c r="A851" s="41">
        <f t="shared" si="28"/>
        <v>290</v>
      </c>
      <c r="B851" s="36" t="s">
        <v>682</v>
      </c>
      <c r="C851" s="219" t="s">
        <v>32</v>
      </c>
      <c r="D851" s="48" t="s">
        <v>112</v>
      </c>
      <c r="E851" s="43">
        <v>1275.68</v>
      </c>
      <c r="F851" s="188" t="s">
        <v>112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 ht="15.95">
      <c r="A852" s="41">
        <f t="shared" si="28"/>
        <v>291</v>
      </c>
      <c r="B852" s="36" t="s">
        <v>683</v>
      </c>
      <c r="C852" s="219" t="s">
        <v>32</v>
      </c>
      <c r="D852" s="48" t="s">
        <v>112</v>
      </c>
      <c r="E852" s="43">
        <v>3881.78</v>
      </c>
      <c r="F852" s="188" t="s">
        <v>112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.95">
      <c r="A853" s="41">
        <f t="shared" si="28"/>
        <v>292</v>
      </c>
      <c r="B853" s="36" t="s">
        <v>684</v>
      </c>
      <c r="C853" s="219" t="s">
        <v>32</v>
      </c>
      <c r="D853" s="48" t="s">
        <v>112</v>
      </c>
      <c r="E853" s="55">
        <v>1225.7</v>
      </c>
      <c r="F853" s="194" t="s">
        <v>112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 ht="15.95">
      <c r="A854" s="41">
        <f t="shared" si="28"/>
        <v>293</v>
      </c>
      <c r="B854" s="36" t="s">
        <v>685</v>
      </c>
      <c r="C854" s="219" t="s">
        <v>32</v>
      </c>
      <c r="D854" s="48" t="s">
        <v>112</v>
      </c>
      <c r="E854" s="43">
        <v>1225.7</v>
      </c>
      <c r="F854" s="188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 ht="15.95">
      <c r="A855" s="41">
        <f t="shared" si="28"/>
        <v>294</v>
      </c>
      <c r="B855" s="36" t="s">
        <v>686</v>
      </c>
      <c r="C855" s="219" t="s">
        <v>32</v>
      </c>
      <c r="D855" s="48" t="s">
        <v>112</v>
      </c>
      <c r="E855" s="43">
        <v>2400</v>
      </c>
      <c r="F855" s="188" t="s">
        <v>112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 ht="15.95">
      <c r="A856" s="41">
        <f t="shared" si="28"/>
        <v>295</v>
      </c>
      <c r="B856" s="36" t="s">
        <v>687</v>
      </c>
      <c r="C856" s="219" t="s">
        <v>32</v>
      </c>
      <c r="D856" s="48" t="s">
        <v>112</v>
      </c>
      <c r="E856" s="43">
        <v>1275.68</v>
      </c>
      <c r="F856" s="188" t="s">
        <v>112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 ht="15.95">
      <c r="A857" s="41">
        <f t="shared" si="28"/>
        <v>296</v>
      </c>
      <c r="B857" s="36" t="s">
        <v>688</v>
      </c>
      <c r="C857" s="219" t="s">
        <v>32</v>
      </c>
      <c r="D857" s="48" t="s">
        <v>112</v>
      </c>
      <c r="E857" s="43">
        <v>1225.7</v>
      </c>
      <c r="F857" s="188" t="s">
        <v>112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 ht="15.95">
      <c r="A858" s="41">
        <f t="shared" si="28"/>
        <v>297</v>
      </c>
      <c r="B858" s="36" t="s">
        <v>689</v>
      </c>
      <c r="C858" s="219" t="s">
        <v>32</v>
      </c>
      <c r="D858" s="48" t="s">
        <v>112</v>
      </c>
      <c r="E858" s="43">
        <v>1275.68</v>
      </c>
      <c r="F858" s="188" t="s">
        <v>112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 ht="15.95">
      <c r="A859" s="41">
        <f t="shared" si="28"/>
        <v>298</v>
      </c>
      <c r="B859" s="36" t="s">
        <v>690</v>
      </c>
      <c r="C859" s="219" t="s">
        <v>32</v>
      </c>
      <c r="D859" s="48" t="s">
        <v>112</v>
      </c>
      <c r="E859" s="43">
        <v>2400</v>
      </c>
      <c r="F859" s="188" t="s">
        <v>112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2.1">
      <c r="A860" s="41">
        <f t="shared" si="28"/>
        <v>299</v>
      </c>
      <c r="B860" s="168" t="s">
        <v>691</v>
      </c>
      <c r="C860" s="219" t="s">
        <v>32</v>
      </c>
      <c r="D860" s="48" t="s">
        <v>112</v>
      </c>
      <c r="E860" s="55">
        <v>873.94</v>
      </c>
      <c r="F860" s="194" t="s">
        <v>112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.95">
      <c r="A861" s="41">
        <f t="shared" si="28"/>
        <v>300</v>
      </c>
      <c r="B861" s="168" t="s">
        <v>692</v>
      </c>
      <c r="C861" s="219" t="s">
        <v>32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.95">
      <c r="A862" s="41">
        <f t="shared" si="28"/>
        <v>301</v>
      </c>
      <c r="B862" s="168" t="s">
        <v>693</v>
      </c>
      <c r="C862" s="219" t="s">
        <v>32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.95">
      <c r="A863" s="41">
        <f t="shared" si="28"/>
        <v>302</v>
      </c>
      <c r="B863" s="168" t="s">
        <v>694</v>
      </c>
      <c r="C863" s="219" t="s">
        <v>32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.95">
      <c r="A864" s="41">
        <f t="shared" si="28"/>
        <v>303</v>
      </c>
      <c r="B864" s="36" t="s">
        <v>695</v>
      </c>
      <c r="C864" s="219" t="s">
        <v>32</v>
      </c>
      <c r="D864" s="48" t="s">
        <v>112</v>
      </c>
      <c r="E864" s="43">
        <v>131.97</v>
      </c>
      <c r="F864" s="188" t="s">
        <v>112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.95">
      <c r="A865" s="41">
        <f t="shared" si="28"/>
        <v>304</v>
      </c>
      <c r="B865" s="168" t="s">
        <v>696</v>
      </c>
      <c r="C865" s="219" t="s">
        <v>32</v>
      </c>
      <c r="D865" s="48" t="s">
        <v>112</v>
      </c>
      <c r="E865" s="55">
        <v>5450</v>
      </c>
      <c r="F865" s="194" t="s">
        <v>112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.95">
      <c r="A866" s="41">
        <f t="shared" si="28"/>
        <v>305</v>
      </c>
      <c r="B866" s="168" t="s">
        <v>697</v>
      </c>
      <c r="C866" s="219" t="s">
        <v>32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2.1">
      <c r="A867" s="41">
        <f t="shared" si="28"/>
        <v>306</v>
      </c>
      <c r="B867" s="168" t="s">
        <v>698</v>
      </c>
      <c r="C867" s="219" t="s">
        <v>32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2.1">
      <c r="A868" s="41">
        <f t="shared" si="28"/>
        <v>307</v>
      </c>
      <c r="B868" s="168" t="s">
        <v>699</v>
      </c>
      <c r="C868" s="219" t="s">
        <v>32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2.1">
      <c r="A869" s="41">
        <f t="shared" si="28"/>
        <v>308</v>
      </c>
      <c r="B869" s="168" t="s">
        <v>700</v>
      </c>
      <c r="C869" s="219" t="s">
        <v>32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2.1">
      <c r="A870" s="41">
        <f t="shared" si="28"/>
        <v>309</v>
      </c>
      <c r="B870" s="168" t="s">
        <v>701</v>
      </c>
      <c r="C870" s="219" t="s">
        <v>32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2.1">
      <c r="A871" s="41">
        <f t="shared" si="28"/>
        <v>310</v>
      </c>
      <c r="B871" s="168" t="s">
        <v>702</v>
      </c>
      <c r="C871" s="219" t="s">
        <v>32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2.1">
      <c r="A872" s="41">
        <f t="shared" si="28"/>
        <v>311</v>
      </c>
      <c r="B872" s="168" t="s">
        <v>703</v>
      </c>
      <c r="C872" s="219" t="s">
        <v>32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15.95">
      <c r="A873" s="41">
        <f t="shared" si="28"/>
        <v>312</v>
      </c>
      <c r="B873" s="36" t="s">
        <v>704</v>
      </c>
      <c r="C873" s="219" t="s">
        <v>32</v>
      </c>
      <c r="D873" s="48" t="s">
        <v>112</v>
      </c>
      <c r="E873" s="43">
        <v>131.97</v>
      </c>
      <c r="F873" s="188" t="s">
        <v>112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 ht="15.95">
      <c r="A874" s="41">
        <f t="shared" si="28"/>
        <v>313</v>
      </c>
      <c r="B874" s="36" t="s">
        <v>705</v>
      </c>
      <c r="C874" s="219" t="s">
        <v>32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 ht="15.95">
      <c r="A875" s="41">
        <f t="shared" si="28"/>
        <v>314</v>
      </c>
      <c r="B875" s="181" t="s">
        <v>706</v>
      </c>
      <c r="C875" s="219" t="s">
        <v>32</v>
      </c>
      <c r="D875" s="48" t="s">
        <v>112</v>
      </c>
      <c r="E875" s="43">
        <v>249.9</v>
      </c>
      <c r="F875" s="188" t="s">
        <v>112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 ht="15.95">
      <c r="A876" s="41">
        <f t="shared" si="28"/>
        <v>315</v>
      </c>
      <c r="B876" s="36" t="s">
        <v>707</v>
      </c>
      <c r="C876" s="219" t="s">
        <v>32</v>
      </c>
      <c r="D876" s="48" t="s">
        <v>112</v>
      </c>
      <c r="E876" s="43">
        <v>131.97</v>
      </c>
      <c r="F876" s="188" t="s">
        <v>112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 ht="15.95">
      <c r="A877" s="41">
        <f t="shared" si="28"/>
        <v>316</v>
      </c>
      <c r="B877" s="36" t="s">
        <v>708</v>
      </c>
      <c r="C877" s="219" t="s">
        <v>32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.95">
      <c r="A878" s="41">
        <f t="shared" si="28"/>
        <v>317</v>
      </c>
      <c r="B878" s="36" t="s">
        <v>709</v>
      </c>
      <c r="C878" s="219" t="s">
        <v>32</v>
      </c>
      <c r="D878" s="48" t="s">
        <v>112</v>
      </c>
      <c r="E878" s="55">
        <v>131.97</v>
      </c>
      <c r="F878" s="194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.95">
      <c r="A879" s="41">
        <f t="shared" si="28"/>
        <v>318</v>
      </c>
      <c r="B879" s="36" t="s">
        <v>710</v>
      </c>
      <c r="C879" s="219" t="s">
        <v>32</v>
      </c>
      <c r="D879" s="48" t="s">
        <v>112</v>
      </c>
      <c r="E879" s="43">
        <v>131.97</v>
      </c>
      <c r="F879" s="188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 ht="15.95">
      <c r="A880" s="41">
        <f t="shared" si="28"/>
        <v>319</v>
      </c>
      <c r="B880" s="36" t="s">
        <v>711</v>
      </c>
      <c r="C880" s="219" t="s">
        <v>32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 ht="15.95">
      <c r="A881" s="41">
        <f t="shared" si="28"/>
        <v>320</v>
      </c>
      <c r="B881" s="36" t="s">
        <v>712</v>
      </c>
      <c r="C881" s="219" t="s">
        <v>32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 ht="15.95">
      <c r="A882" s="41">
        <f t="shared" si="28"/>
        <v>321</v>
      </c>
      <c r="B882" s="36" t="s">
        <v>713</v>
      </c>
      <c r="C882" s="219" t="s">
        <v>32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 ht="15.95">
      <c r="A883" s="41">
        <f t="shared" si="28"/>
        <v>322</v>
      </c>
      <c r="B883" s="36" t="s">
        <v>714</v>
      </c>
      <c r="C883" s="219" t="s">
        <v>32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 ht="15.95">
      <c r="A884" s="41">
        <f t="shared" si="28"/>
        <v>323</v>
      </c>
      <c r="B884" s="36" t="s">
        <v>715</v>
      </c>
      <c r="C884" s="219" t="s">
        <v>32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 ht="15.95">
      <c r="A885" s="41">
        <f t="shared" si="28"/>
        <v>324</v>
      </c>
      <c r="B885" s="36" t="s">
        <v>716</v>
      </c>
      <c r="C885" s="219" t="s">
        <v>32</v>
      </c>
      <c r="D885" s="48" t="s">
        <v>112</v>
      </c>
      <c r="E885" s="43">
        <v>131.97</v>
      </c>
      <c r="F885" s="194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 ht="15.95">
      <c r="A886" s="41">
        <v>1</v>
      </c>
      <c r="B886" s="36" t="s">
        <v>717</v>
      </c>
      <c r="C886" s="219" t="s">
        <v>32</v>
      </c>
      <c r="D886" s="48" t="s">
        <v>112</v>
      </c>
      <c r="E886" s="43">
        <v>131.97</v>
      </c>
      <c r="F886" s="188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 ht="15.95">
      <c r="A887" s="41">
        <f t="shared" ref="A887:A918" si="30">A886+1</f>
        <v>2</v>
      </c>
      <c r="B887" s="36" t="s">
        <v>718</v>
      </c>
      <c r="C887" s="219" t="s">
        <v>32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 ht="15.95">
      <c r="A888" s="41">
        <f t="shared" si="30"/>
        <v>3</v>
      </c>
      <c r="B888" s="36" t="s">
        <v>719</v>
      </c>
      <c r="C888" s="219" t="s">
        <v>32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.95">
      <c r="A889" s="41">
        <f t="shared" si="30"/>
        <v>4</v>
      </c>
      <c r="B889" s="36" t="s">
        <v>720</v>
      </c>
      <c r="C889" s="219" t="s">
        <v>32</v>
      </c>
      <c r="D889" s="48" t="s">
        <v>112</v>
      </c>
      <c r="E889" s="55">
        <v>131.97</v>
      </c>
      <c r="F889" s="194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 ht="15.95">
      <c r="A890" s="41">
        <f t="shared" si="30"/>
        <v>5</v>
      </c>
      <c r="B890" s="36" t="s">
        <v>721</v>
      </c>
      <c r="C890" s="219" t="s">
        <v>32</v>
      </c>
      <c r="D890" s="48" t="s">
        <v>112</v>
      </c>
      <c r="E890" s="43">
        <v>131.97</v>
      </c>
      <c r="F890" s="188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 ht="15.95">
      <c r="A891" s="41">
        <f t="shared" si="30"/>
        <v>6</v>
      </c>
      <c r="B891" s="36" t="s">
        <v>722</v>
      </c>
      <c r="C891" s="219" t="s">
        <v>32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 ht="15.95">
      <c r="A892" s="41">
        <f t="shared" si="30"/>
        <v>7</v>
      </c>
      <c r="B892" s="36" t="s">
        <v>723</v>
      </c>
      <c r="C892" s="219" t="s">
        <v>32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 ht="15.95">
      <c r="A893" s="41">
        <f t="shared" si="30"/>
        <v>8</v>
      </c>
      <c r="B893" s="36" t="s">
        <v>724</v>
      </c>
      <c r="C893" s="219" t="s">
        <v>32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.95">
      <c r="A894" s="41">
        <f t="shared" si="30"/>
        <v>9</v>
      </c>
      <c r="B894" s="36" t="s">
        <v>725</v>
      </c>
      <c r="C894" s="219" t="s">
        <v>32</v>
      </c>
      <c r="D894" s="48" t="s">
        <v>112</v>
      </c>
      <c r="E894" s="55">
        <v>131.97</v>
      </c>
      <c r="F894" s="194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.95">
      <c r="A895" s="41">
        <f t="shared" si="30"/>
        <v>10</v>
      </c>
      <c r="B895" s="168" t="s">
        <v>726</v>
      </c>
      <c r="C895" s="219" t="s">
        <v>32</v>
      </c>
      <c r="D895" s="48" t="s">
        <v>112</v>
      </c>
      <c r="E895" s="55">
        <v>6957.9299999999994</v>
      </c>
      <c r="F895" s="194" t="s">
        <v>112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.95">
      <c r="A896" s="41">
        <f t="shared" si="30"/>
        <v>11</v>
      </c>
      <c r="B896" s="168" t="s">
        <v>727</v>
      </c>
      <c r="C896" s="219" t="s">
        <v>32</v>
      </c>
      <c r="D896" s="48" t="s">
        <v>112</v>
      </c>
      <c r="E896" s="55">
        <v>2563</v>
      </c>
      <c r="F896" s="194" t="s">
        <v>112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.95">
      <c r="A897" s="41">
        <f t="shared" si="30"/>
        <v>12</v>
      </c>
      <c r="B897" s="168" t="s">
        <v>728</v>
      </c>
      <c r="C897" s="219" t="s">
        <v>32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.95">
      <c r="A898" s="41">
        <f t="shared" si="30"/>
        <v>13</v>
      </c>
      <c r="B898" s="168" t="s">
        <v>729</v>
      </c>
      <c r="C898" s="219" t="s">
        <v>32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.95">
      <c r="A899" s="41">
        <f t="shared" si="30"/>
        <v>14</v>
      </c>
      <c r="B899" s="168" t="s">
        <v>730</v>
      </c>
      <c r="C899" s="219" t="s">
        <v>32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2.1">
      <c r="A900" s="41">
        <f t="shared" si="30"/>
        <v>15</v>
      </c>
      <c r="B900" s="168" t="s">
        <v>731</v>
      </c>
      <c r="C900" s="219" t="s">
        <v>32</v>
      </c>
      <c r="D900" s="48" t="s">
        <v>112</v>
      </c>
      <c r="E900" s="55">
        <v>2885.5</v>
      </c>
      <c r="F900" s="194" t="s">
        <v>112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2.1">
      <c r="A901" s="41">
        <f t="shared" si="30"/>
        <v>16</v>
      </c>
      <c r="B901" s="168" t="s">
        <v>732</v>
      </c>
      <c r="C901" s="219" t="s">
        <v>32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2.1">
      <c r="A902" s="41">
        <f t="shared" si="30"/>
        <v>17</v>
      </c>
      <c r="B902" s="168" t="s">
        <v>733</v>
      </c>
      <c r="C902" s="219" t="s">
        <v>32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2.1">
      <c r="A903" s="41">
        <f t="shared" si="30"/>
        <v>18</v>
      </c>
      <c r="B903" s="168" t="s">
        <v>734</v>
      </c>
      <c r="C903" s="219" t="s">
        <v>32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2.1">
      <c r="A904" s="41">
        <f t="shared" si="30"/>
        <v>19</v>
      </c>
      <c r="B904" s="168" t="s">
        <v>735</v>
      </c>
      <c r="C904" s="219" t="s">
        <v>32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2.1">
      <c r="A905" s="41">
        <f t="shared" si="30"/>
        <v>20</v>
      </c>
      <c r="B905" s="168" t="s">
        <v>736</v>
      </c>
      <c r="C905" s="219" t="s">
        <v>32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2.1">
      <c r="A906" s="41">
        <f t="shared" si="30"/>
        <v>21</v>
      </c>
      <c r="B906" s="168" t="s">
        <v>737</v>
      </c>
      <c r="C906" s="219" t="s">
        <v>32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2.1">
      <c r="A907" s="41">
        <f t="shared" si="30"/>
        <v>22</v>
      </c>
      <c r="B907" s="168" t="s">
        <v>738</v>
      </c>
      <c r="C907" s="219" t="s">
        <v>32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2.1">
      <c r="A908" s="41">
        <f t="shared" si="30"/>
        <v>23</v>
      </c>
      <c r="B908" s="168" t="s">
        <v>739</v>
      </c>
      <c r="C908" s="219" t="s">
        <v>32</v>
      </c>
      <c r="D908" s="48" t="s">
        <v>112</v>
      </c>
      <c r="E908" s="55">
        <v>2785.5</v>
      </c>
      <c r="F908" s="194" t="s">
        <v>112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2.1">
      <c r="A909" s="41">
        <f t="shared" si="30"/>
        <v>24</v>
      </c>
      <c r="B909" s="168" t="s">
        <v>740</v>
      </c>
      <c r="C909" s="219" t="s">
        <v>32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2.1">
      <c r="A910" s="41">
        <f t="shared" si="30"/>
        <v>25</v>
      </c>
      <c r="B910" s="168" t="s">
        <v>741</v>
      </c>
      <c r="C910" s="219" t="s">
        <v>32</v>
      </c>
      <c r="D910" s="48" t="s">
        <v>112</v>
      </c>
      <c r="E910" s="55">
        <v>1</v>
      </c>
      <c r="F910" s="194" t="s">
        <v>112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2.1">
      <c r="A911" s="41">
        <f t="shared" si="30"/>
        <v>26</v>
      </c>
      <c r="B911" s="168" t="s">
        <v>742</v>
      </c>
      <c r="C911" s="219" t="s">
        <v>32</v>
      </c>
      <c r="D911" s="48" t="s">
        <v>112</v>
      </c>
      <c r="E911" s="55">
        <v>1200</v>
      </c>
      <c r="F911" s="194" t="s">
        <v>112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2.1">
      <c r="A912" s="41">
        <f t="shared" si="30"/>
        <v>27</v>
      </c>
      <c r="B912" s="168" t="s">
        <v>743</v>
      </c>
      <c r="C912" s="219" t="s">
        <v>32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.95">
      <c r="A913" s="41">
        <f t="shared" si="30"/>
        <v>28</v>
      </c>
      <c r="B913" s="168" t="s">
        <v>744</v>
      </c>
      <c r="C913" s="219" t="s">
        <v>32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.95">
      <c r="A914" s="41">
        <f t="shared" si="30"/>
        <v>29</v>
      </c>
      <c r="B914" s="168" t="s">
        <v>745</v>
      </c>
      <c r="C914" s="219" t="s">
        <v>32</v>
      </c>
      <c r="D914" s="48" t="s">
        <v>112</v>
      </c>
      <c r="E914" s="55">
        <v>500</v>
      </c>
      <c r="F914" s="194" t="s">
        <v>112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.95">
      <c r="A915" s="41">
        <f t="shared" si="30"/>
        <v>30</v>
      </c>
      <c r="B915" s="168" t="s">
        <v>746</v>
      </c>
      <c r="C915" s="219" t="s">
        <v>32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.95">
      <c r="A916" s="41">
        <f t="shared" si="30"/>
        <v>31</v>
      </c>
      <c r="B916" s="168" t="s">
        <v>747</v>
      </c>
      <c r="C916" s="219" t="s">
        <v>32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.95">
      <c r="A917" s="41">
        <f t="shared" si="30"/>
        <v>32</v>
      </c>
      <c r="B917" s="168" t="s">
        <v>748</v>
      </c>
      <c r="C917" s="219" t="s">
        <v>32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.95">
      <c r="A918" s="41">
        <f t="shared" si="30"/>
        <v>33</v>
      </c>
      <c r="B918" s="168" t="s">
        <v>749</v>
      </c>
      <c r="C918" s="219" t="s">
        <v>32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.95">
      <c r="A919" s="41">
        <f t="shared" ref="A919:A950" si="31">A918+1</f>
        <v>34</v>
      </c>
      <c r="B919" s="168" t="s">
        <v>750</v>
      </c>
      <c r="C919" s="219" t="s">
        <v>32</v>
      </c>
      <c r="D919" s="48" t="s">
        <v>112</v>
      </c>
      <c r="E919" s="55">
        <v>114.24</v>
      </c>
      <c r="F919" s="194" t="s">
        <v>112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.95">
      <c r="A920" s="41">
        <f t="shared" si="31"/>
        <v>35</v>
      </c>
      <c r="B920" s="168" t="s">
        <v>751</v>
      </c>
      <c r="C920" s="219" t="s">
        <v>32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.95">
      <c r="A921" s="41">
        <f t="shared" si="31"/>
        <v>36</v>
      </c>
      <c r="B921" s="168" t="s">
        <v>752</v>
      </c>
      <c r="C921" s="219" t="s">
        <v>32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.95">
      <c r="A922" s="41">
        <f t="shared" si="31"/>
        <v>37</v>
      </c>
      <c r="B922" s="168" t="s">
        <v>753</v>
      </c>
      <c r="C922" s="219" t="s">
        <v>32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.95">
      <c r="A923" s="41">
        <f t="shared" si="31"/>
        <v>38</v>
      </c>
      <c r="B923" s="168" t="s">
        <v>754</v>
      </c>
      <c r="C923" s="219" t="s">
        <v>32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.95">
      <c r="A924" s="41">
        <f t="shared" si="31"/>
        <v>39</v>
      </c>
      <c r="B924" s="168" t="s">
        <v>755</v>
      </c>
      <c r="C924" s="219" t="s">
        <v>32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.95">
      <c r="A925" s="41">
        <f t="shared" si="31"/>
        <v>40</v>
      </c>
      <c r="B925" s="168" t="s">
        <v>756</v>
      </c>
      <c r="C925" s="219" t="s">
        <v>32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.95">
      <c r="A926" s="41">
        <f t="shared" si="31"/>
        <v>41</v>
      </c>
      <c r="B926" s="168" t="s">
        <v>757</v>
      </c>
      <c r="C926" s="219" t="s">
        <v>32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.95">
      <c r="A927" s="41">
        <f t="shared" si="31"/>
        <v>42</v>
      </c>
      <c r="B927" s="168" t="s">
        <v>758</v>
      </c>
      <c r="C927" s="219" t="s">
        <v>32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.95">
      <c r="A928" s="41">
        <f t="shared" si="31"/>
        <v>43</v>
      </c>
      <c r="B928" s="168" t="s">
        <v>759</v>
      </c>
      <c r="C928" s="219" t="s">
        <v>32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.95">
      <c r="A929" s="41">
        <f t="shared" si="31"/>
        <v>44</v>
      </c>
      <c r="B929" s="168" t="s">
        <v>760</v>
      </c>
      <c r="C929" s="219" t="s">
        <v>32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.95">
      <c r="A930" s="41">
        <f t="shared" si="31"/>
        <v>45</v>
      </c>
      <c r="B930" s="168" t="s">
        <v>761</v>
      </c>
      <c r="C930" s="219" t="s">
        <v>32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.95">
      <c r="A931" s="41">
        <f t="shared" si="31"/>
        <v>46</v>
      </c>
      <c r="B931" s="168" t="s">
        <v>762</v>
      </c>
      <c r="C931" s="219" t="s">
        <v>32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.95">
      <c r="A932" s="41">
        <f t="shared" si="31"/>
        <v>47</v>
      </c>
      <c r="B932" s="168" t="s">
        <v>763</v>
      </c>
      <c r="C932" s="219" t="s">
        <v>32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.95">
      <c r="A933" s="41">
        <f t="shared" si="31"/>
        <v>48</v>
      </c>
      <c r="B933" s="168" t="s">
        <v>764</v>
      </c>
      <c r="C933" s="219" t="s">
        <v>32</v>
      </c>
      <c r="D933" s="48" t="s">
        <v>112</v>
      </c>
      <c r="E933" s="55">
        <v>1800</v>
      </c>
      <c r="F933" s="194" t="s">
        <v>112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.95">
      <c r="A934" s="41">
        <f t="shared" si="31"/>
        <v>49</v>
      </c>
      <c r="B934" s="168" t="s">
        <v>765</v>
      </c>
      <c r="C934" s="219" t="s">
        <v>32</v>
      </c>
      <c r="D934" s="48" t="s">
        <v>112</v>
      </c>
      <c r="E934" s="55">
        <v>546</v>
      </c>
      <c r="F934" s="194" t="s">
        <v>112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.95">
      <c r="A935" s="41">
        <f t="shared" si="31"/>
        <v>50</v>
      </c>
      <c r="B935" s="168" t="s">
        <v>766</v>
      </c>
      <c r="C935" s="219" t="s">
        <v>32</v>
      </c>
      <c r="D935" s="48" t="s">
        <v>112</v>
      </c>
      <c r="E935" s="55">
        <v>114.24</v>
      </c>
      <c r="F935" s="194" t="s">
        <v>112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.95">
      <c r="A936" s="41">
        <f t="shared" si="31"/>
        <v>51</v>
      </c>
      <c r="B936" s="168" t="s">
        <v>767</v>
      </c>
      <c r="C936" s="219" t="s">
        <v>32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.95">
      <c r="A937" s="41">
        <f t="shared" si="31"/>
        <v>52</v>
      </c>
      <c r="B937" s="168" t="s">
        <v>768</v>
      </c>
      <c r="C937" s="219" t="s">
        <v>32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.95">
      <c r="A938" s="41">
        <f t="shared" si="31"/>
        <v>53</v>
      </c>
      <c r="B938" s="168" t="s">
        <v>769</v>
      </c>
      <c r="C938" s="219" t="s">
        <v>32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.95">
      <c r="A939" s="41">
        <f t="shared" si="31"/>
        <v>54</v>
      </c>
      <c r="B939" s="168" t="s">
        <v>770</v>
      </c>
      <c r="C939" s="219" t="s">
        <v>32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.95">
      <c r="A940" s="41">
        <f t="shared" si="31"/>
        <v>55</v>
      </c>
      <c r="B940" s="168" t="s">
        <v>771</v>
      </c>
      <c r="C940" s="219" t="s">
        <v>32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.95">
      <c r="A941" s="41">
        <f t="shared" si="31"/>
        <v>56</v>
      </c>
      <c r="B941" s="168" t="s">
        <v>772</v>
      </c>
      <c r="C941" s="219" t="s">
        <v>32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.95">
      <c r="A942" s="41">
        <f t="shared" si="31"/>
        <v>57</v>
      </c>
      <c r="B942" s="168" t="s">
        <v>773</v>
      </c>
      <c r="C942" s="219" t="s">
        <v>32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.95">
      <c r="A943" s="41">
        <f t="shared" si="31"/>
        <v>58</v>
      </c>
      <c r="B943" s="168" t="s">
        <v>774</v>
      </c>
      <c r="C943" s="219" t="s">
        <v>32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.95">
      <c r="A944" s="41">
        <f t="shared" si="31"/>
        <v>59</v>
      </c>
      <c r="B944" s="168" t="s">
        <v>775</v>
      </c>
      <c r="C944" s="219" t="s">
        <v>32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.95">
      <c r="A945" s="41">
        <f t="shared" si="31"/>
        <v>60</v>
      </c>
      <c r="B945" s="168" t="s">
        <v>776</v>
      </c>
      <c r="C945" s="219" t="s">
        <v>32</v>
      </c>
      <c r="D945" s="48" t="s">
        <v>112</v>
      </c>
      <c r="E945" s="55">
        <v>1550</v>
      </c>
      <c r="F945" s="194" t="s">
        <v>112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.95">
      <c r="A946" s="41">
        <f t="shared" si="31"/>
        <v>61</v>
      </c>
      <c r="B946" s="168" t="s">
        <v>777</v>
      </c>
      <c r="C946" s="219" t="s">
        <v>32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.95">
      <c r="A947" s="41">
        <f t="shared" si="31"/>
        <v>62</v>
      </c>
      <c r="B947" s="168" t="s">
        <v>778</v>
      </c>
      <c r="C947" s="219" t="s">
        <v>32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.95">
      <c r="A948" s="41">
        <f t="shared" si="31"/>
        <v>63</v>
      </c>
      <c r="B948" s="168" t="s">
        <v>779</v>
      </c>
      <c r="C948" s="219" t="s">
        <v>32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.95">
      <c r="A949" s="41">
        <f t="shared" si="31"/>
        <v>64</v>
      </c>
      <c r="B949" s="168" t="s">
        <v>780</v>
      </c>
      <c r="C949" s="219" t="s">
        <v>32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.95">
      <c r="A950" s="41">
        <f t="shared" si="31"/>
        <v>65</v>
      </c>
      <c r="B950" s="168" t="s">
        <v>781</v>
      </c>
      <c r="C950" s="219" t="s">
        <v>32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.95">
      <c r="A951" s="41">
        <f t="shared" ref="A951:A982" si="33">A950+1</f>
        <v>66</v>
      </c>
      <c r="B951" s="168" t="s">
        <v>782</v>
      </c>
      <c r="C951" s="219" t="s">
        <v>32</v>
      </c>
      <c r="D951" s="48" t="s">
        <v>112</v>
      </c>
      <c r="E951" s="55">
        <v>952</v>
      </c>
      <c r="F951" s="194" t="s">
        <v>112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.95">
      <c r="A952" s="41">
        <f t="shared" si="33"/>
        <v>67</v>
      </c>
      <c r="B952" s="168" t="s">
        <v>783</v>
      </c>
      <c r="C952" s="219" t="s">
        <v>32</v>
      </c>
      <c r="D952" s="48" t="s">
        <v>112</v>
      </c>
      <c r="E952" s="55">
        <v>925</v>
      </c>
      <c r="F952" s="194" t="s">
        <v>112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.95">
      <c r="A953" s="41">
        <f t="shared" si="33"/>
        <v>68</v>
      </c>
      <c r="B953" s="168" t="s">
        <v>784</v>
      </c>
      <c r="C953" s="219" t="s">
        <v>32</v>
      </c>
      <c r="D953" s="48" t="s">
        <v>112</v>
      </c>
      <c r="E953" s="55">
        <v>1100</v>
      </c>
      <c r="F953" s="194" t="s">
        <v>112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.95">
      <c r="A954" s="41">
        <f t="shared" si="33"/>
        <v>69</v>
      </c>
      <c r="B954" s="168" t="s">
        <v>785</v>
      </c>
      <c r="C954" s="219" t="s">
        <v>32</v>
      </c>
      <c r="D954" s="48" t="s">
        <v>112</v>
      </c>
      <c r="E954" s="55">
        <v>1350</v>
      </c>
      <c r="F954" s="194" t="s">
        <v>112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.95">
      <c r="A955" s="41">
        <f t="shared" si="33"/>
        <v>70</v>
      </c>
      <c r="B955" s="168" t="s">
        <v>786</v>
      </c>
      <c r="C955" s="219" t="s">
        <v>32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 ht="15.95">
      <c r="A956" s="41">
        <f t="shared" si="33"/>
        <v>71</v>
      </c>
      <c r="B956" s="36" t="s">
        <v>787</v>
      </c>
      <c r="C956" s="219" t="s">
        <v>32</v>
      </c>
      <c r="D956" s="48" t="s">
        <v>112</v>
      </c>
      <c r="E956" s="43">
        <v>2727.48</v>
      </c>
      <c r="F956" s="188" t="s">
        <v>112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 ht="15.95">
      <c r="A957" s="41">
        <f t="shared" si="33"/>
        <v>72</v>
      </c>
      <c r="B957" s="36" t="s">
        <v>788</v>
      </c>
      <c r="C957" s="219" t="s">
        <v>32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.95">
      <c r="A958" s="41">
        <f t="shared" si="33"/>
        <v>73</v>
      </c>
      <c r="B958" s="168" t="s">
        <v>789</v>
      </c>
      <c r="C958" s="219" t="s">
        <v>32</v>
      </c>
      <c r="D958" s="48" t="s">
        <v>112</v>
      </c>
      <c r="E958" s="55">
        <v>2727.48</v>
      </c>
      <c r="F958" s="194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.95">
      <c r="A959" s="41">
        <f t="shared" si="33"/>
        <v>74</v>
      </c>
      <c r="B959" s="168" t="s">
        <v>790</v>
      </c>
      <c r="C959" s="219" t="s">
        <v>32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.95">
      <c r="A960" s="41">
        <f t="shared" si="33"/>
        <v>75</v>
      </c>
      <c r="B960" s="168" t="s">
        <v>791</v>
      </c>
      <c r="C960" s="219" t="s">
        <v>32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.95">
      <c r="A961" s="41">
        <f t="shared" si="33"/>
        <v>76</v>
      </c>
      <c r="B961" s="168" t="s">
        <v>792</v>
      </c>
      <c r="C961" s="219" t="s">
        <v>32</v>
      </c>
      <c r="D961" s="48" t="s">
        <v>112</v>
      </c>
      <c r="E961" s="55">
        <v>3111.85</v>
      </c>
      <c r="F961" s="194" t="s">
        <v>112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2.1">
      <c r="A962" s="41">
        <f t="shared" si="33"/>
        <v>77</v>
      </c>
      <c r="B962" s="168" t="s">
        <v>793</v>
      </c>
      <c r="C962" s="219" t="s">
        <v>32</v>
      </c>
      <c r="D962" s="48" t="s">
        <v>112</v>
      </c>
      <c r="E962" s="43">
        <v>1550</v>
      </c>
      <c r="F962" s="188" t="s">
        <v>112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.95">
      <c r="A963" s="41">
        <f t="shared" si="33"/>
        <v>78</v>
      </c>
      <c r="B963" s="168" t="s">
        <v>794</v>
      </c>
      <c r="C963" s="219" t="s">
        <v>32</v>
      </c>
      <c r="D963" s="48" t="s">
        <v>112</v>
      </c>
      <c r="E963" s="55">
        <v>1550</v>
      </c>
      <c r="F963" s="194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15.95">
      <c r="A964" s="41">
        <f t="shared" si="33"/>
        <v>79</v>
      </c>
      <c r="B964" s="168" t="s">
        <v>795</v>
      </c>
      <c r="C964" s="219" t="s">
        <v>32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 ht="15.95">
      <c r="A965" s="41">
        <f t="shared" si="33"/>
        <v>80</v>
      </c>
      <c r="B965" s="168" t="s">
        <v>796</v>
      </c>
      <c r="C965" s="219" t="s">
        <v>32</v>
      </c>
      <c r="D965" s="48" t="s">
        <v>112</v>
      </c>
      <c r="E965" s="43">
        <v>1550</v>
      </c>
      <c r="F965" s="188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.95">
      <c r="A966" s="41">
        <f t="shared" si="33"/>
        <v>81</v>
      </c>
      <c r="B966" s="168" t="s">
        <v>797</v>
      </c>
      <c r="C966" s="219" t="s">
        <v>32</v>
      </c>
      <c r="D966" s="48" t="s">
        <v>112</v>
      </c>
      <c r="E966" s="55">
        <v>1550</v>
      </c>
      <c r="F966" s="194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.95">
      <c r="A967" s="41">
        <f t="shared" si="33"/>
        <v>82</v>
      </c>
      <c r="B967" s="168" t="s">
        <v>798</v>
      </c>
      <c r="C967" s="219" t="s">
        <v>32</v>
      </c>
      <c r="D967" s="48" t="s">
        <v>112</v>
      </c>
      <c r="E967" s="55">
        <v>3844</v>
      </c>
      <c r="F967" s="194" t="s">
        <v>112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.95">
      <c r="A968" s="41">
        <f t="shared" si="33"/>
        <v>83</v>
      </c>
      <c r="B968" s="168" t="s">
        <v>799</v>
      </c>
      <c r="C968" s="219" t="s">
        <v>32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.95">
      <c r="A969" s="41">
        <f t="shared" si="33"/>
        <v>84</v>
      </c>
      <c r="B969" s="168" t="s">
        <v>800</v>
      </c>
      <c r="C969" s="219" t="s">
        <v>32</v>
      </c>
      <c r="D969" s="48" t="s">
        <v>112</v>
      </c>
      <c r="E969" s="55">
        <v>998.41</v>
      </c>
      <c r="F969" s="194" t="s">
        <v>112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.95">
      <c r="A970" s="41">
        <f t="shared" si="33"/>
        <v>85</v>
      </c>
      <c r="B970" s="168" t="s">
        <v>801</v>
      </c>
      <c r="C970" s="219" t="s">
        <v>32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.95">
      <c r="A971" s="41">
        <f t="shared" si="33"/>
        <v>86</v>
      </c>
      <c r="B971" s="168" t="s">
        <v>802</v>
      </c>
      <c r="C971" s="219" t="s">
        <v>32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.95">
      <c r="A972" s="41">
        <f t="shared" si="33"/>
        <v>87</v>
      </c>
      <c r="B972" s="168" t="s">
        <v>803</v>
      </c>
      <c r="C972" s="219" t="s">
        <v>32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.95">
      <c r="A973" s="41">
        <f t="shared" si="33"/>
        <v>88</v>
      </c>
      <c r="B973" s="168" t="s">
        <v>804</v>
      </c>
      <c r="C973" s="219" t="s">
        <v>32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.95">
      <c r="A974" s="41">
        <f t="shared" si="33"/>
        <v>89</v>
      </c>
      <c r="B974" s="168" t="s">
        <v>805</v>
      </c>
      <c r="C974" s="219" t="s">
        <v>32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.95">
      <c r="A975" s="41">
        <f t="shared" si="33"/>
        <v>90</v>
      </c>
      <c r="B975" s="168" t="s">
        <v>806</v>
      </c>
      <c r="C975" s="219" t="s">
        <v>32</v>
      </c>
      <c r="D975" s="48" t="s">
        <v>112</v>
      </c>
      <c r="E975" s="55">
        <v>3844</v>
      </c>
      <c r="F975" s="194" t="s">
        <v>112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.95">
      <c r="A976" s="41">
        <f t="shared" si="33"/>
        <v>91</v>
      </c>
      <c r="B976" s="168" t="s">
        <v>807</v>
      </c>
      <c r="C976" s="219" t="s">
        <v>32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.95">
      <c r="A977" s="41">
        <f t="shared" si="33"/>
        <v>92</v>
      </c>
      <c r="B977" s="168" t="s">
        <v>808</v>
      </c>
      <c r="C977" s="219" t="s">
        <v>32</v>
      </c>
      <c r="D977" s="48" t="s">
        <v>112</v>
      </c>
      <c r="E977" s="55">
        <v>998.41</v>
      </c>
      <c r="F977" s="194" t="s">
        <v>112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.95">
      <c r="A978" s="41">
        <f t="shared" si="33"/>
        <v>93</v>
      </c>
      <c r="B978" s="168" t="s">
        <v>809</v>
      </c>
      <c r="C978" s="219" t="s">
        <v>32</v>
      </c>
      <c r="D978" s="48" t="s">
        <v>112</v>
      </c>
      <c r="E978" s="55">
        <v>3844</v>
      </c>
      <c r="F978" s="194" t="s">
        <v>112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.95">
      <c r="A979" s="41">
        <f t="shared" si="33"/>
        <v>94</v>
      </c>
      <c r="B979" s="168" t="s">
        <v>810</v>
      </c>
      <c r="C979" s="219" t="s">
        <v>32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.95">
      <c r="A980" s="41">
        <f t="shared" si="33"/>
        <v>95</v>
      </c>
      <c r="B980" s="168" t="s">
        <v>811</v>
      </c>
      <c r="C980" s="219" t="s">
        <v>32</v>
      </c>
      <c r="D980" s="48" t="s">
        <v>112</v>
      </c>
      <c r="E980" s="55">
        <v>1173.3399999999999</v>
      </c>
      <c r="F980" s="194" t="s">
        <v>112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.95">
      <c r="A981" s="41">
        <f t="shared" si="33"/>
        <v>96</v>
      </c>
      <c r="B981" s="168" t="s">
        <v>812</v>
      </c>
      <c r="C981" s="219" t="s">
        <v>32</v>
      </c>
      <c r="D981" s="48" t="s">
        <v>112</v>
      </c>
      <c r="E981" s="55">
        <v>3844</v>
      </c>
      <c r="F981" s="194" t="s">
        <v>112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.95">
      <c r="A982" s="41">
        <f t="shared" si="33"/>
        <v>97</v>
      </c>
      <c r="B982" s="168" t="s">
        <v>813</v>
      </c>
      <c r="C982" s="219" t="s">
        <v>32</v>
      </c>
      <c r="D982" s="48" t="s">
        <v>112</v>
      </c>
      <c r="E982" s="55">
        <v>1200</v>
      </c>
      <c r="F982" s="194" t="s">
        <v>112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95">
      <c r="A1009" s="127" t="s">
        <v>94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51">
      <c r="A1010" s="118" t="s">
        <v>79</v>
      </c>
      <c r="B1010" s="128" t="s">
        <v>96</v>
      </c>
      <c r="C1010" s="119" t="s">
        <v>97</v>
      </c>
      <c r="D1010" s="103" t="s">
        <v>98</v>
      </c>
      <c r="E1010" s="69" t="s">
        <v>99</v>
      </c>
      <c r="F1010" s="187" t="s">
        <v>100</v>
      </c>
      <c r="G1010" s="71" t="s">
        <v>101</v>
      </c>
      <c r="H1010" s="72" t="s">
        <v>102</v>
      </c>
      <c r="I1010" s="72" t="s">
        <v>103</v>
      </c>
      <c r="J1010" s="74" t="s">
        <v>104</v>
      </c>
    </row>
    <row r="1011" spans="1:10" ht="15.95">
      <c r="A1011" s="41">
        <v>1</v>
      </c>
      <c r="B1011" s="168" t="s">
        <v>814</v>
      </c>
      <c r="C1011" s="160" t="s">
        <v>29</v>
      </c>
      <c r="D1011" s="48" t="s">
        <v>242</v>
      </c>
      <c r="E1011" s="43">
        <v>8770.3333333333339</v>
      </c>
      <c r="F1011" s="188" t="s">
        <v>245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 ht="15.95">
      <c r="A1012" s="41">
        <f t="shared" ref="A1012:A1043" si="35">A1011+1</f>
        <v>2</v>
      </c>
      <c r="B1012" s="36" t="s">
        <v>815</v>
      </c>
      <c r="C1012" s="160" t="s">
        <v>29</v>
      </c>
      <c r="D1012" s="48" t="s">
        <v>242</v>
      </c>
      <c r="E1012" s="43">
        <v>17830</v>
      </c>
      <c r="F1012" s="188" t="s">
        <v>245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 ht="15.95">
      <c r="A1013" s="41">
        <f t="shared" si="35"/>
        <v>3</v>
      </c>
      <c r="B1013" s="38" t="s">
        <v>816</v>
      </c>
      <c r="C1013" s="160" t="s">
        <v>29</v>
      </c>
      <c r="D1013" s="48" t="s">
        <v>242</v>
      </c>
      <c r="E1013" s="43">
        <v>28016</v>
      </c>
      <c r="F1013" s="188" t="s">
        <v>245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 ht="15.95">
      <c r="A1014" s="41">
        <f t="shared" si="35"/>
        <v>4</v>
      </c>
      <c r="B1014" s="36" t="s">
        <v>817</v>
      </c>
      <c r="C1014" s="160" t="s">
        <v>29</v>
      </c>
      <c r="D1014" s="48" t="s">
        <v>242</v>
      </c>
      <c r="E1014" s="43">
        <v>18321</v>
      </c>
      <c r="F1014" s="188" t="s">
        <v>245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 ht="15.95">
      <c r="A1015" s="41">
        <f t="shared" si="35"/>
        <v>5</v>
      </c>
      <c r="B1015" s="36" t="s">
        <v>30</v>
      </c>
      <c r="C1015" s="160" t="s">
        <v>29</v>
      </c>
      <c r="D1015" s="48" t="s">
        <v>241</v>
      </c>
      <c r="E1015" s="43">
        <v>28016</v>
      </c>
      <c r="F1015" s="188" t="s">
        <v>245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 ht="15.95">
      <c r="A1016" s="41">
        <f t="shared" si="35"/>
        <v>6</v>
      </c>
      <c r="B1016" s="36" t="s">
        <v>818</v>
      </c>
      <c r="C1016" s="160" t="s">
        <v>29</v>
      </c>
      <c r="D1016" s="48" t="s">
        <v>241</v>
      </c>
      <c r="E1016" s="43">
        <v>10317</v>
      </c>
      <c r="F1016" s="188" t="s">
        <v>245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 ht="15.95">
      <c r="A1017" s="41">
        <f t="shared" si="35"/>
        <v>7</v>
      </c>
      <c r="B1017" s="168" t="s">
        <v>819</v>
      </c>
      <c r="C1017" s="160" t="s">
        <v>29</v>
      </c>
      <c r="D1017" s="48" t="s">
        <v>242</v>
      </c>
      <c r="E1017" s="43">
        <v>10200</v>
      </c>
      <c r="F1017" s="188" t="s">
        <v>245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 ht="15.95">
      <c r="A1018" s="41">
        <f t="shared" si="35"/>
        <v>8</v>
      </c>
      <c r="B1018" s="168" t="s">
        <v>820</v>
      </c>
      <c r="C1018" s="160" t="s">
        <v>29</v>
      </c>
      <c r="D1018" s="48" t="s">
        <v>242</v>
      </c>
      <c r="E1018" s="43">
        <v>39999.47</v>
      </c>
      <c r="F1018" s="188" t="s">
        <v>245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 ht="15.95">
      <c r="A1019" s="41">
        <f t="shared" si="35"/>
        <v>9</v>
      </c>
      <c r="B1019" s="38" t="s">
        <v>821</v>
      </c>
      <c r="C1019" s="160" t="s">
        <v>29</v>
      </c>
      <c r="D1019" s="48" t="s">
        <v>241</v>
      </c>
      <c r="E1019" s="43">
        <v>10200</v>
      </c>
      <c r="F1019" s="188" t="s">
        <v>245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 ht="15.95">
      <c r="A1020" s="41">
        <f t="shared" si="35"/>
        <v>10</v>
      </c>
      <c r="B1020" s="36" t="s">
        <v>822</v>
      </c>
      <c r="C1020" s="160" t="s">
        <v>29</v>
      </c>
      <c r="D1020" s="48" t="s">
        <v>245</v>
      </c>
      <c r="E1020" s="43">
        <v>28550</v>
      </c>
      <c r="F1020" s="188" t="s">
        <v>245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 ht="15.95">
      <c r="A1021" s="41">
        <f t="shared" si="35"/>
        <v>11</v>
      </c>
      <c r="B1021" s="167" t="s">
        <v>823</v>
      </c>
      <c r="C1021" s="160" t="s">
        <v>29</v>
      </c>
      <c r="D1021" s="151" t="s">
        <v>242</v>
      </c>
      <c r="E1021" s="152">
        <v>34999.089999999997</v>
      </c>
      <c r="F1021" s="188" t="s">
        <v>245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 ht="15.95">
      <c r="A1022" s="41">
        <f t="shared" si="35"/>
        <v>12</v>
      </c>
      <c r="B1022" s="167" t="s">
        <v>824</v>
      </c>
      <c r="C1022" s="160" t="s">
        <v>29</v>
      </c>
      <c r="D1022" s="151" t="s">
        <v>242</v>
      </c>
      <c r="E1022" s="152">
        <v>24999.52</v>
      </c>
      <c r="F1022" s="188" t="s">
        <v>245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 ht="15.95">
      <c r="A1023" s="41">
        <f t="shared" si="35"/>
        <v>13</v>
      </c>
      <c r="B1023" s="150" t="s">
        <v>825</v>
      </c>
      <c r="C1023" s="160" t="s">
        <v>29</v>
      </c>
      <c r="D1023" s="151" t="s">
        <v>242</v>
      </c>
      <c r="E1023" s="152">
        <v>13269</v>
      </c>
      <c r="F1023" s="188" t="s">
        <v>245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 ht="15.95">
      <c r="A1024" s="41">
        <f t="shared" si="35"/>
        <v>14</v>
      </c>
      <c r="B1024" s="150" t="s">
        <v>826</v>
      </c>
      <c r="C1024" s="160" t="s">
        <v>29</v>
      </c>
      <c r="D1024" s="151" t="s">
        <v>242</v>
      </c>
      <c r="E1024" s="152">
        <v>20059.829999999998</v>
      </c>
      <c r="F1024" s="188" t="s">
        <v>245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2.1">
      <c r="A1025" s="41">
        <f t="shared" si="35"/>
        <v>15</v>
      </c>
      <c r="B1025" s="150" t="s">
        <v>827</v>
      </c>
      <c r="C1025" s="160" t="s">
        <v>29</v>
      </c>
      <c r="D1025" s="151" t="s">
        <v>242</v>
      </c>
      <c r="E1025" s="152">
        <v>31945</v>
      </c>
      <c r="F1025" s="188" t="s">
        <v>245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2.1">
      <c r="A1026" s="41">
        <f t="shared" si="35"/>
        <v>16</v>
      </c>
      <c r="B1026" s="150" t="s">
        <v>828</v>
      </c>
      <c r="C1026" s="160" t="s">
        <v>29</v>
      </c>
      <c r="D1026" s="151" t="s">
        <v>242</v>
      </c>
      <c r="E1026" s="152">
        <v>59308.5</v>
      </c>
      <c r="F1026" s="188" t="s">
        <v>245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 ht="15.95">
      <c r="A1027" s="41">
        <f t="shared" si="35"/>
        <v>17</v>
      </c>
      <c r="B1027" s="150" t="s">
        <v>829</v>
      </c>
      <c r="C1027" s="160" t="s">
        <v>29</v>
      </c>
      <c r="D1027" s="151" t="s">
        <v>242</v>
      </c>
      <c r="E1027" s="152">
        <v>22911.759999999998</v>
      </c>
      <c r="F1027" s="188" t="s">
        <v>245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830</v>
      </c>
      <c r="C1028" s="160" t="s">
        <v>29</v>
      </c>
      <c r="D1028" s="151" t="s">
        <v>242</v>
      </c>
      <c r="E1028" s="152">
        <v>39358.5</v>
      </c>
      <c r="F1028" s="188" t="s">
        <v>245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 ht="15.95">
      <c r="A1029" s="41">
        <f t="shared" si="35"/>
        <v>19</v>
      </c>
      <c r="B1029" s="150" t="s">
        <v>831</v>
      </c>
      <c r="C1029" s="160" t="s">
        <v>29</v>
      </c>
      <c r="D1029" s="151" t="s">
        <v>242</v>
      </c>
      <c r="E1029" s="152">
        <v>34666.660000000003</v>
      </c>
      <c r="F1029" s="188" t="s">
        <v>245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 ht="15.95">
      <c r="A1030" s="41">
        <f t="shared" si="35"/>
        <v>20</v>
      </c>
      <c r="B1030" s="150" t="s">
        <v>832</v>
      </c>
      <c r="C1030" s="160" t="s">
        <v>29</v>
      </c>
      <c r="D1030" s="151" t="s">
        <v>245</v>
      </c>
      <c r="E1030" s="152">
        <v>3550</v>
      </c>
      <c r="F1030" s="188" t="s">
        <v>245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 ht="15.95">
      <c r="A1031" s="41">
        <f t="shared" si="35"/>
        <v>21</v>
      </c>
      <c r="B1031" s="251" t="s">
        <v>833</v>
      </c>
      <c r="C1031" s="160" t="s">
        <v>29</v>
      </c>
      <c r="D1031" s="151" t="s">
        <v>242</v>
      </c>
      <c r="E1031" s="152">
        <v>6970</v>
      </c>
      <c r="F1031" s="188" t="s">
        <v>245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 ht="15.95">
      <c r="A1032" s="41">
        <f t="shared" si="35"/>
        <v>22</v>
      </c>
      <c r="B1032" s="251" t="s">
        <v>834</v>
      </c>
      <c r="C1032" s="160" t="s">
        <v>29</v>
      </c>
      <c r="D1032" s="151" t="s">
        <v>242</v>
      </c>
      <c r="E1032" s="152">
        <v>9500</v>
      </c>
      <c r="F1032" s="188" t="s">
        <v>245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 ht="15.95">
      <c r="A1033" s="41">
        <f t="shared" si="35"/>
        <v>23</v>
      </c>
      <c r="B1033" s="251" t="s">
        <v>835</v>
      </c>
      <c r="C1033" s="160" t="s">
        <v>29</v>
      </c>
      <c r="D1033" s="151" t="s">
        <v>242</v>
      </c>
      <c r="E1033" s="152">
        <v>4098</v>
      </c>
      <c r="F1033" s="188" t="s">
        <v>245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 ht="15.95">
      <c r="A1034" s="41">
        <f t="shared" si="35"/>
        <v>24</v>
      </c>
      <c r="B1034" s="169" t="s">
        <v>836</v>
      </c>
      <c r="C1034" s="160" t="s">
        <v>29</v>
      </c>
      <c r="D1034" s="151" t="s">
        <v>242</v>
      </c>
      <c r="E1034" s="152">
        <v>8770.3333333333339</v>
      </c>
      <c r="F1034" s="188" t="s">
        <v>245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 ht="15.95">
      <c r="A1035" s="41">
        <f t="shared" si="35"/>
        <v>25</v>
      </c>
      <c r="B1035" s="167" t="s">
        <v>837</v>
      </c>
      <c r="C1035" s="160" t="s">
        <v>29</v>
      </c>
      <c r="D1035" s="151" t="s">
        <v>242</v>
      </c>
      <c r="E1035" s="152">
        <v>44000</v>
      </c>
      <c r="F1035" s="188" t="s">
        <v>245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 ht="15.95">
      <c r="A1036" s="41">
        <f t="shared" si="35"/>
        <v>26</v>
      </c>
      <c r="B1036" s="150" t="s">
        <v>838</v>
      </c>
      <c r="C1036" s="160" t="s">
        <v>29</v>
      </c>
      <c r="D1036" s="151" t="s">
        <v>241</v>
      </c>
      <c r="E1036" s="152">
        <v>18500</v>
      </c>
      <c r="F1036" s="188" t="s">
        <v>245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 ht="15.95">
      <c r="A1037" s="41">
        <f t="shared" si="35"/>
        <v>27</v>
      </c>
      <c r="B1037" s="150" t="s">
        <v>839</v>
      </c>
      <c r="C1037" s="160" t="s">
        <v>29</v>
      </c>
      <c r="D1037" s="151" t="s">
        <v>241</v>
      </c>
      <c r="E1037" s="152">
        <v>39100</v>
      </c>
      <c r="F1037" s="188" t="s">
        <v>245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 ht="15.95">
      <c r="A1038" s="41">
        <f t="shared" si="35"/>
        <v>28</v>
      </c>
      <c r="B1038" s="146" t="s">
        <v>840</v>
      </c>
      <c r="C1038" s="160" t="s">
        <v>29</v>
      </c>
      <c r="D1038" s="48" t="s">
        <v>241</v>
      </c>
      <c r="E1038" s="43">
        <v>11950</v>
      </c>
      <c r="F1038" s="188" t="s">
        <v>245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2.1">
      <c r="A1039" s="41">
        <f t="shared" si="35"/>
        <v>29</v>
      </c>
      <c r="B1039" s="36" t="s">
        <v>841</v>
      </c>
      <c r="C1039" s="160" t="s">
        <v>29</v>
      </c>
      <c r="D1039" s="48" t="s">
        <v>242</v>
      </c>
      <c r="E1039" s="43">
        <v>5194</v>
      </c>
      <c r="F1039" s="188" t="s">
        <v>245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2.1">
      <c r="A1040" s="41">
        <f t="shared" si="35"/>
        <v>30</v>
      </c>
      <c r="B1040" s="150" t="s">
        <v>842</v>
      </c>
      <c r="C1040" s="160" t="s">
        <v>29</v>
      </c>
      <c r="D1040" s="151" t="s">
        <v>241</v>
      </c>
      <c r="E1040" s="152">
        <v>39358.5</v>
      </c>
      <c r="F1040" s="188" t="s">
        <v>245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2.1">
      <c r="A1041" s="41">
        <f t="shared" si="35"/>
        <v>31</v>
      </c>
      <c r="B1041" s="36" t="s">
        <v>843</v>
      </c>
      <c r="C1041" s="160" t="s">
        <v>29</v>
      </c>
      <c r="D1041" s="48" t="s">
        <v>241</v>
      </c>
      <c r="E1041" s="43">
        <v>31945</v>
      </c>
      <c r="F1041" s="188" t="s">
        <v>245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2.1">
      <c r="A1042" s="41">
        <f t="shared" si="35"/>
        <v>32</v>
      </c>
      <c r="B1042" s="36" t="s">
        <v>844</v>
      </c>
      <c r="C1042" s="160" t="s">
        <v>29</v>
      </c>
      <c r="D1042" s="48" t="s">
        <v>241</v>
      </c>
      <c r="E1042" s="43">
        <v>59308.5</v>
      </c>
      <c r="F1042" s="188" t="s">
        <v>245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 ht="15.95">
      <c r="A1043" s="41">
        <f t="shared" si="35"/>
        <v>33</v>
      </c>
      <c r="B1043" s="36" t="s">
        <v>845</v>
      </c>
      <c r="C1043" s="160" t="s">
        <v>29</v>
      </c>
      <c r="D1043" s="48" t="s">
        <v>242</v>
      </c>
      <c r="E1043" s="43">
        <v>0</v>
      </c>
      <c r="F1043" s="188" t="s">
        <v>245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95">
      <c r="A1063" s="79"/>
      <c r="B1063" s="80" t="s">
        <v>121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95" thickBot="1">
      <c r="B1064"/>
      <c r="C1064" s="485"/>
      <c r="D1064" s="484"/>
      <c r="E1064"/>
      <c r="F1064" s="189"/>
      <c r="H1064"/>
      <c r="I1064"/>
    </row>
    <row r="1065" spans="1:10" ht="21.95" thickBot="1">
      <c r="A1065" s="129" t="s">
        <v>94</v>
      </c>
      <c r="B1065" s="212">
        <f>SUBTOTAL(3,(B1067:B1073))</f>
        <v>7</v>
      </c>
      <c r="E1065"/>
      <c r="F1065" s="189"/>
      <c r="H1065"/>
      <c r="I1065"/>
    </row>
    <row r="1066" spans="1:10" ht="51">
      <c r="A1066" s="81" t="s">
        <v>79</v>
      </c>
      <c r="B1066" s="211" t="s">
        <v>96</v>
      </c>
      <c r="C1066" s="66" t="s">
        <v>97</v>
      </c>
      <c r="D1066" s="67" t="s">
        <v>98</v>
      </c>
      <c r="E1066" s="69" t="s">
        <v>99</v>
      </c>
      <c r="F1066" s="187" t="s">
        <v>100</v>
      </c>
      <c r="G1066" s="71" t="s">
        <v>101</v>
      </c>
      <c r="H1066" s="72" t="s">
        <v>102</v>
      </c>
      <c r="I1066" s="72" t="s">
        <v>103</v>
      </c>
      <c r="J1066" s="74" t="s">
        <v>104</v>
      </c>
    </row>
    <row r="1067" spans="1:10" ht="32.1">
      <c r="A1067" s="83">
        <v>1</v>
      </c>
      <c r="B1067" s="206" t="s">
        <v>846</v>
      </c>
      <c r="C1067" s="219" t="s">
        <v>62</v>
      </c>
      <c r="D1067" s="48" t="s">
        <v>239</v>
      </c>
      <c r="E1067" s="43">
        <v>49000</v>
      </c>
      <c r="F1067" s="188" t="s">
        <v>239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2.1">
      <c r="A1068" s="83">
        <v>2</v>
      </c>
      <c r="B1068" s="206" t="s">
        <v>847</v>
      </c>
      <c r="C1068" s="219" t="s">
        <v>62</v>
      </c>
      <c r="D1068" s="48" t="s">
        <v>175</v>
      </c>
      <c r="E1068" s="43">
        <v>14150</v>
      </c>
      <c r="F1068" s="188" t="s">
        <v>175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848</v>
      </c>
      <c r="C1069" s="219" t="s">
        <v>62</v>
      </c>
      <c r="D1069" s="48" t="s">
        <v>175</v>
      </c>
      <c r="E1069" s="43">
        <v>16000</v>
      </c>
      <c r="F1069" s="188" t="s">
        <v>175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2.1">
      <c r="A1070" s="83">
        <f>A1069+1</f>
        <v>4</v>
      </c>
      <c r="B1070" s="206" t="s">
        <v>849</v>
      </c>
      <c r="C1070" s="219" t="s">
        <v>62</v>
      </c>
      <c r="D1070" s="48" t="s">
        <v>175</v>
      </c>
      <c r="E1070" s="43">
        <v>18633.3</v>
      </c>
      <c r="F1070" s="188" t="s">
        <v>175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2.1">
      <c r="A1071" s="83">
        <f>A1070+1</f>
        <v>5</v>
      </c>
      <c r="B1071" s="206" t="s">
        <v>850</v>
      </c>
      <c r="C1071" s="219" t="s">
        <v>62</v>
      </c>
      <c r="D1071" s="48" t="s">
        <v>175</v>
      </c>
      <c r="E1071" s="43">
        <v>8550</v>
      </c>
      <c r="F1071" s="188" t="s">
        <v>175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2.1">
      <c r="A1072" s="83">
        <f>A1071+1</f>
        <v>6</v>
      </c>
      <c r="B1072" s="206" t="s">
        <v>851</v>
      </c>
      <c r="C1072" s="219" t="s">
        <v>62</v>
      </c>
      <c r="D1072" s="48" t="s">
        <v>175</v>
      </c>
      <c r="E1072" s="43">
        <v>14000</v>
      </c>
      <c r="F1072" s="188" t="s">
        <v>175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2.1">
      <c r="A1073" s="234">
        <f>A1072+1</f>
        <v>7</v>
      </c>
      <c r="B1073" s="206" t="s">
        <v>852</v>
      </c>
      <c r="C1073" s="219" t="s">
        <v>62</v>
      </c>
      <c r="D1073" s="48" t="s">
        <v>175</v>
      </c>
      <c r="E1073" s="43">
        <v>24800</v>
      </c>
      <c r="F1073" s="188" t="s">
        <v>175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95">
      <c r="A1102" s="79"/>
      <c r="B1102" s="80" t="s">
        <v>121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95" thickBot="1">
      <c r="C1104"/>
      <c r="D1104"/>
      <c r="E1104"/>
      <c r="F1104" s="189"/>
      <c r="H1104"/>
      <c r="I1104"/>
    </row>
    <row r="1105" spans="1:10" ht="18" customHeight="1" thickBot="1">
      <c r="A1105" s="130" t="s">
        <v>94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51">
      <c r="A1106" s="81" t="s">
        <v>79</v>
      </c>
      <c r="B1106" s="205" t="s">
        <v>96</v>
      </c>
      <c r="C1106" s="202" t="s">
        <v>97</v>
      </c>
      <c r="D1106" s="203" t="s">
        <v>98</v>
      </c>
      <c r="E1106" s="69" t="s">
        <v>99</v>
      </c>
      <c r="F1106" s="187" t="s">
        <v>100</v>
      </c>
      <c r="G1106" s="71" t="s">
        <v>101</v>
      </c>
      <c r="H1106" s="72" t="s">
        <v>102</v>
      </c>
      <c r="I1106" s="72" t="s">
        <v>103</v>
      </c>
      <c r="J1106" s="74" t="s">
        <v>104</v>
      </c>
    </row>
    <row r="1107" spans="1:10" ht="32.1">
      <c r="A1107" s="83">
        <v>1</v>
      </c>
      <c r="B1107" s="206" t="s">
        <v>853</v>
      </c>
      <c r="C1107" s="37" t="s">
        <v>854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2.1">
      <c r="A1108" s="83">
        <f>A1107+1</f>
        <v>2</v>
      </c>
      <c r="B1108" s="206" t="s">
        <v>855</v>
      </c>
      <c r="C1108" s="37" t="s">
        <v>854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856</v>
      </c>
      <c r="C1109" s="37" t="s">
        <v>854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2.1">
      <c r="A1110" s="83">
        <f t="shared" si="38"/>
        <v>4</v>
      </c>
      <c r="B1110" s="206" t="s">
        <v>857</v>
      </c>
      <c r="C1110" s="37" t="s">
        <v>854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2.1">
      <c r="A1111" s="83">
        <f t="shared" si="38"/>
        <v>5</v>
      </c>
      <c r="B1111" s="206" t="s">
        <v>858</v>
      </c>
      <c r="C1111" s="37" t="s">
        <v>854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2.1">
      <c r="A1112" s="83">
        <f t="shared" si="38"/>
        <v>6</v>
      </c>
      <c r="B1112" s="206" t="s">
        <v>859</v>
      </c>
      <c r="C1112" s="37" t="s">
        <v>854</v>
      </c>
      <c r="D1112" s="48" t="s">
        <v>175</v>
      </c>
      <c r="E1112" s="43">
        <v>61500</v>
      </c>
      <c r="F1112" s="188" t="s">
        <v>175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8">
      <c r="A1113" s="83">
        <f t="shared" si="38"/>
        <v>7</v>
      </c>
      <c r="B1113" s="206" t="s">
        <v>860</v>
      </c>
      <c r="C1113" s="37" t="s">
        <v>854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 ht="15.95">
      <c r="A1114" s="83">
        <f t="shared" si="38"/>
        <v>8</v>
      </c>
      <c r="B1114" s="206" t="s">
        <v>861</v>
      </c>
      <c r="C1114" s="37" t="s">
        <v>854</v>
      </c>
      <c r="D1114" s="48" t="s">
        <v>175</v>
      </c>
      <c r="E1114" s="43"/>
      <c r="F1114" s="48" t="s">
        <v>175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 ht="15.95">
      <c r="A1115" s="83">
        <f t="shared" si="38"/>
        <v>9</v>
      </c>
      <c r="B1115" s="206" t="s">
        <v>862</v>
      </c>
      <c r="C1115" s="37" t="s">
        <v>854</v>
      </c>
      <c r="D1115" s="48" t="s">
        <v>175</v>
      </c>
      <c r="E1115" s="43"/>
      <c r="F1115" s="48" t="s">
        <v>175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 ht="15.95">
      <c r="A1116" s="83">
        <f t="shared" si="38"/>
        <v>10</v>
      </c>
      <c r="B1116" s="206" t="s">
        <v>863</v>
      </c>
      <c r="C1116" s="37" t="s">
        <v>854</v>
      </c>
      <c r="D1116" s="48" t="s">
        <v>175</v>
      </c>
      <c r="E1116" s="43"/>
      <c r="F1116" s="48" t="s">
        <v>175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 ht="15.95">
      <c r="A1117" s="83">
        <f t="shared" si="38"/>
        <v>11</v>
      </c>
      <c r="B1117" s="206" t="s">
        <v>864</v>
      </c>
      <c r="C1117" s="37" t="s">
        <v>854</v>
      </c>
      <c r="D1117" s="48" t="s">
        <v>175</v>
      </c>
      <c r="E1117" s="43"/>
      <c r="F1117" s="48" t="s">
        <v>175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 ht="15.95">
      <c r="A1118" s="83">
        <f t="shared" si="38"/>
        <v>12</v>
      </c>
      <c r="B1118" s="206" t="s">
        <v>865</v>
      </c>
      <c r="C1118" s="37" t="s">
        <v>854</v>
      </c>
      <c r="D1118" s="48" t="s">
        <v>175</v>
      </c>
      <c r="E1118" s="43"/>
      <c r="F1118" s="48" t="s">
        <v>175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 ht="15.95">
      <c r="A1119" s="83">
        <f t="shared" si="38"/>
        <v>13</v>
      </c>
      <c r="B1119" s="206" t="s">
        <v>866</v>
      </c>
      <c r="C1119" s="37" t="s">
        <v>854</v>
      </c>
      <c r="D1119" s="48" t="s">
        <v>175</v>
      </c>
      <c r="E1119" s="43"/>
      <c r="F1119" s="48" t="s">
        <v>175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 ht="15.95">
      <c r="A1120" s="83">
        <f t="shared" si="38"/>
        <v>14</v>
      </c>
      <c r="B1120" s="206" t="s">
        <v>867</v>
      </c>
      <c r="C1120" s="37" t="s">
        <v>854</v>
      </c>
      <c r="D1120" s="48" t="s">
        <v>175</v>
      </c>
      <c r="E1120" s="43"/>
      <c r="F1120" s="48" t="s">
        <v>175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 ht="15.95">
      <c r="A1121" s="83">
        <f t="shared" si="38"/>
        <v>15</v>
      </c>
      <c r="B1121" s="206" t="s">
        <v>868</v>
      </c>
      <c r="C1121" s="37" t="s">
        <v>854</v>
      </c>
      <c r="D1121" s="48" t="s">
        <v>175</v>
      </c>
      <c r="E1121" s="43"/>
      <c r="F1121" s="48" t="s">
        <v>175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 ht="15.95">
      <c r="A1122" s="83">
        <f t="shared" si="38"/>
        <v>16</v>
      </c>
      <c r="B1122" s="206" t="s">
        <v>869</v>
      </c>
      <c r="C1122" s="37" t="s">
        <v>854</v>
      </c>
      <c r="D1122" s="48" t="s">
        <v>175</v>
      </c>
      <c r="E1122" s="43"/>
      <c r="F1122" s="48" t="s">
        <v>175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 ht="15.95">
      <c r="A1123" s="83">
        <f t="shared" si="38"/>
        <v>17</v>
      </c>
      <c r="B1123" s="206" t="s">
        <v>870</v>
      </c>
      <c r="C1123" s="37" t="s">
        <v>854</v>
      </c>
      <c r="D1123" s="48" t="s">
        <v>175</v>
      </c>
      <c r="E1123" s="43"/>
      <c r="F1123" s="48" t="s">
        <v>175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 ht="15.95">
      <c r="A1124" s="83">
        <f t="shared" si="38"/>
        <v>18</v>
      </c>
      <c r="B1124" s="206" t="s">
        <v>871</v>
      </c>
      <c r="C1124" s="37" t="s">
        <v>854</v>
      </c>
      <c r="D1124" s="48" t="s">
        <v>175</v>
      </c>
      <c r="E1124" s="43"/>
      <c r="F1124" s="48" t="s">
        <v>175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 ht="15.95">
      <c r="A1125" s="83">
        <f t="shared" si="38"/>
        <v>19</v>
      </c>
      <c r="B1125" s="206" t="s">
        <v>872</v>
      </c>
      <c r="C1125" s="37" t="s">
        <v>854</v>
      </c>
      <c r="D1125" s="48" t="s">
        <v>175</v>
      </c>
      <c r="E1125" s="43"/>
      <c r="F1125" s="48" t="s">
        <v>175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 ht="15.95">
      <c r="A1126" s="83">
        <f t="shared" si="38"/>
        <v>20</v>
      </c>
      <c r="B1126" s="206" t="s">
        <v>873</v>
      </c>
      <c r="C1126" s="37" t="s">
        <v>854</v>
      </c>
      <c r="D1126" s="48" t="s">
        <v>175</v>
      </c>
      <c r="E1126" s="43"/>
      <c r="F1126" s="48" t="s">
        <v>175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 ht="15.95">
      <c r="A1127" s="83">
        <f t="shared" si="38"/>
        <v>21</v>
      </c>
      <c r="B1127" s="206" t="s">
        <v>874</v>
      </c>
      <c r="C1127" s="37" t="s">
        <v>854</v>
      </c>
      <c r="D1127" s="48" t="s">
        <v>175</v>
      </c>
      <c r="E1127" s="43"/>
      <c r="F1127" s="48" t="s">
        <v>175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 ht="15.95">
      <c r="A1128" s="83">
        <f t="shared" si="38"/>
        <v>22</v>
      </c>
      <c r="B1128" s="206" t="s">
        <v>875</v>
      </c>
      <c r="C1128" s="37" t="s">
        <v>854</v>
      </c>
      <c r="D1128" s="48" t="s">
        <v>175</v>
      </c>
      <c r="E1128" s="43"/>
      <c r="F1128" s="48" t="s">
        <v>175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 ht="15.95">
      <c r="A1129" s="83">
        <f t="shared" si="38"/>
        <v>23</v>
      </c>
      <c r="B1129" s="206" t="s">
        <v>876</v>
      </c>
      <c r="C1129" s="37" t="s">
        <v>854</v>
      </c>
      <c r="D1129" s="48" t="s">
        <v>175</v>
      </c>
      <c r="E1129" s="43"/>
      <c r="F1129" s="48" t="s">
        <v>175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 ht="15.95">
      <c r="A1130" s="83">
        <f t="shared" si="38"/>
        <v>24</v>
      </c>
      <c r="B1130" s="206" t="s">
        <v>877</v>
      </c>
      <c r="C1130" s="37" t="s">
        <v>854</v>
      </c>
      <c r="D1130" s="48" t="s">
        <v>175</v>
      </c>
      <c r="E1130" s="43"/>
      <c r="F1130" s="48" t="s">
        <v>175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 ht="15.95">
      <c r="A1131" s="83">
        <f t="shared" si="38"/>
        <v>25</v>
      </c>
      <c r="B1131" s="206" t="s">
        <v>878</v>
      </c>
      <c r="C1131" s="37" t="s">
        <v>854</v>
      </c>
      <c r="D1131" s="204" t="s">
        <v>175</v>
      </c>
      <c r="E1131" s="43"/>
      <c r="F1131" s="48" t="s">
        <v>175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 ht="15.95">
      <c r="A1132" s="83">
        <f t="shared" si="38"/>
        <v>26</v>
      </c>
      <c r="B1132" s="206" t="s">
        <v>879</v>
      </c>
      <c r="C1132" s="275" t="s">
        <v>854</v>
      </c>
      <c r="D1132" s="48" t="s">
        <v>175</v>
      </c>
      <c r="E1132" s="43"/>
      <c r="F1132" s="48" t="s">
        <v>175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 ht="15.95">
      <c r="A1133" s="83">
        <f t="shared" si="38"/>
        <v>27</v>
      </c>
      <c r="B1133" s="232" t="s">
        <v>880</v>
      </c>
      <c r="C1133" s="276" t="s">
        <v>854</v>
      </c>
      <c r="D1133" s="277" t="s">
        <v>175</v>
      </c>
      <c r="E1133" s="141"/>
      <c r="F1133" s="48" t="s">
        <v>175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 ht="15.95">
      <c r="A1134" s="83">
        <f t="shared" si="38"/>
        <v>28</v>
      </c>
      <c r="B1134" s="232" t="s">
        <v>881</v>
      </c>
      <c r="C1134" s="276" t="s">
        <v>854</v>
      </c>
      <c r="D1134" s="277" t="s">
        <v>175</v>
      </c>
      <c r="E1134" s="141"/>
      <c r="F1134" s="48" t="s">
        <v>175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 ht="15.95">
      <c r="A1135" s="83">
        <f t="shared" si="38"/>
        <v>29</v>
      </c>
      <c r="B1135" s="232" t="s">
        <v>882</v>
      </c>
      <c r="C1135" s="276" t="s">
        <v>854</v>
      </c>
      <c r="D1135" s="277" t="s">
        <v>175</v>
      </c>
      <c r="E1135" s="141"/>
      <c r="F1135" s="48" t="s">
        <v>175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 ht="15.95">
      <c r="A1136" s="83">
        <f t="shared" si="38"/>
        <v>30</v>
      </c>
      <c r="B1136" s="232" t="s">
        <v>883</v>
      </c>
      <c r="C1136" s="276" t="s">
        <v>854</v>
      </c>
      <c r="D1136" s="277" t="s">
        <v>175</v>
      </c>
      <c r="E1136" s="141"/>
      <c r="F1136" s="48" t="s">
        <v>175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 ht="15.95">
      <c r="A1137" s="83">
        <f t="shared" si="38"/>
        <v>31</v>
      </c>
      <c r="B1137" s="232" t="s">
        <v>884</v>
      </c>
      <c r="C1137" s="276" t="s">
        <v>854</v>
      </c>
      <c r="D1137" s="277" t="s">
        <v>175</v>
      </c>
      <c r="E1137" s="141"/>
      <c r="F1137" s="48" t="s">
        <v>175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 ht="15.95">
      <c r="A1138" s="83">
        <f t="shared" si="38"/>
        <v>32</v>
      </c>
      <c r="B1138" s="232" t="s">
        <v>885</v>
      </c>
      <c r="C1138" s="276" t="s">
        <v>854</v>
      </c>
      <c r="D1138" s="277" t="s">
        <v>175</v>
      </c>
      <c r="E1138" s="141"/>
      <c r="F1138" s="48" t="s">
        <v>175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 ht="15.95">
      <c r="A1139" s="83">
        <f t="shared" si="38"/>
        <v>33</v>
      </c>
      <c r="B1139" s="232" t="s">
        <v>886</v>
      </c>
      <c r="C1139" s="276" t="s">
        <v>854</v>
      </c>
      <c r="D1139" s="277" t="s">
        <v>175</v>
      </c>
      <c r="E1139" s="141"/>
      <c r="F1139" s="48" t="s">
        <v>175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 ht="15.95">
      <c r="A1140" s="83">
        <f t="shared" si="38"/>
        <v>34</v>
      </c>
      <c r="B1140" s="232" t="s">
        <v>887</v>
      </c>
      <c r="C1140" s="276" t="s">
        <v>854</v>
      </c>
      <c r="D1140" s="277" t="s">
        <v>175</v>
      </c>
      <c r="E1140" s="141"/>
      <c r="F1140" s="48" t="s">
        <v>175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 ht="15.95">
      <c r="A1141" s="83">
        <f t="shared" si="38"/>
        <v>35</v>
      </c>
      <c r="B1141" s="232" t="s">
        <v>888</v>
      </c>
      <c r="C1141" s="276" t="s">
        <v>854</v>
      </c>
      <c r="D1141" s="277" t="s">
        <v>175</v>
      </c>
      <c r="E1141" s="141"/>
      <c r="F1141" s="48" t="s">
        <v>175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 ht="15.95">
      <c r="A1142" s="83">
        <f t="shared" si="38"/>
        <v>36</v>
      </c>
      <c r="B1142" s="232" t="s">
        <v>889</v>
      </c>
      <c r="C1142" s="276" t="s">
        <v>854</v>
      </c>
      <c r="D1142" s="277" t="s">
        <v>175</v>
      </c>
      <c r="E1142" s="141"/>
      <c r="F1142" s="48" t="s">
        <v>175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 ht="15.95">
      <c r="A1143" s="83">
        <f t="shared" si="38"/>
        <v>37</v>
      </c>
      <c r="B1143" s="232" t="s">
        <v>890</v>
      </c>
      <c r="C1143" s="276" t="s">
        <v>854</v>
      </c>
      <c r="D1143" s="277" t="s">
        <v>175</v>
      </c>
      <c r="E1143" s="141"/>
      <c r="F1143" s="48" t="s">
        <v>175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 ht="15.95">
      <c r="A1144" s="83">
        <f t="shared" si="38"/>
        <v>38</v>
      </c>
      <c r="B1144" s="232" t="s">
        <v>891</v>
      </c>
      <c r="C1144" s="276" t="s">
        <v>854</v>
      </c>
      <c r="D1144" s="277" t="s">
        <v>175</v>
      </c>
      <c r="E1144" s="141"/>
      <c r="F1144" s="48" t="s">
        <v>175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 ht="15.95">
      <c r="A1145" s="83">
        <f t="shared" si="38"/>
        <v>39</v>
      </c>
      <c r="B1145" s="232" t="s">
        <v>892</v>
      </c>
      <c r="C1145" s="276" t="s">
        <v>854</v>
      </c>
      <c r="D1145" s="277" t="s">
        <v>175</v>
      </c>
      <c r="E1145" s="141"/>
      <c r="F1145" s="48" t="s">
        <v>175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 ht="15.95">
      <c r="A1146" s="83">
        <f t="shared" si="38"/>
        <v>40</v>
      </c>
      <c r="B1146" s="232" t="s">
        <v>893</v>
      </c>
      <c r="C1146" s="276" t="s">
        <v>854</v>
      </c>
      <c r="D1146" s="277" t="s">
        <v>175</v>
      </c>
      <c r="E1146" s="141"/>
      <c r="F1146" s="48" t="s">
        <v>175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 ht="15.95">
      <c r="A1147" s="83">
        <f t="shared" si="38"/>
        <v>41</v>
      </c>
      <c r="B1147" s="232" t="s">
        <v>894</v>
      </c>
      <c r="C1147" s="276" t="s">
        <v>854</v>
      </c>
      <c r="D1147" s="277" t="s">
        <v>175</v>
      </c>
      <c r="E1147" s="141"/>
      <c r="F1147" s="48" t="s">
        <v>175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 ht="15.95">
      <c r="A1148" s="83">
        <f t="shared" si="38"/>
        <v>42</v>
      </c>
      <c r="B1148" s="232" t="s">
        <v>895</v>
      </c>
      <c r="C1148" s="276" t="s">
        <v>854</v>
      </c>
      <c r="D1148" s="277" t="s">
        <v>175</v>
      </c>
      <c r="E1148" s="141"/>
      <c r="F1148" s="48" t="s">
        <v>175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 ht="15.95">
      <c r="A1149" s="83">
        <f t="shared" si="38"/>
        <v>43</v>
      </c>
      <c r="B1149" s="232" t="s">
        <v>896</v>
      </c>
      <c r="C1149" s="276" t="s">
        <v>854</v>
      </c>
      <c r="D1149" s="277" t="s">
        <v>175</v>
      </c>
      <c r="E1149" s="141"/>
      <c r="F1149" s="48" t="s">
        <v>175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 ht="15.95">
      <c r="A1150" s="83">
        <f t="shared" si="38"/>
        <v>44</v>
      </c>
      <c r="B1150" s="232" t="s">
        <v>897</v>
      </c>
      <c r="C1150" s="276" t="s">
        <v>854</v>
      </c>
      <c r="D1150" s="277" t="s">
        <v>175</v>
      </c>
      <c r="E1150" s="141"/>
      <c r="F1150" s="48" t="s">
        <v>175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 ht="15.95">
      <c r="A1151" s="83">
        <f t="shared" si="38"/>
        <v>45</v>
      </c>
      <c r="B1151" s="232" t="s">
        <v>898</v>
      </c>
      <c r="C1151" s="276" t="s">
        <v>854</v>
      </c>
      <c r="D1151" s="277" t="s">
        <v>175</v>
      </c>
      <c r="E1151" s="141"/>
      <c r="F1151" s="48" t="s">
        <v>175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 ht="15.95">
      <c r="A1152" s="83">
        <f t="shared" si="38"/>
        <v>46</v>
      </c>
      <c r="B1152" s="232" t="s">
        <v>899</v>
      </c>
      <c r="C1152" s="276" t="s">
        <v>854</v>
      </c>
      <c r="D1152" s="277" t="s">
        <v>175</v>
      </c>
      <c r="E1152" s="141"/>
      <c r="F1152" s="48" t="s">
        <v>175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 ht="15.95">
      <c r="A1153" s="83">
        <f t="shared" si="38"/>
        <v>47</v>
      </c>
      <c r="B1153" s="232" t="s">
        <v>900</v>
      </c>
      <c r="C1153" s="276" t="s">
        <v>854</v>
      </c>
      <c r="D1153" s="277" t="s">
        <v>175</v>
      </c>
      <c r="E1153" s="141"/>
      <c r="F1153" s="48" t="s">
        <v>175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 ht="15.95">
      <c r="A1154" s="83">
        <f t="shared" si="38"/>
        <v>48</v>
      </c>
      <c r="B1154" s="232" t="s">
        <v>901</v>
      </c>
      <c r="C1154" s="276" t="s">
        <v>854</v>
      </c>
      <c r="D1154" s="277" t="s">
        <v>175</v>
      </c>
      <c r="E1154" s="141"/>
      <c r="F1154" s="48" t="s">
        <v>175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 ht="15.95">
      <c r="A1155" s="83">
        <f t="shared" si="38"/>
        <v>49</v>
      </c>
      <c r="B1155" s="232" t="s">
        <v>902</v>
      </c>
      <c r="C1155" s="276" t="s">
        <v>854</v>
      </c>
      <c r="D1155" s="277" t="s">
        <v>175</v>
      </c>
      <c r="E1155" s="141"/>
      <c r="F1155" s="48" t="s">
        <v>175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 ht="15.95">
      <c r="A1156" s="83">
        <f t="shared" si="38"/>
        <v>50</v>
      </c>
      <c r="B1156" s="232" t="s">
        <v>903</v>
      </c>
      <c r="C1156" s="276" t="s">
        <v>854</v>
      </c>
      <c r="D1156" s="277" t="s">
        <v>175</v>
      </c>
      <c r="E1156" s="141"/>
      <c r="F1156" s="48" t="s">
        <v>175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 ht="15.95">
      <c r="A1157" s="83">
        <f t="shared" si="38"/>
        <v>51</v>
      </c>
      <c r="B1157" s="232" t="s">
        <v>904</v>
      </c>
      <c r="C1157" s="276" t="s">
        <v>854</v>
      </c>
      <c r="D1157" s="277" t="s">
        <v>175</v>
      </c>
      <c r="E1157" s="141"/>
      <c r="F1157" s="48" t="s">
        <v>175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 ht="15.95">
      <c r="A1158" s="83">
        <f t="shared" si="38"/>
        <v>52</v>
      </c>
      <c r="B1158" s="232" t="s">
        <v>905</v>
      </c>
      <c r="C1158" s="276" t="s">
        <v>854</v>
      </c>
      <c r="D1158" s="277" t="s">
        <v>175</v>
      </c>
      <c r="E1158" s="141"/>
      <c r="F1158" s="48" t="s">
        <v>175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 ht="15.95">
      <c r="A1159" s="83">
        <f t="shared" si="38"/>
        <v>53</v>
      </c>
      <c r="B1159" s="232" t="s">
        <v>906</v>
      </c>
      <c r="C1159" s="276" t="s">
        <v>854</v>
      </c>
      <c r="D1159" s="277" t="s">
        <v>175</v>
      </c>
      <c r="E1159" s="141"/>
      <c r="F1159" s="48" t="s">
        <v>175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 ht="15.95">
      <c r="A1160" s="83">
        <f t="shared" si="38"/>
        <v>54</v>
      </c>
      <c r="B1160" s="232" t="s">
        <v>907</v>
      </c>
      <c r="C1160" s="276" t="s">
        <v>854</v>
      </c>
      <c r="D1160" s="277" t="s">
        <v>175</v>
      </c>
      <c r="E1160" s="141"/>
      <c r="F1160" s="48" t="s">
        <v>175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 ht="15.95">
      <c r="A1161" s="83">
        <f t="shared" si="38"/>
        <v>55</v>
      </c>
      <c r="B1161" s="232" t="s">
        <v>908</v>
      </c>
      <c r="C1161" s="276" t="s">
        <v>854</v>
      </c>
      <c r="D1161" s="277" t="s">
        <v>175</v>
      </c>
      <c r="E1161" s="141"/>
      <c r="F1161" s="48" t="s">
        <v>175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 ht="15.95">
      <c r="A1162" s="83">
        <f t="shared" si="38"/>
        <v>56</v>
      </c>
      <c r="B1162" s="232" t="s">
        <v>909</v>
      </c>
      <c r="C1162" s="276" t="s">
        <v>854</v>
      </c>
      <c r="D1162" s="277" t="s">
        <v>175</v>
      </c>
      <c r="E1162" s="141"/>
      <c r="F1162" s="48" t="s">
        <v>175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 ht="15.95">
      <c r="A1163" s="83">
        <f t="shared" si="38"/>
        <v>57</v>
      </c>
      <c r="B1163" s="232" t="s">
        <v>910</v>
      </c>
      <c r="C1163" s="276" t="s">
        <v>854</v>
      </c>
      <c r="D1163" s="277" t="s">
        <v>175</v>
      </c>
      <c r="E1163" s="141"/>
      <c r="F1163" s="48" t="s">
        <v>175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 ht="15.95">
      <c r="A1164" s="83">
        <f t="shared" si="38"/>
        <v>58</v>
      </c>
      <c r="B1164" s="232" t="s">
        <v>911</v>
      </c>
      <c r="C1164" s="276" t="s">
        <v>854</v>
      </c>
      <c r="D1164" s="277" t="s">
        <v>175</v>
      </c>
      <c r="E1164" s="141"/>
      <c r="F1164" s="48" t="s">
        <v>175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 ht="15.95">
      <c r="A1165" s="83">
        <f t="shared" si="38"/>
        <v>59</v>
      </c>
      <c r="B1165" s="232" t="s">
        <v>912</v>
      </c>
      <c r="C1165" s="276" t="s">
        <v>854</v>
      </c>
      <c r="D1165" s="277" t="s">
        <v>175</v>
      </c>
      <c r="E1165" s="141"/>
      <c r="F1165" s="48" t="s">
        <v>175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 ht="15.95">
      <c r="A1166" s="83">
        <f t="shared" si="38"/>
        <v>60</v>
      </c>
      <c r="B1166" s="232" t="s">
        <v>913</v>
      </c>
      <c r="C1166" s="276" t="s">
        <v>854</v>
      </c>
      <c r="D1166" s="277" t="s">
        <v>175</v>
      </c>
      <c r="E1166" s="141"/>
      <c r="F1166" s="48" t="s">
        <v>175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 ht="15.95">
      <c r="A1167" s="83">
        <f t="shared" si="38"/>
        <v>61</v>
      </c>
      <c r="B1167" s="232" t="s">
        <v>914</v>
      </c>
      <c r="C1167" s="276" t="s">
        <v>854</v>
      </c>
      <c r="D1167" s="277" t="s">
        <v>175</v>
      </c>
      <c r="E1167" s="141"/>
      <c r="F1167" s="48" t="s">
        <v>175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 ht="15.95">
      <c r="A1168" s="83">
        <f t="shared" si="38"/>
        <v>62</v>
      </c>
      <c r="B1168" s="232" t="s">
        <v>915</v>
      </c>
      <c r="C1168" s="276" t="s">
        <v>854</v>
      </c>
      <c r="D1168" s="277" t="s">
        <v>175</v>
      </c>
      <c r="E1168" s="141"/>
      <c r="F1168" s="48" t="s">
        <v>175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 ht="15.95">
      <c r="A1169" s="83">
        <f t="shared" si="38"/>
        <v>63</v>
      </c>
      <c r="B1169" s="232" t="s">
        <v>916</v>
      </c>
      <c r="C1169" s="276" t="s">
        <v>854</v>
      </c>
      <c r="D1169" s="277" t="s">
        <v>175</v>
      </c>
      <c r="E1169" s="141"/>
      <c r="F1169" s="48" t="s">
        <v>175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 ht="15.95">
      <c r="A1170" s="83">
        <f t="shared" si="38"/>
        <v>64</v>
      </c>
      <c r="B1170" s="232" t="s">
        <v>917</v>
      </c>
      <c r="C1170" s="276" t="s">
        <v>854</v>
      </c>
      <c r="D1170" s="277" t="s">
        <v>175</v>
      </c>
      <c r="E1170" s="141"/>
      <c r="F1170" s="48" t="s">
        <v>175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 ht="15.95">
      <c r="A1171" s="83">
        <f t="shared" si="38"/>
        <v>65</v>
      </c>
      <c r="B1171" s="232" t="s">
        <v>918</v>
      </c>
      <c r="C1171" s="276" t="s">
        <v>854</v>
      </c>
      <c r="D1171" s="277" t="s">
        <v>175</v>
      </c>
      <c r="E1171" s="141"/>
      <c r="F1171" s="48" t="s">
        <v>175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 ht="15.95">
      <c r="A1172" s="83">
        <f t="shared" si="38"/>
        <v>66</v>
      </c>
      <c r="B1172" s="232" t="s">
        <v>919</v>
      </c>
      <c r="C1172" s="276" t="s">
        <v>854</v>
      </c>
      <c r="D1172" s="277" t="s">
        <v>175</v>
      </c>
      <c r="E1172" s="141"/>
      <c r="F1172" s="48" t="s">
        <v>175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 ht="15.95">
      <c r="A1173" s="83">
        <f t="shared" ref="A1173:A1236" si="41">A1172+1</f>
        <v>67</v>
      </c>
      <c r="B1173" s="232" t="s">
        <v>920</v>
      </c>
      <c r="C1173" s="276" t="s">
        <v>854</v>
      </c>
      <c r="D1173" s="277" t="s">
        <v>175</v>
      </c>
      <c r="E1173" s="141"/>
      <c r="F1173" s="48" t="s">
        <v>175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 ht="15.95">
      <c r="A1174" s="83">
        <f t="shared" si="41"/>
        <v>68</v>
      </c>
      <c r="B1174" s="232" t="s">
        <v>921</v>
      </c>
      <c r="C1174" s="276" t="s">
        <v>854</v>
      </c>
      <c r="D1174" s="277" t="s">
        <v>175</v>
      </c>
      <c r="E1174" s="141"/>
      <c r="F1174" s="48" t="s">
        <v>175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 ht="15.95">
      <c r="A1175" s="83">
        <f t="shared" si="41"/>
        <v>69</v>
      </c>
      <c r="B1175" s="232" t="s">
        <v>922</v>
      </c>
      <c r="C1175" s="276" t="s">
        <v>854</v>
      </c>
      <c r="D1175" s="277" t="s">
        <v>175</v>
      </c>
      <c r="E1175" s="141"/>
      <c r="F1175" s="48" t="s">
        <v>175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 ht="15.95">
      <c r="A1176" s="83">
        <f t="shared" si="41"/>
        <v>70</v>
      </c>
      <c r="B1176" s="232" t="s">
        <v>923</v>
      </c>
      <c r="C1176" s="276" t="s">
        <v>854</v>
      </c>
      <c r="D1176" s="277" t="s">
        <v>175</v>
      </c>
      <c r="E1176" s="141"/>
      <c r="F1176" s="48" t="s">
        <v>175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 ht="15.95">
      <c r="A1177" s="83">
        <f t="shared" si="41"/>
        <v>71</v>
      </c>
      <c r="B1177" s="232" t="s">
        <v>924</v>
      </c>
      <c r="C1177" s="276" t="s">
        <v>854</v>
      </c>
      <c r="D1177" s="277" t="s">
        <v>175</v>
      </c>
      <c r="E1177" s="141"/>
      <c r="F1177" s="48" t="s">
        <v>175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 ht="15.95">
      <c r="A1178" s="83">
        <f t="shared" si="41"/>
        <v>72</v>
      </c>
      <c r="B1178" s="232" t="s">
        <v>925</v>
      </c>
      <c r="C1178" s="276" t="s">
        <v>854</v>
      </c>
      <c r="D1178" s="277" t="s">
        <v>175</v>
      </c>
      <c r="E1178" s="141"/>
      <c r="F1178" s="48" t="s">
        <v>175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 ht="15.95">
      <c r="A1179" s="83">
        <f t="shared" si="41"/>
        <v>73</v>
      </c>
      <c r="B1179" s="232" t="s">
        <v>926</v>
      </c>
      <c r="C1179" s="276" t="s">
        <v>854</v>
      </c>
      <c r="D1179" s="277" t="s">
        <v>175</v>
      </c>
      <c r="E1179" s="141"/>
      <c r="F1179" s="48" t="s">
        <v>175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 ht="15.95">
      <c r="A1180" s="83">
        <f t="shared" si="41"/>
        <v>74</v>
      </c>
      <c r="B1180" s="232" t="s">
        <v>927</v>
      </c>
      <c r="C1180" s="276" t="s">
        <v>854</v>
      </c>
      <c r="D1180" s="277" t="s">
        <v>175</v>
      </c>
      <c r="E1180" s="141"/>
      <c r="F1180" s="48" t="s">
        <v>175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 ht="15.95">
      <c r="A1181" s="83">
        <f t="shared" si="41"/>
        <v>75</v>
      </c>
      <c r="B1181" s="232" t="s">
        <v>928</v>
      </c>
      <c r="C1181" s="276" t="s">
        <v>854</v>
      </c>
      <c r="D1181" s="277" t="s">
        <v>175</v>
      </c>
      <c r="E1181" s="141"/>
      <c r="F1181" s="48" t="s">
        <v>175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 ht="15.95">
      <c r="A1182" s="83">
        <f t="shared" si="41"/>
        <v>76</v>
      </c>
      <c r="B1182" s="232" t="s">
        <v>929</v>
      </c>
      <c r="C1182" s="276" t="s">
        <v>854</v>
      </c>
      <c r="D1182" s="277" t="s">
        <v>175</v>
      </c>
      <c r="E1182" s="141"/>
      <c r="F1182" s="48" t="s">
        <v>175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 ht="15.95">
      <c r="A1183" s="83">
        <f t="shared" si="41"/>
        <v>77</v>
      </c>
      <c r="B1183" s="232" t="s">
        <v>930</v>
      </c>
      <c r="C1183" s="276" t="s">
        <v>854</v>
      </c>
      <c r="D1183" s="277" t="s">
        <v>175</v>
      </c>
      <c r="E1183" s="141"/>
      <c r="F1183" s="48" t="s">
        <v>175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 ht="15.95">
      <c r="A1184" s="83">
        <f t="shared" si="41"/>
        <v>78</v>
      </c>
      <c r="B1184" s="232" t="s">
        <v>931</v>
      </c>
      <c r="C1184" s="276" t="s">
        <v>854</v>
      </c>
      <c r="D1184" s="277" t="s">
        <v>175</v>
      </c>
      <c r="E1184" s="141"/>
      <c r="F1184" s="48" t="s">
        <v>175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 ht="15.95">
      <c r="A1185" s="83">
        <f t="shared" si="41"/>
        <v>79</v>
      </c>
      <c r="B1185" s="232" t="s">
        <v>932</v>
      </c>
      <c r="C1185" s="276" t="s">
        <v>854</v>
      </c>
      <c r="D1185" s="277" t="s">
        <v>175</v>
      </c>
      <c r="E1185" s="141"/>
      <c r="F1185" s="48" t="s">
        <v>175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 ht="15.95">
      <c r="A1186" s="83">
        <f t="shared" si="41"/>
        <v>80</v>
      </c>
      <c r="B1186" s="232" t="s">
        <v>933</v>
      </c>
      <c r="C1186" s="276" t="s">
        <v>854</v>
      </c>
      <c r="D1186" s="277" t="s">
        <v>175</v>
      </c>
      <c r="E1186" s="141"/>
      <c r="F1186" s="48" t="s">
        <v>175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 ht="15.95">
      <c r="A1187" s="83">
        <f t="shared" si="41"/>
        <v>81</v>
      </c>
      <c r="B1187" s="232" t="s">
        <v>934</v>
      </c>
      <c r="C1187" s="276" t="s">
        <v>854</v>
      </c>
      <c r="D1187" s="277" t="s">
        <v>175</v>
      </c>
      <c r="E1187" s="141"/>
      <c r="F1187" s="48" t="s">
        <v>175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 ht="15.95">
      <c r="A1188" s="83">
        <f t="shared" si="41"/>
        <v>82</v>
      </c>
      <c r="B1188" s="232" t="s">
        <v>935</v>
      </c>
      <c r="C1188" s="276" t="s">
        <v>854</v>
      </c>
      <c r="D1188" s="277" t="s">
        <v>175</v>
      </c>
      <c r="E1188" s="141"/>
      <c r="F1188" s="48" t="s">
        <v>175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 ht="15.95">
      <c r="A1189" s="83">
        <f t="shared" si="41"/>
        <v>83</v>
      </c>
      <c r="B1189" s="232" t="s">
        <v>936</v>
      </c>
      <c r="C1189" s="276" t="s">
        <v>854</v>
      </c>
      <c r="D1189" s="277" t="s">
        <v>175</v>
      </c>
      <c r="E1189" s="141"/>
      <c r="F1189" s="48" t="s">
        <v>175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 ht="15.95">
      <c r="A1190" s="83">
        <f t="shared" si="41"/>
        <v>84</v>
      </c>
      <c r="B1190" s="232" t="s">
        <v>937</v>
      </c>
      <c r="C1190" s="276" t="s">
        <v>854</v>
      </c>
      <c r="D1190" s="277" t="s">
        <v>175</v>
      </c>
      <c r="E1190" s="141"/>
      <c r="F1190" s="48" t="s">
        <v>175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 ht="15.95">
      <c r="A1191" s="83">
        <f t="shared" si="41"/>
        <v>85</v>
      </c>
      <c r="B1191" s="232" t="s">
        <v>938</v>
      </c>
      <c r="C1191" s="276" t="s">
        <v>854</v>
      </c>
      <c r="D1191" s="277" t="s">
        <v>175</v>
      </c>
      <c r="E1191" s="141"/>
      <c r="F1191" s="48" t="s">
        <v>175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 ht="15.95">
      <c r="A1192" s="83">
        <f t="shared" si="41"/>
        <v>86</v>
      </c>
      <c r="B1192" s="232" t="s">
        <v>939</v>
      </c>
      <c r="C1192" s="276" t="s">
        <v>854</v>
      </c>
      <c r="D1192" s="277" t="s">
        <v>175</v>
      </c>
      <c r="E1192" s="141"/>
      <c r="F1192" s="48" t="s">
        <v>175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 ht="15.95">
      <c r="A1193" s="83">
        <f t="shared" si="41"/>
        <v>87</v>
      </c>
      <c r="B1193" s="232" t="s">
        <v>940</v>
      </c>
      <c r="C1193" s="276" t="s">
        <v>854</v>
      </c>
      <c r="D1193" s="277" t="s">
        <v>175</v>
      </c>
      <c r="E1193" s="141"/>
      <c r="F1193" s="48" t="s">
        <v>175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 ht="15.95">
      <c r="A1194" s="83">
        <f t="shared" si="41"/>
        <v>88</v>
      </c>
      <c r="B1194" s="232" t="s">
        <v>941</v>
      </c>
      <c r="C1194" s="276" t="s">
        <v>854</v>
      </c>
      <c r="D1194" s="277" t="s">
        <v>175</v>
      </c>
      <c r="E1194" s="141"/>
      <c r="F1194" s="48" t="s">
        <v>175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 ht="15.95">
      <c r="A1195" s="83">
        <f t="shared" si="41"/>
        <v>89</v>
      </c>
      <c r="B1195" s="232" t="s">
        <v>942</v>
      </c>
      <c r="C1195" s="276" t="s">
        <v>854</v>
      </c>
      <c r="D1195" s="277" t="s">
        <v>175</v>
      </c>
      <c r="E1195" s="141"/>
      <c r="F1195" s="48" t="s">
        <v>175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 ht="15.95">
      <c r="A1196" s="83">
        <f t="shared" si="41"/>
        <v>90</v>
      </c>
      <c r="B1196" s="232" t="s">
        <v>943</v>
      </c>
      <c r="C1196" s="276" t="s">
        <v>854</v>
      </c>
      <c r="D1196" s="277" t="s">
        <v>175</v>
      </c>
      <c r="E1196" s="141"/>
      <c r="F1196" s="48" t="s">
        <v>175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 ht="15.95">
      <c r="A1197" s="83">
        <f t="shared" si="41"/>
        <v>91</v>
      </c>
      <c r="B1197" s="232" t="s">
        <v>944</v>
      </c>
      <c r="C1197" s="276" t="s">
        <v>854</v>
      </c>
      <c r="D1197" s="277" t="s">
        <v>175</v>
      </c>
      <c r="E1197" s="141"/>
      <c r="F1197" s="48" t="s">
        <v>175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 ht="15.95">
      <c r="A1198" s="83">
        <f t="shared" si="41"/>
        <v>92</v>
      </c>
      <c r="B1198" s="232" t="s">
        <v>945</v>
      </c>
      <c r="C1198" s="276" t="s">
        <v>854</v>
      </c>
      <c r="D1198" s="277" t="s">
        <v>175</v>
      </c>
      <c r="E1198" s="141"/>
      <c r="F1198" s="48" t="s">
        <v>175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 ht="15.95">
      <c r="A1199" s="83">
        <f t="shared" si="41"/>
        <v>93</v>
      </c>
      <c r="B1199" s="232" t="s">
        <v>946</v>
      </c>
      <c r="C1199" s="276" t="s">
        <v>854</v>
      </c>
      <c r="D1199" s="277" t="s">
        <v>175</v>
      </c>
      <c r="E1199" s="141"/>
      <c r="F1199" s="48" t="s">
        <v>175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 ht="15.95">
      <c r="A1200" s="83">
        <f t="shared" si="41"/>
        <v>94</v>
      </c>
      <c r="B1200" s="232" t="s">
        <v>947</v>
      </c>
      <c r="C1200" s="276" t="s">
        <v>854</v>
      </c>
      <c r="D1200" s="277" t="s">
        <v>175</v>
      </c>
      <c r="E1200" s="141"/>
      <c r="F1200" s="48" t="s">
        <v>175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 ht="15.95">
      <c r="A1201" s="83">
        <f t="shared" si="41"/>
        <v>95</v>
      </c>
      <c r="B1201" s="232" t="s">
        <v>948</v>
      </c>
      <c r="C1201" s="276" t="s">
        <v>854</v>
      </c>
      <c r="D1201" s="277" t="s">
        <v>175</v>
      </c>
      <c r="E1201" s="141"/>
      <c r="F1201" s="48" t="s">
        <v>175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 ht="15.95">
      <c r="A1202" s="83">
        <f t="shared" si="41"/>
        <v>96</v>
      </c>
      <c r="B1202" s="232" t="s">
        <v>949</v>
      </c>
      <c r="C1202" s="276" t="s">
        <v>854</v>
      </c>
      <c r="D1202" s="277" t="s">
        <v>175</v>
      </c>
      <c r="E1202" s="141"/>
      <c r="F1202" s="48" t="s">
        <v>175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 ht="15.95">
      <c r="A1203" s="83">
        <f t="shared" si="41"/>
        <v>97</v>
      </c>
      <c r="B1203" s="232" t="s">
        <v>950</v>
      </c>
      <c r="C1203" s="276" t="s">
        <v>854</v>
      </c>
      <c r="D1203" s="277" t="s">
        <v>175</v>
      </c>
      <c r="E1203" s="141"/>
      <c r="F1203" s="48" t="s">
        <v>175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 ht="15.95">
      <c r="A1204" s="83">
        <f t="shared" si="41"/>
        <v>98</v>
      </c>
      <c r="B1204" s="232" t="s">
        <v>951</v>
      </c>
      <c r="C1204" s="276" t="s">
        <v>854</v>
      </c>
      <c r="D1204" s="277" t="s">
        <v>175</v>
      </c>
      <c r="E1204" s="141"/>
      <c r="F1204" s="48" t="s">
        <v>175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 ht="15.95">
      <c r="A1205" s="83">
        <f t="shared" si="41"/>
        <v>99</v>
      </c>
      <c r="B1205" s="232" t="s">
        <v>952</v>
      </c>
      <c r="C1205" s="276" t="s">
        <v>854</v>
      </c>
      <c r="D1205" s="277" t="s">
        <v>175</v>
      </c>
      <c r="E1205" s="141"/>
      <c r="F1205" s="48" t="s">
        <v>175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 ht="15.95">
      <c r="A1206" s="83">
        <f t="shared" si="41"/>
        <v>100</v>
      </c>
      <c r="B1206" s="232" t="s">
        <v>953</v>
      </c>
      <c r="C1206" s="276" t="s">
        <v>854</v>
      </c>
      <c r="D1206" s="277" t="s">
        <v>175</v>
      </c>
      <c r="E1206" s="141"/>
      <c r="F1206" s="48" t="s">
        <v>175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 ht="15.95">
      <c r="A1207" s="83">
        <f t="shared" si="41"/>
        <v>101</v>
      </c>
      <c r="B1207" s="232" t="s">
        <v>954</v>
      </c>
      <c r="C1207" s="276" t="s">
        <v>854</v>
      </c>
      <c r="D1207" s="277" t="s">
        <v>175</v>
      </c>
      <c r="E1207" s="141"/>
      <c r="F1207" s="48" t="s">
        <v>175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 ht="15.95">
      <c r="A1208" s="83">
        <f t="shared" si="41"/>
        <v>102</v>
      </c>
      <c r="B1208" s="232" t="s">
        <v>955</v>
      </c>
      <c r="C1208" s="276" t="s">
        <v>854</v>
      </c>
      <c r="D1208" s="277" t="s">
        <v>175</v>
      </c>
      <c r="E1208" s="141"/>
      <c r="F1208" s="48" t="s">
        <v>175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 ht="15.95">
      <c r="A1209" s="83">
        <f t="shared" si="41"/>
        <v>103</v>
      </c>
      <c r="B1209" s="232" t="s">
        <v>956</v>
      </c>
      <c r="C1209" s="276" t="s">
        <v>854</v>
      </c>
      <c r="D1209" s="277" t="s">
        <v>175</v>
      </c>
      <c r="E1209" s="141"/>
      <c r="F1209" s="48" t="s">
        <v>175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 ht="15.95">
      <c r="A1210" s="83">
        <f t="shared" si="41"/>
        <v>104</v>
      </c>
      <c r="B1210" s="232" t="s">
        <v>957</v>
      </c>
      <c r="C1210" s="276" t="s">
        <v>854</v>
      </c>
      <c r="D1210" s="277" t="s">
        <v>175</v>
      </c>
      <c r="E1210" s="141"/>
      <c r="F1210" s="48" t="s">
        <v>175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 ht="15.95">
      <c r="A1211" s="83">
        <f t="shared" si="41"/>
        <v>105</v>
      </c>
      <c r="B1211" s="232" t="s">
        <v>958</v>
      </c>
      <c r="C1211" s="276" t="s">
        <v>854</v>
      </c>
      <c r="D1211" s="277" t="s">
        <v>175</v>
      </c>
      <c r="E1211" s="141"/>
      <c r="F1211" s="48" t="s">
        <v>175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 ht="15.95">
      <c r="A1212" s="83">
        <f t="shared" si="41"/>
        <v>106</v>
      </c>
      <c r="B1212" s="232" t="s">
        <v>959</v>
      </c>
      <c r="C1212" s="276" t="s">
        <v>854</v>
      </c>
      <c r="D1212" s="277" t="s">
        <v>175</v>
      </c>
      <c r="E1212" s="141"/>
      <c r="F1212" s="48" t="s">
        <v>175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 ht="15.95">
      <c r="A1213" s="83">
        <f t="shared" si="41"/>
        <v>107</v>
      </c>
      <c r="B1213" s="232" t="s">
        <v>960</v>
      </c>
      <c r="C1213" s="276" t="s">
        <v>854</v>
      </c>
      <c r="D1213" s="277" t="s">
        <v>175</v>
      </c>
      <c r="E1213" s="141"/>
      <c r="F1213" s="48" t="s">
        <v>175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 ht="15.95">
      <c r="A1214" s="83">
        <f t="shared" si="41"/>
        <v>108</v>
      </c>
      <c r="B1214" s="232" t="s">
        <v>961</v>
      </c>
      <c r="C1214" s="276" t="s">
        <v>854</v>
      </c>
      <c r="D1214" s="277" t="s">
        <v>175</v>
      </c>
      <c r="E1214" s="141"/>
      <c r="F1214" s="48" t="s">
        <v>175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 ht="15.95">
      <c r="A1215" s="83">
        <f t="shared" si="41"/>
        <v>109</v>
      </c>
      <c r="B1215" s="232" t="s">
        <v>962</v>
      </c>
      <c r="C1215" s="276" t="s">
        <v>854</v>
      </c>
      <c r="D1215" s="277" t="s">
        <v>175</v>
      </c>
      <c r="E1215" s="141"/>
      <c r="F1215" s="48" t="s">
        <v>175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 ht="15.95">
      <c r="A1216" s="83">
        <f t="shared" si="41"/>
        <v>110</v>
      </c>
      <c r="B1216" s="232" t="s">
        <v>963</v>
      </c>
      <c r="C1216" s="276" t="s">
        <v>854</v>
      </c>
      <c r="D1216" s="277" t="s">
        <v>175</v>
      </c>
      <c r="E1216" s="141"/>
      <c r="F1216" s="48" t="s">
        <v>175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 ht="15.95">
      <c r="A1217" s="83">
        <f t="shared" si="41"/>
        <v>111</v>
      </c>
      <c r="B1217" s="232" t="s">
        <v>964</v>
      </c>
      <c r="C1217" s="276" t="s">
        <v>854</v>
      </c>
      <c r="D1217" s="277" t="s">
        <v>175</v>
      </c>
      <c r="E1217" s="141"/>
      <c r="F1217" s="48" t="s">
        <v>175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 ht="15.95">
      <c r="A1218" s="83">
        <f t="shared" si="41"/>
        <v>112</v>
      </c>
      <c r="B1218" s="232" t="s">
        <v>965</v>
      </c>
      <c r="C1218" s="276" t="s">
        <v>854</v>
      </c>
      <c r="D1218" s="277" t="s">
        <v>175</v>
      </c>
      <c r="E1218" s="141"/>
      <c r="F1218" s="48" t="s">
        <v>175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 ht="15.95">
      <c r="A1219" s="83">
        <f t="shared" si="41"/>
        <v>113</v>
      </c>
      <c r="B1219" s="232" t="s">
        <v>966</v>
      </c>
      <c r="C1219" s="276" t="s">
        <v>854</v>
      </c>
      <c r="D1219" s="277" t="s">
        <v>175</v>
      </c>
      <c r="E1219" s="141"/>
      <c r="F1219" s="48" t="s">
        <v>175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 ht="15.95">
      <c r="A1220" s="83">
        <f t="shared" si="41"/>
        <v>114</v>
      </c>
      <c r="B1220" s="232" t="s">
        <v>967</v>
      </c>
      <c r="C1220" s="276" t="s">
        <v>854</v>
      </c>
      <c r="D1220" s="277" t="s">
        <v>175</v>
      </c>
      <c r="E1220" s="141"/>
      <c r="F1220" s="48" t="s">
        <v>175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 ht="15.95">
      <c r="A1221" s="83">
        <f t="shared" si="41"/>
        <v>115</v>
      </c>
      <c r="B1221" s="232" t="s">
        <v>968</v>
      </c>
      <c r="C1221" s="276" t="s">
        <v>854</v>
      </c>
      <c r="D1221" s="277" t="s">
        <v>175</v>
      </c>
      <c r="E1221" s="141"/>
      <c r="F1221" s="48" t="s">
        <v>175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 ht="15.95">
      <c r="A1222" s="83">
        <f t="shared" si="41"/>
        <v>116</v>
      </c>
      <c r="B1222" s="232" t="s">
        <v>969</v>
      </c>
      <c r="C1222" s="276" t="s">
        <v>854</v>
      </c>
      <c r="D1222" s="277" t="s">
        <v>175</v>
      </c>
      <c r="E1222" s="141"/>
      <c r="F1222" s="48" t="s">
        <v>175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 ht="15.95">
      <c r="A1223" s="83">
        <f t="shared" si="41"/>
        <v>117</v>
      </c>
      <c r="B1223" s="232" t="s">
        <v>970</v>
      </c>
      <c r="C1223" s="276" t="s">
        <v>854</v>
      </c>
      <c r="D1223" s="277" t="s">
        <v>175</v>
      </c>
      <c r="E1223" s="141"/>
      <c r="F1223" s="48" t="s">
        <v>175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 ht="15.95">
      <c r="A1224" s="83">
        <f t="shared" si="41"/>
        <v>118</v>
      </c>
      <c r="B1224" s="232" t="s">
        <v>971</v>
      </c>
      <c r="C1224" s="276" t="s">
        <v>854</v>
      </c>
      <c r="D1224" s="277" t="s">
        <v>175</v>
      </c>
      <c r="E1224" s="141"/>
      <c r="F1224" s="48" t="s">
        <v>175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 ht="15.95">
      <c r="A1225" s="83">
        <f t="shared" si="41"/>
        <v>119</v>
      </c>
      <c r="B1225" s="232" t="s">
        <v>972</v>
      </c>
      <c r="C1225" s="276" t="s">
        <v>854</v>
      </c>
      <c r="D1225" s="277" t="s">
        <v>175</v>
      </c>
      <c r="E1225" s="141"/>
      <c r="F1225" s="48" t="s">
        <v>175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 ht="15.95">
      <c r="A1226" s="83">
        <f t="shared" si="41"/>
        <v>120</v>
      </c>
      <c r="B1226" s="232" t="s">
        <v>973</v>
      </c>
      <c r="C1226" s="276" t="s">
        <v>854</v>
      </c>
      <c r="D1226" s="277" t="s">
        <v>175</v>
      </c>
      <c r="E1226" s="141"/>
      <c r="F1226" s="48" t="s">
        <v>175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 ht="15.95">
      <c r="A1227" s="83">
        <f t="shared" si="41"/>
        <v>121</v>
      </c>
      <c r="B1227" s="232" t="s">
        <v>974</v>
      </c>
      <c r="C1227" s="276" t="s">
        <v>854</v>
      </c>
      <c r="D1227" s="277" t="s">
        <v>175</v>
      </c>
      <c r="E1227" s="141"/>
      <c r="F1227" s="48" t="s">
        <v>175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 ht="15.95">
      <c r="A1228" s="83">
        <f t="shared" si="41"/>
        <v>122</v>
      </c>
      <c r="B1228" s="232" t="s">
        <v>975</v>
      </c>
      <c r="C1228" s="276" t="s">
        <v>854</v>
      </c>
      <c r="D1228" s="277" t="s">
        <v>175</v>
      </c>
      <c r="E1228" s="141"/>
      <c r="F1228" s="48" t="s">
        <v>175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 ht="15.95">
      <c r="A1229" s="83">
        <f t="shared" si="41"/>
        <v>123</v>
      </c>
      <c r="B1229" s="232" t="s">
        <v>976</v>
      </c>
      <c r="C1229" s="276" t="s">
        <v>854</v>
      </c>
      <c r="D1229" s="277" t="s">
        <v>175</v>
      </c>
      <c r="E1229" s="141"/>
      <c r="F1229" s="48" t="s">
        <v>175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 ht="15.95">
      <c r="A1230" s="83">
        <f t="shared" si="41"/>
        <v>124</v>
      </c>
      <c r="B1230" s="232" t="s">
        <v>977</v>
      </c>
      <c r="C1230" s="276" t="s">
        <v>854</v>
      </c>
      <c r="D1230" s="277" t="s">
        <v>175</v>
      </c>
      <c r="E1230" s="141"/>
      <c r="F1230" s="48" t="s">
        <v>175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 ht="15.95">
      <c r="A1231" s="83">
        <f t="shared" si="41"/>
        <v>125</v>
      </c>
      <c r="B1231" s="232" t="s">
        <v>978</v>
      </c>
      <c r="C1231" s="276" t="s">
        <v>854</v>
      </c>
      <c r="D1231" s="277" t="s">
        <v>175</v>
      </c>
      <c r="E1231" s="141"/>
      <c r="F1231" s="48" t="s">
        <v>175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 ht="15.95">
      <c r="A1232" s="83">
        <f t="shared" si="41"/>
        <v>126</v>
      </c>
      <c r="B1232" s="232" t="s">
        <v>979</v>
      </c>
      <c r="C1232" s="276" t="s">
        <v>854</v>
      </c>
      <c r="D1232" s="277" t="s">
        <v>175</v>
      </c>
      <c r="E1232" s="141"/>
      <c r="F1232" s="48" t="s">
        <v>175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 ht="15.95">
      <c r="A1233" s="83">
        <f t="shared" si="41"/>
        <v>127</v>
      </c>
      <c r="B1233" s="232" t="s">
        <v>980</v>
      </c>
      <c r="C1233" s="276" t="s">
        <v>854</v>
      </c>
      <c r="D1233" s="277" t="s">
        <v>175</v>
      </c>
      <c r="E1233" s="141"/>
      <c r="F1233" s="48" t="s">
        <v>175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 ht="15.95">
      <c r="A1234" s="83">
        <f t="shared" si="41"/>
        <v>128</v>
      </c>
      <c r="B1234" s="232" t="s">
        <v>981</v>
      </c>
      <c r="C1234" s="276" t="s">
        <v>854</v>
      </c>
      <c r="D1234" s="277" t="s">
        <v>175</v>
      </c>
      <c r="E1234" s="141"/>
      <c r="F1234" s="48" t="s">
        <v>175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 ht="15.95">
      <c r="A1235" s="83">
        <f t="shared" si="41"/>
        <v>129</v>
      </c>
      <c r="B1235" s="232" t="s">
        <v>982</v>
      </c>
      <c r="C1235" s="276" t="s">
        <v>854</v>
      </c>
      <c r="D1235" s="277" t="s">
        <v>175</v>
      </c>
      <c r="E1235" s="141"/>
      <c r="F1235" s="48" t="s">
        <v>175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 ht="15.95">
      <c r="A1236" s="83">
        <f t="shared" si="41"/>
        <v>130</v>
      </c>
      <c r="B1236" s="232" t="s">
        <v>983</v>
      </c>
      <c r="C1236" s="276" t="s">
        <v>854</v>
      </c>
      <c r="D1236" s="277" t="s">
        <v>175</v>
      </c>
      <c r="E1236" s="141"/>
      <c r="F1236" s="48" t="s">
        <v>175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 ht="15.95">
      <c r="A1237" s="83">
        <f t="shared" ref="A1237:A1290" si="44">A1236+1</f>
        <v>131</v>
      </c>
      <c r="B1237" s="232" t="s">
        <v>984</v>
      </c>
      <c r="C1237" s="276" t="s">
        <v>854</v>
      </c>
      <c r="D1237" s="277" t="s">
        <v>175</v>
      </c>
      <c r="E1237" s="141"/>
      <c r="F1237" s="48" t="s">
        <v>175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 ht="15.95">
      <c r="A1238" s="83">
        <f t="shared" si="44"/>
        <v>132</v>
      </c>
      <c r="B1238" s="232" t="s">
        <v>985</v>
      </c>
      <c r="C1238" s="276" t="s">
        <v>854</v>
      </c>
      <c r="D1238" s="277" t="s">
        <v>175</v>
      </c>
      <c r="E1238" s="141"/>
      <c r="F1238" s="48" t="s">
        <v>175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 ht="15.95">
      <c r="A1239" s="83">
        <f t="shared" si="44"/>
        <v>133</v>
      </c>
      <c r="B1239" s="232" t="s">
        <v>986</v>
      </c>
      <c r="C1239" s="276" t="s">
        <v>854</v>
      </c>
      <c r="D1239" s="277" t="s">
        <v>175</v>
      </c>
      <c r="E1239" s="141"/>
      <c r="F1239" s="48" t="s">
        <v>175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 ht="15.95">
      <c r="A1240" s="83">
        <f t="shared" si="44"/>
        <v>134</v>
      </c>
      <c r="B1240" s="232" t="s">
        <v>987</v>
      </c>
      <c r="C1240" s="276" t="s">
        <v>854</v>
      </c>
      <c r="D1240" s="277" t="s">
        <v>175</v>
      </c>
      <c r="E1240" s="141"/>
      <c r="F1240" s="48" t="s">
        <v>175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 ht="15.95">
      <c r="A1241" s="83">
        <f t="shared" si="44"/>
        <v>135</v>
      </c>
      <c r="B1241" s="232" t="s">
        <v>988</v>
      </c>
      <c r="C1241" s="276" t="s">
        <v>854</v>
      </c>
      <c r="D1241" s="277" t="s">
        <v>175</v>
      </c>
      <c r="E1241" s="141"/>
      <c r="F1241" s="48" t="s">
        <v>175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 ht="15.95">
      <c r="A1242" s="83">
        <f t="shared" si="44"/>
        <v>136</v>
      </c>
      <c r="B1242" s="232" t="s">
        <v>989</v>
      </c>
      <c r="C1242" s="276" t="s">
        <v>854</v>
      </c>
      <c r="D1242" s="277" t="s">
        <v>175</v>
      </c>
      <c r="E1242" s="141"/>
      <c r="F1242" s="48" t="s">
        <v>175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 ht="15.95">
      <c r="A1243" s="83">
        <f t="shared" si="44"/>
        <v>137</v>
      </c>
      <c r="B1243" s="232" t="s">
        <v>990</v>
      </c>
      <c r="C1243" s="276" t="s">
        <v>854</v>
      </c>
      <c r="D1243" s="277" t="s">
        <v>175</v>
      </c>
      <c r="E1243" s="141"/>
      <c r="F1243" s="48" t="s">
        <v>175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 ht="15.95">
      <c r="A1244" s="83">
        <f t="shared" si="44"/>
        <v>138</v>
      </c>
      <c r="B1244" s="232" t="s">
        <v>991</v>
      </c>
      <c r="C1244" s="276" t="s">
        <v>854</v>
      </c>
      <c r="D1244" s="277" t="s">
        <v>175</v>
      </c>
      <c r="E1244" s="141"/>
      <c r="F1244" s="48" t="s">
        <v>175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 ht="15.95">
      <c r="A1245" s="83">
        <f t="shared" si="44"/>
        <v>139</v>
      </c>
      <c r="B1245" s="232" t="s">
        <v>992</v>
      </c>
      <c r="C1245" s="276" t="s">
        <v>854</v>
      </c>
      <c r="D1245" s="277" t="s">
        <v>175</v>
      </c>
      <c r="E1245" s="141"/>
      <c r="F1245" s="48" t="s">
        <v>175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 ht="15.95">
      <c r="A1246" s="83">
        <f t="shared" si="44"/>
        <v>140</v>
      </c>
      <c r="B1246" s="232" t="s">
        <v>993</v>
      </c>
      <c r="C1246" s="276" t="s">
        <v>854</v>
      </c>
      <c r="D1246" s="277" t="s">
        <v>175</v>
      </c>
      <c r="E1246" s="141"/>
      <c r="F1246" s="48" t="s">
        <v>175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 ht="15.95">
      <c r="A1247" s="83">
        <f t="shared" si="44"/>
        <v>141</v>
      </c>
      <c r="B1247" s="232" t="s">
        <v>994</v>
      </c>
      <c r="C1247" s="276" t="s">
        <v>854</v>
      </c>
      <c r="D1247" s="277" t="s">
        <v>175</v>
      </c>
      <c r="E1247" s="141"/>
      <c r="F1247" s="48" t="s">
        <v>175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 ht="15.95">
      <c r="A1248" s="83">
        <f t="shared" si="44"/>
        <v>142</v>
      </c>
      <c r="B1248" s="232" t="s">
        <v>995</v>
      </c>
      <c r="C1248" s="276" t="s">
        <v>854</v>
      </c>
      <c r="D1248" s="277" t="s">
        <v>175</v>
      </c>
      <c r="E1248" s="141"/>
      <c r="F1248" s="48" t="s">
        <v>175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 ht="15.95">
      <c r="A1249" s="83">
        <f t="shared" si="44"/>
        <v>143</v>
      </c>
      <c r="B1249" s="232" t="s">
        <v>996</v>
      </c>
      <c r="C1249" s="276" t="s">
        <v>854</v>
      </c>
      <c r="D1249" s="277" t="s">
        <v>175</v>
      </c>
      <c r="E1249" s="141"/>
      <c r="F1249" s="48" t="s">
        <v>175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 ht="15.95">
      <c r="A1250" s="83">
        <f t="shared" si="44"/>
        <v>144</v>
      </c>
      <c r="B1250" s="232" t="s">
        <v>997</v>
      </c>
      <c r="C1250" s="276" t="s">
        <v>854</v>
      </c>
      <c r="D1250" s="277" t="s">
        <v>175</v>
      </c>
      <c r="E1250" s="141"/>
      <c r="F1250" s="48" t="s">
        <v>175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 ht="15.95">
      <c r="A1251" s="83">
        <f t="shared" si="44"/>
        <v>145</v>
      </c>
      <c r="B1251" s="232" t="s">
        <v>998</v>
      </c>
      <c r="C1251" s="276" t="s">
        <v>854</v>
      </c>
      <c r="D1251" s="277" t="s">
        <v>175</v>
      </c>
      <c r="E1251" s="141"/>
      <c r="F1251" s="48" t="s">
        <v>175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 ht="15.95">
      <c r="A1252" s="83">
        <f t="shared" si="44"/>
        <v>146</v>
      </c>
      <c r="B1252" s="232" t="s">
        <v>999</v>
      </c>
      <c r="C1252" s="276" t="s">
        <v>854</v>
      </c>
      <c r="D1252" s="277" t="s">
        <v>175</v>
      </c>
      <c r="E1252" s="141"/>
      <c r="F1252" s="48" t="s">
        <v>175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 ht="15.95">
      <c r="A1253" s="83">
        <f t="shared" si="44"/>
        <v>147</v>
      </c>
      <c r="B1253" s="232" t="s">
        <v>1000</v>
      </c>
      <c r="C1253" s="276" t="s">
        <v>854</v>
      </c>
      <c r="D1253" s="277" t="s">
        <v>175</v>
      </c>
      <c r="E1253" s="141"/>
      <c r="F1253" s="48" t="s">
        <v>175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 ht="15.95">
      <c r="A1254" s="83">
        <f t="shared" si="44"/>
        <v>148</v>
      </c>
      <c r="B1254" s="232" t="s">
        <v>1001</v>
      </c>
      <c r="C1254" s="276" t="s">
        <v>854</v>
      </c>
      <c r="D1254" s="277" t="s">
        <v>175</v>
      </c>
      <c r="E1254" s="141"/>
      <c r="F1254" s="48" t="s">
        <v>175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 ht="15.95">
      <c r="A1255" s="83">
        <f t="shared" si="44"/>
        <v>149</v>
      </c>
      <c r="B1255" s="232" t="s">
        <v>1002</v>
      </c>
      <c r="C1255" s="276" t="s">
        <v>854</v>
      </c>
      <c r="D1255" s="277" t="s">
        <v>175</v>
      </c>
      <c r="E1255" s="141"/>
      <c r="F1255" s="48" t="s">
        <v>175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 ht="15.95">
      <c r="A1256" s="83">
        <f t="shared" si="44"/>
        <v>150</v>
      </c>
      <c r="B1256" s="232" t="s">
        <v>1003</v>
      </c>
      <c r="C1256" s="276" t="s">
        <v>854</v>
      </c>
      <c r="D1256" s="277" t="s">
        <v>175</v>
      </c>
      <c r="E1256" s="141"/>
      <c r="F1256" s="48" t="s">
        <v>175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 ht="15.95">
      <c r="A1257" s="83">
        <f t="shared" si="44"/>
        <v>151</v>
      </c>
      <c r="B1257" s="232" t="s">
        <v>1004</v>
      </c>
      <c r="C1257" s="276" t="s">
        <v>854</v>
      </c>
      <c r="D1257" s="277" t="s">
        <v>175</v>
      </c>
      <c r="E1257" s="141"/>
      <c r="F1257" s="48" t="s">
        <v>175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 ht="15.95">
      <c r="A1258" s="83">
        <f t="shared" si="44"/>
        <v>152</v>
      </c>
      <c r="B1258" s="232" t="s">
        <v>1005</v>
      </c>
      <c r="C1258" s="276" t="s">
        <v>854</v>
      </c>
      <c r="D1258" s="277" t="s">
        <v>175</v>
      </c>
      <c r="E1258" s="141"/>
      <c r="F1258" s="48" t="s">
        <v>175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 ht="15.95">
      <c r="A1259" s="83">
        <f t="shared" si="44"/>
        <v>153</v>
      </c>
      <c r="B1259" s="232" t="s">
        <v>1006</v>
      </c>
      <c r="C1259" s="276" t="s">
        <v>854</v>
      </c>
      <c r="D1259" s="277" t="s">
        <v>175</v>
      </c>
      <c r="E1259" s="141"/>
      <c r="F1259" s="48" t="s">
        <v>175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 ht="15.95">
      <c r="A1260" s="83">
        <f t="shared" si="44"/>
        <v>154</v>
      </c>
      <c r="B1260" s="232" t="s">
        <v>1007</v>
      </c>
      <c r="C1260" s="276" t="s">
        <v>854</v>
      </c>
      <c r="D1260" s="277" t="s">
        <v>175</v>
      </c>
      <c r="E1260" s="141"/>
      <c r="F1260" s="48" t="s">
        <v>175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 ht="15.95">
      <c r="A1261" s="83">
        <f t="shared" si="44"/>
        <v>155</v>
      </c>
      <c r="B1261" s="232" t="s">
        <v>1008</v>
      </c>
      <c r="C1261" s="276" t="s">
        <v>854</v>
      </c>
      <c r="D1261" s="277" t="s">
        <v>175</v>
      </c>
      <c r="E1261" s="141"/>
      <c r="F1261" s="48" t="s">
        <v>175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 ht="15.95">
      <c r="A1262" s="83">
        <f t="shared" si="44"/>
        <v>156</v>
      </c>
      <c r="B1262" s="232" t="s">
        <v>1009</v>
      </c>
      <c r="C1262" s="276" t="s">
        <v>854</v>
      </c>
      <c r="D1262" s="277" t="s">
        <v>175</v>
      </c>
      <c r="E1262" s="141"/>
      <c r="F1262" s="48" t="s">
        <v>175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 ht="15.95">
      <c r="A1263" s="83">
        <f t="shared" si="44"/>
        <v>157</v>
      </c>
      <c r="B1263" s="232" t="s">
        <v>1010</v>
      </c>
      <c r="C1263" s="276" t="s">
        <v>854</v>
      </c>
      <c r="D1263" s="277" t="s">
        <v>175</v>
      </c>
      <c r="E1263" s="141"/>
      <c r="F1263" s="48" t="s">
        <v>175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 ht="15.95">
      <c r="A1264" s="83">
        <f t="shared" si="44"/>
        <v>158</v>
      </c>
      <c r="B1264" s="232" t="s">
        <v>1011</v>
      </c>
      <c r="C1264" s="276" t="s">
        <v>854</v>
      </c>
      <c r="D1264" s="277" t="s">
        <v>175</v>
      </c>
      <c r="E1264" s="141"/>
      <c r="F1264" s="48" t="s">
        <v>175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 ht="15.95">
      <c r="A1265" s="83">
        <f t="shared" si="44"/>
        <v>159</v>
      </c>
      <c r="B1265" s="232" t="s">
        <v>1012</v>
      </c>
      <c r="C1265" s="276" t="s">
        <v>854</v>
      </c>
      <c r="D1265" s="277" t="s">
        <v>175</v>
      </c>
      <c r="E1265" s="141"/>
      <c r="F1265" s="48" t="s">
        <v>175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 ht="15.95">
      <c r="A1266" s="83">
        <f t="shared" si="44"/>
        <v>160</v>
      </c>
      <c r="B1266" s="232" t="s">
        <v>1013</v>
      </c>
      <c r="C1266" s="276" t="s">
        <v>854</v>
      </c>
      <c r="D1266" s="277" t="s">
        <v>175</v>
      </c>
      <c r="E1266" s="141"/>
      <c r="F1266" s="48" t="s">
        <v>175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 ht="15.95">
      <c r="A1267" s="83">
        <f t="shared" si="44"/>
        <v>161</v>
      </c>
      <c r="B1267" s="232" t="s">
        <v>1014</v>
      </c>
      <c r="C1267" s="276" t="s">
        <v>854</v>
      </c>
      <c r="D1267" s="277" t="s">
        <v>175</v>
      </c>
      <c r="E1267" s="141"/>
      <c r="F1267" s="48" t="s">
        <v>175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 ht="15.95">
      <c r="A1268" s="83">
        <f t="shared" si="44"/>
        <v>162</v>
      </c>
      <c r="B1268" s="232" t="s">
        <v>1015</v>
      </c>
      <c r="C1268" s="276" t="s">
        <v>854</v>
      </c>
      <c r="D1268" s="277" t="s">
        <v>175</v>
      </c>
      <c r="E1268" s="141"/>
      <c r="F1268" s="48" t="s">
        <v>175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 ht="15.95">
      <c r="A1269" s="83">
        <f t="shared" si="44"/>
        <v>163</v>
      </c>
      <c r="B1269" s="232" t="s">
        <v>1016</v>
      </c>
      <c r="C1269" s="276" t="s">
        <v>854</v>
      </c>
      <c r="D1269" s="277" t="s">
        <v>175</v>
      </c>
      <c r="E1269" s="141"/>
      <c r="F1269" s="48" t="s">
        <v>175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 ht="15.95">
      <c r="A1270" s="83">
        <f t="shared" si="44"/>
        <v>164</v>
      </c>
      <c r="B1270" s="232" t="s">
        <v>1017</v>
      </c>
      <c r="C1270" s="276" t="s">
        <v>854</v>
      </c>
      <c r="D1270" s="277" t="s">
        <v>175</v>
      </c>
      <c r="E1270" s="141"/>
      <c r="F1270" s="48" t="s">
        <v>175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 ht="15.95">
      <c r="A1271" s="83">
        <f t="shared" si="44"/>
        <v>165</v>
      </c>
      <c r="B1271" s="232" t="s">
        <v>1018</v>
      </c>
      <c r="C1271" s="276" t="s">
        <v>854</v>
      </c>
      <c r="D1271" s="277" t="s">
        <v>175</v>
      </c>
      <c r="E1271" s="141"/>
      <c r="F1271" s="48" t="s">
        <v>175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 ht="15.95">
      <c r="A1272" s="83">
        <f t="shared" si="44"/>
        <v>166</v>
      </c>
      <c r="B1272" s="232" t="s">
        <v>1019</v>
      </c>
      <c r="C1272" s="276" t="s">
        <v>854</v>
      </c>
      <c r="D1272" s="277" t="s">
        <v>175</v>
      </c>
      <c r="E1272" s="141"/>
      <c r="F1272" s="48" t="s">
        <v>175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2.1">
      <c r="A1273" s="83">
        <f t="shared" si="44"/>
        <v>167</v>
      </c>
      <c r="B1273" s="232" t="s">
        <v>1020</v>
      </c>
      <c r="C1273" s="276" t="s">
        <v>854</v>
      </c>
      <c r="D1273" s="277" t="s">
        <v>112</v>
      </c>
      <c r="E1273" s="141">
        <v>44533.333333333336</v>
      </c>
      <c r="F1273" s="278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 ht="15.95">
      <c r="A1274" s="83">
        <f t="shared" si="44"/>
        <v>168</v>
      </c>
      <c r="B1274" s="232" t="s">
        <v>1021</v>
      </c>
      <c r="C1274" s="276" t="s">
        <v>854</v>
      </c>
      <c r="D1274" s="277" t="s">
        <v>112</v>
      </c>
      <c r="E1274" s="141">
        <v>30900</v>
      </c>
      <c r="F1274" s="278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2.1">
      <c r="A1275" s="83">
        <f t="shared" si="44"/>
        <v>169</v>
      </c>
      <c r="B1275" s="232" t="s">
        <v>1022</v>
      </c>
      <c r="C1275" s="276" t="s">
        <v>854</v>
      </c>
      <c r="D1275" s="277" t="s">
        <v>1023</v>
      </c>
      <c r="E1275" s="141">
        <v>44500</v>
      </c>
      <c r="F1275" s="278" t="s">
        <v>112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 ht="15.95">
      <c r="A1276" s="83">
        <f t="shared" si="44"/>
        <v>170</v>
      </c>
      <c r="B1276" s="232" t="s">
        <v>1024</v>
      </c>
      <c r="C1276" s="276" t="s">
        <v>854</v>
      </c>
      <c r="D1276" s="277" t="s">
        <v>112</v>
      </c>
      <c r="E1276" s="141">
        <v>22370</v>
      </c>
      <c r="F1276" s="278" t="s">
        <v>112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 ht="15.95">
      <c r="A1277" s="83">
        <f t="shared" si="44"/>
        <v>171</v>
      </c>
      <c r="B1277" s="232" t="s">
        <v>1025</v>
      </c>
      <c r="C1277" s="276" t="s">
        <v>854</v>
      </c>
      <c r="D1277" s="277" t="s">
        <v>112</v>
      </c>
      <c r="E1277" s="141">
        <v>184100</v>
      </c>
      <c r="F1277" s="278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2.1">
      <c r="A1278" s="83">
        <f t="shared" si="44"/>
        <v>172</v>
      </c>
      <c r="B1278" s="232" t="s">
        <v>1026</v>
      </c>
      <c r="C1278" s="276" t="s">
        <v>854</v>
      </c>
      <c r="D1278" s="277" t="s">
        <v>112</v>
      </c>
      <c r="E1278" s="141">
        <v>6333.3374999999996</v>
      </c>
      <c r="F1278" s="278" t="s">
        <v>112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2.1">
      <c r="A1279" s="83">
        <f t="shared" si="44"/>
        <v>173</v>
      </c>
      <c r="B1279" s="232" t="s">
        <v>1027</v>
      </c>
      <c r="C1279" s="276" t="s">
        <v>854</v>
      </c>
      <c r="D1279" s="277" t="s">
        <v>112</v>
      </c>
      <c r="E1279" s="141">
        <v>17266.599999999999</v>
      </c>
      <c r="F1279" s="278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2.1">
      <c r="A1280" s="83">
        <f t="shared" si="44"/>
        <v>174</v>
      </c>
      <c r="B1280" s="287" t="s">
        <v>1028</v>
      </c>
      <c r="C1280" s="276" t="s">
        <v>854</v>
      </c>
      <c r="D1280" s="277" t="s">
        <v>112</v>
      </c>
      <c r="E1280" s="141">
        <v>6796.7</v>
      </c>
      <c r="F1280" s="278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 ht="15.95">
      <c r="A1281" s="83">
        <f t="shared" si="44"/>
        <v>175</v>
      </c>
      <c r="B1281" s="232" t="s">
        <v>1029</v>
      </c>
      <c r="C1281" s="276" t="s">
        <v>854</v>
      </c>
      <c r="D1281" s="277" t="s">
        <v>112</v>
      </c>
      <c r="E1281" s="141">
        <v>182666.66666666666</v>
      </c>
      <c r="F1281" s="278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2.1">
      <c r="A1282" s="83">
        <f t="shared" si="44"/>
        <v>176</v>
      </c>
      <c r="B1282" s="287" t="s">
        <v>1030</v>
      </c>
      <c r="C1282" s="276" t="s">
        <v>854</v>
      </c>
      <c r="D1282" s="277" t="s">
        <v>1023</v>
      </c>
      <c r="E1282" s="141">
        <v>2500</v>
      </c>
      <c r="F1282" s="278" t="s">
        <v>112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2.1">
      <c r="A1283" s="83">
        <f t="shared" si="44"/>
        <v>177</v>
      </c>
      <c r="B1283" s="232" t="s">
        <v>1031</v>
      </c>
      <c r="C1283" s="276" t="s">
        <v>854</v>
      </c>
      <c r="D1283" s="277" t="s">
        <v>112</v>
      </c>
      <c r="E1283" s="141">
        <v>46996.6</v>
      </c>
      <c r="F1283" s="278" t="s">
        <v>112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2.1">
      <c r="A1284" s="83">
        <f t="shared" si="44"/>
        <v>178</v>
      </c>
      <c r="B1284" s="232" t="s">
        <v>1031</v>
      </c>
      <c r="C1284" s="276" t="s">
        <v>854</v>
      </c>
      <c r="D1284" s="277" t="s">
        <v>112</v>
      </c>
      <c r="E1284" s="141">
        <v>48330</v>
      </c>
      <c r="F1284" s="278" t="s">
        <v>112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2.1">
      <c r="A1285" s="83">
        <f t="shared" si="44"/>
        <v>179</v>
      </c>
      <c r="B1285" s="232" t="s">
        <v>1032</v>
      </c>
      <c r="C1285" s="276" t="s">
        <v>854</v>
      </c>
      <c r="D1285" s="277" t="s">
        <v>1033</v>
      </c>
      <c r="E1285" s="141">
        <v>10166.700000000001</v>
      </c>
      <c r="F1285" s="278" t="s">
        <v>1033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 ht="15.95">
      <c r="A1286" s="83">
        <f t="shared" si="44"/>
        <v>180</v>
      </c>
      <c r="B1286" s="232" t="s">
        <v>1034</v>
      </c>
      <c r="C1286" s="276" t="s">
        <v>854</v>
      </c>
      <c r="D1286" s="277" t="s">
        <v>112</v>
      </c>
      <c r="E1286" s="141">
        <v>104388.75</v>
      </c>
      <c r="F1286" s="278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 ht="15.95">
      <c r="A1287" s="83">
        <f t="shared" si="44"/>
        <v>181</v>
      </c>
      <c r="B1287" s="232" t="s">
        <v>1035</v>
      </c>
      <c r="C1287" s="276" t="s">
        <v>854</v>
      </c>
      <c r="D1287" s="277" t="s">
        <v>112</v>
      </c>
      <c r="E1287" s="141">
        <v>79760</v>
      </c>
      <c r="F1287" s="278" t="s">
        <v>112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2.1">
      <c r="A1288" s="83">
        <f t="shared" si="44"/>
        <v>182</v>
      </c>
      <c r="B1288" s="232" t="s">
        <v>1036</v>
      </c>
      <c r="C1288" s="276" t="s">
        <v>854</v>
      </c>
      <c r="D1288" s="277" t="s">
        <v>207</v>
      </c>
      <c r="E1288" s="141">
        <v>62000</v>
      </c>
      <c r="F1288" s="278" t="s">
        <v>207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8">
      <c r="A1289" s="83">
        <f t="shared" si="44"/>
        <v>183</v>
      </c>
      <c r="B1289" s="232" t="s">
        <v>1037</v>
      </c>
      <c r="C1289" s="276" t="s">
        <v>854</v>
      </c>
      <c r="D1289" s="277" t="s">
        <v>112</v>
      </c>
      <c r="E1289" s="141">
        <v>152500</v>
      </c>
      <c r="F1289" s="278" t="s">
        <v>112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2.1">
      <c r="A1290" s="83">
        <f t="shared" si="44"/>
        <v>184</v>
      </c>
      <c r="B1290" s="232" t="s">
        <v>1038</v>
      </c>
      <c r="C1290" s="276" t="s">
        <v>854</v>
      </c>
      <c r="D1290" s="277" t="s">
        <v>112</v>
      </c>
      <c r="E1290" s="141">
        <v>432050</v>
      </c>
      <c r="F1290" s="278" t="s">
        <v>112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95">
      <c r="A1322" s="79"/>
      <c r="B1322" s="80" t="s">
        <v>121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95" thickBot="1">
      <c r="B1325"/>
      <c r="C1325"/>
      <c r="D1325"/>
      <c r="E1325"/>
      <c r="F1325" s="189"/>
      <c r="H1325"/>
      <c r="I1325"/>
    </row>
    <row r="1326" spans="1:10" ht="21.95" thickBot="1">
      <c r="A1326" s="131" t="s">
        <v>94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51">
      <c r="A1327" s="73" t="s">
        <v>79</v>
      </c>
      <c r="B1327" s="133" t="s">
        <v>96</v>
      </c>
      <c r="C1327" s="119" t="s">
        <v>97</v>
      </c>
      <c r="D1327" s="103" t="s">
        <v>98</v>
      </c>
      <c r="E1327" s="69" t="s">
        <v>99</v>
      </c>
      <c r="F1327" s="187" t="s">
        <v>100</v>
      </c>
      <c r="G1327" s="71" t="s">
        <v>101</v>
      </c>
      <c r="H1327" s="72" t="s">
        <v>102</v>
      </c>
      <c r="I1327" s="72" t="s">
        <v>103</v>
      </c>
      <c r="J1327" s="82" t="s">
        <v>104</v>
      </c>
    </row>
    <row r="1328" spans="1:10" ht="15.95">
      <c r="A1328" s="41">
        <v>1</v>
      </c>
      <c r="B1328" s="40" t="s">
        <v>1039</v>
      </c>
      <c r="C1328" s="37" t="s">
        <v>34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 ht="15.95">
      <c r="A1329" s="41">
        <f t="shared" ref="A1329:A1360" si="48">A1328+1</f>
        <v>2</v>
      </c>
      <c r="B1329" s="40" t="s">
        <v>1040</v>
      </c>
      <c r="C1329" s="37" t="s">
        <v>34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 ht="15.95">
      <c r="A1330" s="41">
        <f t="shared" si="48"/>
        <v>3</v>
      </c>
      <c r="B1330" s="40" t="s">
        <v>1041</v>
      </c>
      <c r="C1330" s="37" t="s">
        <v>34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 ht="15.95">
      <c r="A1331" s="41">
        <f t="shared" si="48"/>
        <v>4</v>
      </c>
      <c r="B1331" s="183" t="s">
        <v>1042</v>
      </c>
      <c r="C1331" s="37" t="s">
        <v>34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 ht="15.95">
      <c r="A1332" s="41">
        <f t="shared" si="48"/>
        <v>5</v>
      </c>
      <c r="B1332" s="183" t="s">
        <v>1043</v>
      </c>
      <c r="C1332" s="37" t="s">
        <v>34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 ht="15.95">
      <c r="A1333" s="41">
        <f t="shared" si="48"/>
        <v>6</v>
      </c>
      <c r="B1333" s="183" t="s">
        <v>1044</v>
      </c>
      <c r="C1333" s="37" t="s">
        <v>34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 ht="15.95">
      <c r="A1334" s="41">
        <f t="shared" si="48"/>
        <v>7</v>
      </c>
      <c r="B1334" s="199" t="s">
        <v>1045</v>
      </c>
      <c r="C1334" s="37" t="s">
        <v>34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 ht="15.95">
      <c r="A1335" s="41">
        <f t="shared" si="48"/>
        <v>8</v>
      </c>
      <c r="B1335" s="40" t="s">
        <v>1046</v>
      </c>
      <c r="C1335" s="37" t="s">
        <v>34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 ht="15.95">
      <c r="A1336" s="41">
        <f t="shared" si="48"/>
        <v>9</v>
      </c>
      <c r="B1336" s="183" t="s">
        <v>1047</v>
      </c>
      <c r="C1336" s="37" t="s">
        <v>34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 ht="15.95">
      <c r="A1337" s="41">
        <f t="shared" si="48"/>
        <v>10</v>
      </c>
      <c r="B1337" s="183" t="s">
        <v>1048</v>
      </c>
      <c r="C1337" s="37" t="s">
        <v>34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 ht="15.95">
      <c r="A1338" s="41">
        <f t="shared" si="48"/>
        <v>11</v>
      </c>
      <c r="B1338" s="183" t="s">
        <v>1049</v>
      </c>
      <c r="C1338" s="37" t="s">
        <v>34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 ht="15.95">
      <c r="A1339" s="41">
        <f t="shared" si="48"/>
        <v>12</v>
      </c>
      <c r="B1339" s="183" t="s">
        <v>1050</v>
      </c>
      <c r="C1339" s="37" t="s">
        <v>34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 ht="15.95">
      <c r="A1340" s="41">
        <f t="shared" si="48"/>
        <v>13</v>
      </c>
      <c r="B1340" s="183" t="s">
        <v>1051</v>
      </c>
      <c r="C1340" s="37" t="s">
        <v>34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 ht="15.95">
      <c r="A1341" s="41">
        <f t="shared" si="48"/>
        <v>14</v>
      </c>
      <c r="B1341" s="183" t="s">
        <v>1052</v>
      </c>
      <c r="C1341" s="37" t="s">
        <v>34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 ht="15.95">
      <c r="A1342" s="41">
        <f t="shared" si="48"/>
        <v>15</v>
      </c>
      <c r="B1342" s="183" t="s">
        <v>1053</v>
      </c>
      <c r="C1342" s="37" t="s">
        <v>34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 ht="15.95">
      <c r="A1343" s="41">
        <f t="shared" si="48"/>
        <v>16</v>
      </c>
      <c r="B1343" s="183" t="s">
        <v>1054</v>
      </c>
      <c r="C1343" s="37" t="s">
        <v>34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 ht="15.95">
      <c r="A1344" s="41">
        <f t="shared" si="48"/>
        <v>17</v>
      </c>
      <c r="B1344" s="183" t="s">
        <v>1055</v>
      </c>
      <c r="C1344" s="37" t="s">
        <v>34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 ht="15.95">
      <c r="A1345" s="41">
        <f t="shared" si="48"/>
        <v>18</v>
      </c>
      <c r="B1345" s="40" t="s">
        <v>1056</v>
      </c>
      <c r="C1345" s="37" t="s">
        <v>34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 ht="15.95">
      <c r="A1346" s="41">
        <f t="shared" si="48"/>
        <v>19</v>
      </c>
      <c r="B1346" s="183" t="s">
        <v>1057</v>
      </c>
      <c r="C1346" s="37" t="s">
        <v>34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 ht="15.95">
      <c r="A1347" s="41">
        <f t="shared" si="48"/>
        <v>20</v>
      </c>
      <c r="B1347" s="150" t="s">
        <v>1058</v>
      </c>
      <c r="C1347" s="37" t="s">
        <v>34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2.1">
      <c r="A1348" s="41">
        <f t="shared" si="48"/>
        <v>21</v>
      </c>
      <c r="B1348" s="150" t="s">
        <v>1059</v>
      </c>
      <c r="C1348" s="37" t="s">
        <v>34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2.1">
      <c r="A1349" s="41">
        <f t="shared" si="48"/>
        <v>22</v>
      </c>
      <c r="B1349" s="150" t="s">
        <v>1060</v>
      </c>
      <c r="C1349" s="37" t="s">
        <v>34</v>
      </c>
      <c r="D1349" s="48" t="s">
        <v>1061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2.1">
      <c r="A1350" s="41">
        <f t="shared" si="48"/>
        <v>23</v>
      </c>
      <c r="B1350" s="150" t="s">
        <v>1062</v>
      </c>
      <c r="C1350" s="37" t="s">
        <v>34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2.1">
      <c r="A1351" s="41">
        <f t="shared" si="48"/>
        <v>24</v>
      </c>
      <c r="B1351" s="150" t="s">
        <v>1064</v>
      </c>
      <c r="C1351" s="37" t="s">
        <v>34</v>
      </c>
      <c r="D1351" s="48" t="s">
        <v>1065</v>
      </c>
      <c r="E1351" s="43">
        <v>19776</v>
      </c>
      <c r="F1351" s="188" t="s">
        <v>241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2.1">
      <c r="A1352" s="41">
        <f t="shared" si="48"/>
        <v>25</v>
      </c>
      <c r="B1352" s="167" t="s">
        <v>1066</v>
      </c>
      <c r="C1352" s="37" t="s">
        <v>34</v>
      </c>
      <c r="D1352" s="48" t="s">
        <v>1063</v>
      </c>
      <c r="E1352" s="43">
        <v>16133.3</v>
      </c>
      <c r="F1352" s="188" t="s">
        <v>209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2.1">
      <c r="A1353" s="41">
        <f t="shared" si="48"/>
        <v>26</v>
      </c>
      <c r="B1353" s="167" t="s">
        <v>1067</v>
      </c>
      <c r="C1353" s="37" t="s">
        <v>34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 ht="15.95">
      <c r="A1354" s="41">
        <f t="shared" si="48"/>
        <v>27</v>
      </c>
      <c r="B1354" s="150" t="s">
        <v>35</v>
      </c>
      <c r="C1354" s="37" t="s">
        <v>34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 ht="15.95">
      <c r="A1355" s="41">
        <f t="shared" si="48"/>
        <v>28</v>
      </c>
      <c r="B1355" s="150" t="s">
        <v>36</v>
      </c>
      <c r="C1355" s="37" t="s">
        <v>34</v>
      </c>
      <c r="D1355" s="48" t="s">
        <v>241</v>
      </c>
      <c r="E1355" s="43">
        <v>4180</v>
      </c>
      <c r="F1355" s="188" t="s">
        <v>241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 ht="15.95">
      <c r="A1356" s="41">
        <f t="shared" si="48"/>
        <v>29</v>
      </c>
      <c r="B1356" s="167" t="s">
        <v>1070</v>
      </c>
      <c r="C1356" s="37" t="s">
        <v>34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34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34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34</v>
      </c>
      <c r="D1359" s="97" t="s">
        <v>242</v>
      </c>
      <c r="E1359" s="43">
        <v>0</v>
      </c>
      <c r="F1359" s="188" t="s">
        <v>242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 ht="15.95">
      <c r="A1360" s="41">
        <f t="shared" si="48"/>
        <v>33</v>
      </c>
      <c r="B1360" s="183" t="s">
        <v>1074</v>
      </c>
      <c r="C1360" s="37" t="s">
        <v>34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2.1">
      <c r="A1361" s="41">
        <f t="shared" ref="A1361:A1392" si="50">A1360+1</f>
        <v>34</v>
      </c>
      <c r="B1361" s="184" t="s">
        <v>1075</v>
      </c>
      <c r="C1361" s="37" t="s">
        <v>34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2.1">
      <c r="A1362" s="41">
        <f t="shared" si="50"/>
        <v>35</v>
      </c>
      <c r="B1362" s="184" t="s">
        <v>1076</v>
      </c>
      <c r="C1362" s="37" t="s">
        <v>34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2.1">
      <c r="A1363" s="41">
        <f t="shared" si="50"/>
        <v>36</v>
      </c>
      <c r="B1363" s="167" t="s">
        <v>1077</v>
      </c>
      <c r="C1363" s="37" t="s">
        <v>34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2.1">
      <c r="A1364" s="41">
        <f t="shared" si="50"/>
        <v>37</v>
      </c>
      <c r="B1364" s="167" t="s">
        <v>1078</v>
      </c>
      <c r="C1364" s="37" t="s">
        <v>34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 ht="15.95">
      <c r="A1365" s="41">
        <f t="shared" si="50"/>
        <v>38</v>
      </c>
      <c r="B1365" s="184" t="s">
        <v>1079</v>
      </c>
      <c r="C1365" s="37" t="s">
        <v>34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 ht="15.95">
      <c r="A1366" s="41">
        <f t="shared" si="50"/>
        <v>39</v>
      </c>
      <c r="B1366" s="167" t="s">
        <v>1080</v>
      </c>
      <c r="C1366" s="37" t="s">
        <v>34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 ht="15.95">
      <c r="A1367" s="41">
        <f t="shared" si="50"/>
        <v>40</v>
      </c>
      <c r="B1367" s="169" t="s">
        <v>1081</v>
      </c>
      <c r="C1367" s="37" t="s">
        <v>34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2.1">
      <c r="A1368" s="41">
        <f t="shared" si="50"/>
        <v>41</v>
      </c>
      <c r="B1368" s="184" t="s">
        <v>1082</v>
      </c>
      <c r="C1368" s="37" t="s">
        <v>34</v>
      </c>
      <c r="D1368" s="48" t="s">
        <v>1083</v>
      </c>
      <c r="E1368" s="43">
        <v>23233.4</v>
      </c>
      <c r="F1368" s="188" t="s">
        <v>1033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2.1">
      <c r="A1369" s="41">
        <f t="shared" si="50"/>
        <v>42</v>
      </c>
      <c r="B1369" s="184" t="s">
        <v>1084</v>
      </c>
      <c r="C1369" s="37" t="s">
        <v>34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2.1">
      <c r="A1370" s="41">
        <f t="shared" si="50"/>
        <v>43</v>
      </c>
      <c r="B1370" s="184" t="s">
        <v>1085</v>
      </c>
      <c r="C1370" s="37" t="s">
        <v>34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 ht="15.95">
      <c r="A1371" s="41">
        <f t="shared" si="50"/>
        <v>44</v>
      </c>
      <c r="B1371" s="167" t="s">
        <v>1086</v>
      </c>
      <c r="C1371" s="37" t="s">
        <v>34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2.1">
      <c r="A1372" s="41">
        <f t="shared" si="50"/>
        <v>45</v>
      </c>
      <c r="B1372" s="169" t="s">
        <v>1087</v>
      </c>
      <c r="C1372" s="37" t="s">
        <v>34</v>
      </c>
      <c r="D1372" s="58" t="s">
        <v>239</v>
      </c>
      <c r="E1372" s="62">
        <v>867804</v>
      </c>
      <c r="F1372" s="191" t="s">
        <v>239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2.1">
      <c r="A1373" s="41">
        <f t="shared" si="50"/>
        <v>46</v>
      </c>
      <c r="B1373" s="40" t="s">
        <v>1088</v>
      </c>
      <c r="C1373" s="161" t="s">
        <v>34</v>
      </c>
      <c r="D1373" s="297" t="s">
        <v>239</v>
      </c>
      <c r="E1373" s="62">
        <v>1097662</v>
      </c>
      <c r="F1373" s="191" t="s">
        <v>239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34</v>
      </c>
      <c r="D1374" s="290" t="s">
        <v>112</v>
      </c>
      <c r="E1374" s="62"/>
      <c r="F1374" s="191" t="s">
        <v>112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34</v>
      </c>
      <c r="D1375" s="290" t="s">
        <v>112</v>
      </c>
      <c r="E1375" s="62"/>
      <c r="F1375" s="191" t="s">
        <v>112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34</v>
      </c>
      <c r="D1376" s="290" t="s">
        <v>112</v>
      </c>
      <c r="E1376" s="62"/>
      <c r="F1376" s="191" t="s">
        <v>112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34</v>
      </c>
      <c r="D1377" s="290" t="s">
        <v>112</v>
      </c>
      <c r="E1377" s="62"/>
      <c r="F1377" s="191" t="s">
        <v>112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34</v>
      </c>
      <c r="D1378" s="290" t="s">
        <v>112</v>
      </c>
      <c r="E1378" s="62"/>
      <c r="F1378" s="191" t="s">
        <v>112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34</v>
      </c>
      <c r="D1379" s="291" t="s">
        <v>112</v>
      </c>
      <c r="E1379" s="43"/>
      <c r="F1379" s="188" t="s">
        <v>112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34</v>
      </c>
      <c r="D1380" s="292" t="s">
        <v>112</v>
      </c>
      <c r="E1380" s="166"/>
      <c r="F1380" s="192" t="s">
        <v>112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34</v>
      </c>
      <c r="D1381" s="292" t="s">
        <v>112</v>
      </c>
      <c r="E1381" s="166"/>
      <c r="F1381" s="192" t="s">
        <v>112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34</v>
      </c>
      <c r="D1382" s="293" t="s">
        <v>112</v>
      </c>
      <c r="E1382" s="222"/>
      <c r="F1382" s="193" t="s">
        <v>112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34</v>
      </c>
      <c r="D1383" s="10" t="s">
        <v>112</v>
      </c>
      <c r="E1383" s="222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34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34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34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34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34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34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34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34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34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34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34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34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34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32.1">
      <c r="A1397" s="283">
        <f t="shared" si="52"/>
        <v>70</v>
      </c>
      <c r="B1397" s="285" t="s">
        <v>1112</v>
      </c>
      <c r="C1397" s="219" t="s">
        <v>34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 ht="15.95">
      <c r="A1398" s="283">
        <f t="shared" si="52"/>
        <v>71</v>
      </c>
      <c r="B1398" s="285" t="s">
        <v>1113</v>
      </c>
      <c r="C1398" s="219" t="s">
        <v>34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 ht="15.95">
      <c r="A1399" s="283">
        <f t="shared" si="52"/>
        <v>72</v>
      </c>
      <c r="B1399" s="232" t="s">
        <v>1115</v>
      </c>
      <c r="C1399" s="219" t="s">
        <v>34</v>
      </c>
      <c r="D1399" s="248" t="s">
        <v>112</v>
      </c>
      <c r="E1399" s="166">
        <v>19073</v>
      </c>
      <c r="F1399" s="193" t="s">
        <v>112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2.1">
      <c r="A1400" s="283">
        <f t="shared" si="52"/>
        <v>73</v>
      </c>
      <c r="B1400" s="285" t="s">
        <v>1116</v>
      </c>
      <c r="C1400" s="219" t="s">
        <v>34</v>
      </c>
      <c r="D1400" s="248" t="s">
        <v>112</v>
      </c>
      <c r="E1400" s="166">
        <v>866.66499999999996</v>
      </c>
      <c r="F1400" s="193" t="s">
        <v>112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 ht="15.95">
      <c r="A1401" s="283">
        <f t="shared" si="52"/>
        <v>74</v>
      </c>
      <c r="B1401" s="285" t="s">
        <v>1117</v>
      </c>
      <c r="C1401" s="219" t="s">
        <v>34</v>
      </c>
      <c r="D1401" s="248" t="s">
        <v>1069</v>
      </c>
      <c r="E1401" s="166">
        <v>513.33285714285716</v>
      </c>
      <c r="F1401" s="193" t="s">
        <v>1069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 ht="15.95">
      <c r="A1402" s="283">
        <f t="shared" si="52"/>
        <v>75</v>
      </c>
      <c r="B1402" s="232" t="s">
        <v>1118</v>
      </c>
      <c r="C1402" s="219" t="s">
        <v>34</v>
      </c>
      <c r="D1402" s="248" t="s">
        <v>112</v>
      </c>
      <c r="E1402" s="166">
        <v>19000</v>
      </c>
      <c r="F1402" s="193" t="s">
        <v>112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 ht="15.95">
      <c r="A1403" s="283">
        <f t="shared" si="52"/>
        <v>76</v>
      </c>
      <c r="B1403" s="285" t="s">
        <v>1119</v>
      </c>
      <c r="C1403" s="219" t="s">
        <v>34</v>
      </c>
      <c r="D1403" s="248" t="s">
        <v>112</v>
      </c>
      <c r="E1403" s="166">
        <v>3800</v>
      </c>
      <c r="F1403" s="193" t="s">
        <v>112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2.1">
      <c r="A1404" s="283">
        <f t="shared" si="52"/>
        <v>77</v>
      </c>
      <c r="B1404" s="285" t="s">
        <v>1120</v>
      </c>
      <c r="C1404" s="219" t="s">
        <v>34</v>
      </c>
      <c r="D1404" s="248" t="s">
        <v>175</v>
      </c>
      <c r="E1404" s="166">
        <v>3200</v>
      </c>
      <c r="F1404" s="193" t="s">
        <v>175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 ht="15.95">
      <c r="A1405" s="283">
        <f t="shared" si="52"/>
        <v>78</v>
      </c>
      <c r="B1405" s="287" t="s">
        <v>1121</v>
      </c>
      <c r="C1405" s="219" t="s">
        <v>34</v>
      </c>
      <c r="D1405" s="248" t="s">
        <v>217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34</v>
      </c>
      <c r="D1406" s="10" t="s">
        <v>362</v>
      </c>
      <c r="E1406" s="222"/>
      <c r="F1406" s="293" t="s">
        <v>362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34</v>
      </c>
      <c r="D1407" s="10" t="s">
        <v>362</v>
      </c>
      <c r="E1407" s="166"/>
      <c r="F1407" s="10" t="s">
        <v>362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34</v>
      </c>
      <c r="D1408" s="10" t="s">
        <v>362</v>
      </c>
      <c r="E1408" s="166"/>
      <c r="F1408" s="10" t="s">
        <v>362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34</v>
      </c>
      <c r="D1409" s="10" t="s">
        <v>362</v>
      </c>
      <c r="E1409" s="166"/>
      <c r="F1409" s="10" t="s">
        <v>362</v>
      </c>
      <c r="H1409" s="249">
        <v>1</v>
      </c>
      <c r="I1409" s="249">
        <v>1</v>
      </c>
      <c r="J1409" s="88" t="str">
        <f t="shared" si="51"/>
        <v>ICO082</v>
      </c>
    </row>
    <row r="1410" spans="1:10" ht="15.95">
      <c r="A1410" s="283">
        <f t="shared" si="52"/>
        <v>83</v>
      </c>
      <c r="B1410" s="154" t="s">
        <v>1126</v>
      </c>
      <c r="C1410" s="219" t="s">
        <v>34</v>
      </c>
      <c r="D1410" s="248" t="s">
        <v>112</v>
      </c>
      <c r="E1410" s="166">
        <v>6013.33</v>
      </c>
      <c r="F1410" s="273" t="s">
        <v>112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 ht="15.95">
      <c r="A1411" s="283">
        <f t="shared" si="52"/>
        <v>84</v>
      </c>
      <c r="B1411" s="232" t="s">
        <v>1127</v>
      </c>
      <c r="C1411" s="219" t="s">
        <v>34</v>
      </c>
      <c r="D1411" s="248" t="s">
        <v>112</v>
      </c>
      <c r="E1411" s="166">
        <v>1101.5</v>
      </c>
      <c r="F1411" s="273" t="s">
        <v>112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 ht="15.95">
      <c r="A1412" s="283">
        <f t="shared" si="52"/>
        <v>85</v>
      </c>
      <c r="B1412" s="232" t="s">
        <v>1128</v>
      </c>
      <c r="C1412" s="219" t="s">
        <v>34</v>
      </c>
      <c r="D1412" s="248" t="s">
        <v>112</v>
      </c>
      <c r="E1412" s="166">
        <v>11100</v>
      </c>
      <c r="F1412" s="273" t="s">
        <v>112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34</v>
      </c>
      <c r="D1413" s="10" t="s">
        <v>362</v>
      </c>
      <c r="E1413" s="166"/>
      <c r="F1413" s="10" t="s">
        <v>362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34</v>
      </c>
      <c r="D1414" s="10" t="s">
        <v>362</v>
      </c>
      <c r="E1414" s="166"/>
      <c r="F1414" s="10" t="s">
        <v>362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34</v>
      </c>
      <c r="D1415" s="10" t="s">
        <v>362</v>
      </c>
      <c r="E1415" s="222"/>
      <c r="F1415" s="10" t="s">
        <v>362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4">
      <c r="A1426" s="137" t="s">
        <v>94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51">
      <c r="A1427" s="134" t="s">
        <v>79</v>
      </c>
      <c r="B1427" s="68" t="s">
        <v>96</v>
      </c>
      <c r="C1427" s="119" t="s">
        <v>97</v>
      </c>
      <c r="D1427" s="135" t="s">
        <v>98</v>
      </c>
      <c r="E1427" s="59" t="s">
        <v>99</v>
      </c>
      <c r="F1427" s="195" t="s">
        <v>100</v>
      </c>
      <c r="G1427" s="60" t="s">
        <v>101</v>
      </c>
      <c r="H1427" s="61" t="s">
        <v>102</v>
      </c>
      <c r="I1427" s="61" t="s">
        <v>103</v>
      </c>
      <c r="J1427" s="64" t="s">
        <v>104</v>
      </c>
    </row>
    <row r="1428" spans="1:10" ht="15.95">
      <c r="A1428" s="41">
        <v>1</v>
      </c>
      <c r="B1428" s="42" t="s">
        <v>1132</v>
      </c>
      <c r="C1428" s="219" t="s">
        <v>59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 ht="15.95">
      <c r="A1429" s="41">
        <f t="shared" ref="A1429:A1473" si="54">A1428+1</f>
        <v>2</v>
      </c>
      <c r="B1429" s="42" t="s">
        <v>1134</v>
      </c>
      <c r="C1429" s="219" t="s">
        <v>59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 ht="15.95">
      <c r="A1430" s="41">
        <f t="shared" si="54"/>
        <v>3</v>
      </c>
      <c r="B1430" s="36" t="s">
        <v>1135</v>
      </c>
      <c r="C1430" s="219" t="s">
        <v>59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 ht="15.95">
      <c r="A1431" s="41">
        <f t="shared" si="54"/>
        <v>4</v>
      </c>
      <c r="B1431" s="42" t="s">
        <v>1136</v>
      </c>
      <c r="C1431" s="219" t="s">
        <v>59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 ht="15.95">
      <c r="A1432" s="41">
        <f t="shared" si="54"/>
        <v>5</v>
      </c>
      <c r="B1432" s="42" t="s">
        <v>1137</v>
      </c>
      <c r="C1432" s="219" t="s">
        <v>59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 ht="15.95">
      <c r="A1433" s="41">
        <f t="shared" si="54"/>
        <v>6</v>
      </c>
      <c r="B1433" s="42" t="s">
        <v>1138</v>
      </c>
      <c r="C1433" s="219" t="s">
        <v>59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 ht="15.95">
      <c r="A1434" s="41">
        <f t="shared" si="54"/>
        <v>7</v>
      </c>
      <c r="B1434" s="42" t="s">
        <v>1139</v>
      </c>
      <c r="C1434" s="219" t="s">
        <v>59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 ht="15.95">
      <c r="A1435" s="41">
        <f t="shared" si="54"/>
        <v>8</v>
      </c>
      <c r="B1435" s="42" t="s">
        <v>1140</v>
      </c>
      <c r="C1435" s="219" t="s">
        <v>59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 ht="15.95">
      <c r="A1436" s="41">
        <f t="shared" si="54"/>
        <v>9</v>
      </c>
      <c r="B1436" s="36" t="s">
        <v>1141</v>
      </c>
      <c r="C1436" s="219" t="s">
        <v>59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 ht="15.95">
      <c r="A1437" s="41">
        <f t="shared" si="54"/>
        <v>10</v>
      </c>
      <c r="B1437" s="42" t="s">
        <v>1142</v>
      </c>
      <c r="C1437" s="219" t="s">
        <v>59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 ht="15.95">
      <c r="A1438" s="41">
        <f t="shared" si="54"/>
        <v>11</v>
      </c>
      <c r="B1438" s="42" t="s">
        <v>1143</v>
      </c>
      <c r="C1438" s="219" t="s">
        <v>59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 ht="15.95">
      <c r="A1439" s="41">
        <f t="shared" si="54"/>
        <v>12</v>
      </c>
      <c r="B1439" s="42" t="s">
        <v>1144</v>
      </c>
      <c r="C1439" s="219" t="s">
        <v>59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 ht="15.95">
      <c r="A1440" s="41">
        <f t="shared" si="54"/>
        <v>13</v>
      </c>
      <c r="B1440" s="42" t="s">
        <v>1145</v>
      </c>
      <c r="C1440" s="219" t="s">
        <v>59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 ht="15.95">
      <c r="A1441" s="41">
        <f t="shared" si="54"/>
        <v>14</v>
      </c>
      <c r="B1441" s="42" t="s">
        <v>1146</v>
      </c>
      <c r="C1441" s="219" t="s">
        <v>59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 ht="15.95">
      <c r="A1442" s="41">
        <f t="shared" si="54"/>
        <v>15</v>
      </c>
      <c r="B1442" s="36" t="s">
        <v>1147</v>
      </c>
      <c r="C1442" s="219" t="s">
        <v>59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 ht="15.95">
      <c r="A1443" s="41">
        <f t="shared" si="54"/>
        <v>16</v>
      </c>
      <c r="B1443" s="36" t="s">
        <v>1148</v>
      </c>
      <c r="C1443" s="219" t="s">
        <v>59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 ht="15.95">
      <c r="A1444" s="41">
        <f t="shared" si="54"/>
        <v>17</v>
      </c>
      <c r="B1444" s="36" t="s">
        <v>1149</v>
      </c>
      <c r="C1444" s="219" t="s">
        <v>59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15.95">
      <c r="A1445" s="41">
        <f t="shared" si="54"/>
        <v>18</v>
      </c>
      <c r="B1445" s="36" t="s">
        <v>1150</v>
      </c>
      <c r="C1445" s="219" t="s">
        <v>59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2.1">
      <c r="A1446" s="41">
        <f t="shared" si="54"/>
        <v>19</v>
      </c>
      <c r="B1446" s="36" t="s">
        <v>1151</v>
      </c>
      <c r="C1446" s="219" t="s">
        <v>59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 ht="15.95">
      <c r="A1447" s="41">
        <f t="shared" si="54"/>
        <v>20</v>
      </c>
      <c r="B1447" s="42" t="s">
        <v>1152</v>
      </c>
      <c r="C1447" s="219" t="s">
        <v>59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 ht="15.95">
      <c r="A1448" s="41">
        <f t="shared" si="54"/>
        <v>21</v>
      </c>
      <c r="B1448" s="42" t="s">
        <v>1153</v>
      </c>
      <c r="C1448" s="219" t="s">
        <v>59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 ht="15.95">
      <c r="A1449" s="41">
        <f t="shared" si="54"/>
        <v>22</v>
      </c>
      <c r="B1449" s="42" t="s">
        <v>1154</v>
      </c>
      <c r="C1449" s="219" t="s">
        <v>59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 ht="15.95">
      <c r="A1450" s="41">
        <f t="shared" si="54"/>
        <v>23</v>
      </c>
      <c r="B1450" s="42" t="s">
        <v>1155</v>
      </c>
      <c r="C1450" s="219" t="s">
        <v>59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 ht="15.95">
      <c r="A1451" s="41">
        <f t="shared" si="54"/>
        <v>24</v>
      </c>
      <c r="B1451" s="42" t="s">
        <v>1156</v>
      </c>
      <c r="C1451" s="219" t="s">
        <v>59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 ht="15.95">
      <c r="A1452" s="41">
        <f t="shared" si="54"/>
        <v>25</v>
      </c>
      <c r="B1452" s="42" t="s">
        <v>1157</v>
      </c>
      <c r="C1452" s="219" t="s">
        <v>59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 ht="15.95">
      <c r="A1453" s="41">
        <f t="shared" si="54"/>
        <v>26</v>
      </c>
      <c r="B1453" s="42" t="s">
        <v>1158</v>
      </c>
      <c r="C1453" s="219" t="s">
        <v>59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 ht="15.95">
      <c r="A1454" s="41">
        <f t="shared" si="54"/>
        <v>27</v>
      </c>
      <c r="B1454" s="42" t="s">
        <v>1159</v>
      </c>
      <c r="C1454" s="219" t="s">
        <v>59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 ht="15.95">
      <c r="A1455" s="41">
        <f t="shared" si="54"/>
        <v>28</v>
      </c>
      <c r="B1455" s="42" t="s">
        <v>1160</v>
      </c>
      <c r="C1455" s="219" t="s">
        <v>59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 ht="15.95">
      <c r="A1456" s="41">
        <f t="shared" si="54"/>
        <v>29</v>
      </c>
      <c r="B1456" s="42" t="s">
        <v>1161</v>
      </c>
      <c r="C1456" s="219" t="s">
        <v>59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 ht="15.95">
      <c r="A1457" s="41">
        <f t="shared" si="54"/>
        <v>30</v>
      </c>
      <c r="B1457" s="42" t="s">
        <v>1162</v>
      </c>
      <c r="C1457" s="219" t="s">
        <v>59</v>
      </c>
      <c r="D1457" s="48" t="s">
        <v>1069</v>
      </c>
      <c r="E1457" s="43">
        <v>3145</v>
      </c>
      <c r="F1457" s="188" t="s">
        <v>245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 ht="15.95">
      <c r="A1458" s="41">
        <f t="shared" si="54"/>
        <v>31</v>
      </c>
      <c r="B1458" s="42" t="s">
        <v>1163</v>
      </c>
      <c r="C1458" s="219" t="s">
        <v>59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 ht="15.95">
      <c r="A1459" s="41">
        <f t="shared" si="54"/>
        <v>32</v>
      </c>
      <c r="B1459" s="42" t="s">
        <v>1164</v>
      </c>
      <c r="C1459" s="219" t="s">
        <v>59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 ht="15.95">
      <c r="A1460" s="41">
        <f t="shared" si="54"/>
        <v>33</v>
      </c>
      <c r="B1460" s="42" t="s">
        <v>1165</v>
      </c>
      <c r="C1460" s="219" t="s">
        <v>59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 ht="15.95">
      <c r="A1461" s="41">
        <f t="shared" si="54"/>
        <v>34</v>
      </c>
      <c r="B1461" s="42" t="s">
        <v>1166</v>
      </c>
      <c r="C1461" s="219" t="s">
        <v>59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 ht="15.95">
      <c r="A1462" s="41">
        <f t="shared" si="54"/>
        <v>35</v>
      </c>
      <c r="B1462" s="42" t="s">
        <v>1167</v>
      </c>
      <c r="C1462" s="219" t="s">
        <v>59</v>
      </c>
      <c r="D1462" s="48" t="s">
        <v>217</v>
      </c>
      <c r="E1462" s="43">
        <v>98275.666666666672</v>
      </c>
      <c r="F1462" s="188" t="s">
        <v>217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 ht="15.95">
      <c r="A1463" s="41">
        <f t="shared" si="54"/>
        <v>36</v>
      </c>
      <c r="B1463" s="42" t="s">
        <v>1168</v>
      </c>
      <c r="C1463" s="219" t="s">
        <v>59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 ht="15.95">
      <c r="A1464" s="41">
        <f t="shared" si="54"/>
        <v>37</v>
      </c>
      <c r="B1464" s="42" t="s">
        <v>1169</v>
      </c>
      <c r="C1464" s="219" t="s">
        <v>59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 ht="15.95">
      <c r="A1465" s="41">
        <f t="shared" si="54"/>
        <v>38</v>
      </c>
      <c r="B1465" s="42" t="s">
        <v>1170</v>
      </c>
      <c r="C1465" s="219" t="s">
        <v>59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 ht="15.95">
      <c r="A1466" s="41">
        <f t="shared" si="54"/>
        <v>39</v>
      </c>
      <c r="B1466" s="42" t="s">
        <v>1171</v>
      </c>
      <c r="C1466" s="219" t="s">
        <v>59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 ht="15.95">
      <c r="A1467" s="41">
        <f t="shared" si="54"/>
        <v>40</v>
      </c>
      <c r="B1467" s="42" t="s">
        <v>1172</v>
      </c>
      <c r="C1467" s="219" t="s">
        <v>59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 ht="15.95">
      <c r="A1468" s="41">
        <f t="shared" si="54"/>
        <v>41</v>
      </c>
      <c r="B1468" s="42" t="s">
        <v>1173</v>
      </c>
      <c r="C1468" s="219" t="s">
        <v>59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 ht="15.95">
      <c r="A1469" s="41">
        <f t="shared" si="54"/>
        <v>42</v>
      </c>
      <c r="B1469" s="42" t="s">
        <v>1174</v>
      </c>
      <c r="C1469" s="219" t="s">
        <v>59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 ht="15.95">
      <c r="A1470" s="41">
        <f t="shared" si="54"/>
        <v>43</v>
      </c>
      <c r="B1470" s="42" t="s">
        <v>1175</v>
      </c>
      <c r="C1470" s="219" t="s">
        <v>59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 ht="15.95">
      <c r="A1471" s="41">
        <f t="shared" si="54"/>
        <v>44</v>
      </c>
      <c r="B1471" s="42" t="s">
        <v>1176</v>
      </c>
      <c r="C1471" s="219" t="s">
        <v>59</v>
      </c>
      <c r="D1471" s="48" t="s">
        <v>239</v>
      </c>
      <c r="E1471" s="43">
        <v>90973.666666666672</v>
      </c>
      <c r="F1471" s="188" t="s">
        <v>245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 ht="15.95">
      <c r="A1472" s="41">
        <f t="shared" si="54"/>
        <v>45</v>
      </c>
      <c r="B1472" s="42" t="s">
        <v>1177</v>
      </c>
      <c r="C1472" s="219" t="s">
        <v>59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 ht="15.95">
      <c r="A1473" s="41">
        <f t="shared" si="54"/>
        <v>46</v>
      </c>
      <c r="B1473" s="42" t="s">
        <v>1178</v>
      </c>
      <c r="C1473" s="219" t="s">
        <v>59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 ht="15.95">
      <c r="A1474" s="41">
        <f t="shared" ref="A1474:A1510" si="56">A1473+1</f>
        <v>47</v>
      </c>
      <c r="B1474" s="42" t="s">
        <v>1179</v>
      </c>
      <c r="C1474" s="219" t="s">
        <v>59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 ht="15.95">
      <c r="A1475" s="41">
        <f t="shared" si="56"/>
        <v>48</v>
      </c>
      <c r="B1475" s="42" t="s">
        <v>1180</v>
      </c>
      <c r="C1475" s="219" t="s">
        <v>59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 ht="15.95">
      <c r="A1476" s="41">
        <f t="shared" si="56"/>
        <v>49</v>
      </c>
      <c r="B1476" s="42" t="s">
        <v>1181</v>
      </c>
      <c r="C1476" s="219" t="s">
        <v>59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 ht="15.95">
      <c r="A1477" s="41">
        <f t="shared" si="56"/>
        <v>50</v>
      </c>
      <c r="B1477" s="42" t="s">
        <v>1182</v>
      </c>
      <c r="C1477" s="219" t="s">
        <v>59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 ht="15.95">
      <c r="A1478" s="41">
        <f t="shared" si="56"/>
        <v>51</v>
      </c>
      <c r="B1478" s="42" t="s">
        <v>1183</v>
      </c>
      <c r="C1478" s="219" t="s">
        <v>59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 ht="15.95">
      <c r="A1479" s="41">
        <f t="shared" si="56"/>
        <v>52</v>
      </c>
      <c r="B1479" s="42" t="s">
        <v>1184</v>
      </c>
      <c r="C1479" s="219" t="s">
        <v>59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 ht="15.95">
      <c r="A1480" s="41">
        <f t="shared" si="56"/>
        <v>53</v>
      </c>
      <c r="B1480" s="42" t="s">
        <v>1185</v>
      </c>
      <c r="C1480" s="219" t="s">
        <v>59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32.1">
      <c r="A1481" s="41">
        <f t="shared" si="56"/>
        <v>54</v>
      </c>
      <c r="B1481" s="42" t="s">
        <v>1186</v>
      </c>
      <c r="C1481" s="219" t="s">
        <v>59</v>
      </c>
      <c r="D1481" s="48" t="s">
        <v>209</v>
      </c>
      <c r="E1481" s="43">
        <v>3130</v>
      </c>
      <c r="F1481" s="188" t="s">
        <v>209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8">
      <c r="A1482" s="41">
        <f t="shared" si="56"/>
        <v>55</v>
      </c>
      <c r="B1482" s="42" t="s">
        <v>1187</v>
      </c>
      <c r="C1482" s="219" t="s">
        <v>59</v>
      </c>
      <c r="D1482" s="48" t="s">
        <v>209</v>
      </c>
      <c r="E1482" s="43">
        <v>5010</v>
      </c>
      <c r="F1482" s="188" t="s">
        <v>209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 ht="15.95">
      <c r="A1483" s="41">
        <f t="shared" si="56"/>
        <v>56</v>
      </c>
      <c r="B1483" s="42" t="s">
        <v>1188</v>
      </c>
      <c r="C1483" s="219" t="s">
        <v>59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 ht="15.95">
      <c r="A1484" s="41">
        <f t="shared" si="56"/>
        <v>57</v>
      </c>
      <c r="B1484" s="42" t="s">
        <v>1189</v>
      </c>
      <c r="C1484" s="219" t="s">
        <v>59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 ht="15.95">
      <c r="A1485" s="41">
        <f t="shared" si="56"/>
        <v>58</v>
      </c>
      <c r="B1485" s="42" t="s">
        <v>1191</v>
      </c>
      <c r="C1485" s="219" t="s">
        <v>59</v>
      </c>
      <c r="D1485" s="48" t="s">
        <v>241</v>
      </c>
      <c r="E1485" s="43">
        <v>107770</v>
      </c>
      <c r="F1485" s="188" t="s">
        <v>241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 ht="15.95">
      <c r="A1486" s="41">
        <f t="shared" si="56"/>
        <v>59</v>
      </c>
      <c r="B1486" s="42" t="s">
        <v>1192</v>
      </c>
      <c r="C1486" s="219" t="s">
        <v>59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 ht="15.95">
      <c r="A1487" s="41">
        <f t="shared" si="56"/>
        <v>60</v>
      </c>
      <c r="B1487" s="42" t="s">
        <v>1193</v>
      </c>
      <c r="C1487" s="219" t="s">
        <v>59</v>
      </c>
      <c r="D1487" s="48" t="s">
        <v>209</v>
      </c>
      <c r="E1487" s="43">
        <v>21800</v>
      </c>
      <c r="F1487" s="188" t="s">
        <v>209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 ht="15.95">
      <c r="A1488" s="41">
        <f t="shared" si="56"/>
        <v>61</v>
      </c>
      <c r="B1488" s="42" t="s">
        <v>1194</v>
      </c>
      <c r="C1488" s="219" t="s">
        <v>59</v>
      </c>
      <c r="D1488" s="48" t="s">
        <v>1069</v>
      </c>
      <c r="E1488" s="43">
        <v>9196.3666666666668</v>
      </c>
      <c r="F1488" s="188" t="s">
        <v>245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 ht="15.95">
      <c r="A1489" s="41">
        <f t="shared" si="56"/>
        <v>62</v>
      </c>
      <c r="B1489" s="42" t="s">
        <v>1195</v>
      </c>
      <c r="C1489" s="219" t="s">
        <v>59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 ht="15.95">
      <c r="A1490" s="41">
        <f t="shared" si="56"/>
        <v>63</v>
      </c>
      <c r="B1490" s="42" t="s">
        <v>1196</v>
      </c>
      <c r="C1490" s="219" t="s">
        <v>59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 ht="15.95">
      <c r="A1491" s="41">
        <f t="shared" si="56"/>
        <v>64</v>
      </c>
      <c r="B1491" s="42" t="s">
        <v>1197</v>
      </c>
      <c r="C1491" s="219" t="s">
        <v>59</v>
      </c>
      <c r="D1491" s="48" t="s">
        <v>241</v>
      </c>
      <c r="E1491" s="43">
        <v>38155</v>
      </c>
      <c r="F1491" s="188" t="s">
        <v>241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 ht="15.95">
      <c r="A1492" s="41">
        <f t="shared" si="56"/>
        <v>65</v>
      </c>
      <c r="B1492" s="42" t="s">
        <v>1198</v>
      </c>
      <c r="C1492" s="219" t="s">
        <v>59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 ht="15.95">
      <c r="A1493" s="41">
        <f t="shared" si="56"/>
        <v>66</v>
      </c>
      <c r="B1493" s="42" t="s">
        <v>1199</v>
      </c>
      <c r="C1493" s="219" t="s">
        <v>59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 ht="15.95">
      <c r="A1494" s="41">
        <f t="shared" si="56"/>
        <v>67</v>
      </c>
      <c r="B1494" s="42" t="s">
        <v>1200</v>
      </c>
      <c r="C1494" s="219" t="s">
        <v>59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 ht="15.95">
      <c r="A1495" s="41">
        <f t="shared" si="56"/>
        <v>68</v>
      </c>
      <c r="B1495" s="42" t="s">
        <v>1202</v>
      </c>
      <c r="C1495" s="219" t="s">
        <v>59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 ht="15.95">
      <c r="A1496" s="41">
        <f t="shared" si="56"/>
        <v>69</v>
      </c>
      <c r="B1496" s="42" t="s">
        <v>1203</v>
      </c>
      <c r="C1496" s="219" t="s">
        <v>59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 ht="15.95">
      <c r="A1497" s="41">
        <f t="shared" si="56"/>
        <v>70</v>
      </c>
      <c r="B1497" s="42" t="s">
        <v>1204</v>
      </c>
      <c r="C1497" s="219" t="s">
        <v>59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 ht="15.95">
      <c r="A1498" s="41">
        <f t="shared" si="56"/>
        <v>71</v>
      </c>
      <c r="B1498" s="42" t="s">
        <v>1205</v>
      </c>
      <c r="C1498" s="219" t="s">
        <v>59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 ht="15.95">
      <c r="A1499" s="41">
        <f t="shared" si="56"/>
        <v>72</v>
      </c>
      <c r="B1499" s="42" t="s">
        <v>1206</v>
      </c>
      <c r="C1499" s="219" t="s">
        <v>59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 ht="15.95">
      <c r="A1500" s="41">
        <f t="shared" si="56"/>
        <v>73</v>
      </c>
      <c r="B1500" s="42" t="s">
        <v>1207</v>
      </c>
      <c r="C1500" s="219" t="s">
        <v>59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 ht="15.95">
      <c r="A1501" s="41">
        <f t="shared" si="56"/>
        <v>74</v>
      </c>
      <c r="B1501" s="42" t="s">
        <v>1208</v>
      </c>
      <c r="C1501" s="219" t="s">
        <v>59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 ht="15.95">
      <c r="A1502" s="41">
        <f t="shared" si="56"/>
        <v>75</v>
      </c>
      <c r="B1502" s="36" t="s">
        <v>1209</v>
      </c>
      <c r="C1502" s="219" t="s">
        <v>59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15.95">
      <c r="A1503" s="41">
        <f t="shared" si="56"/>
        <v>76</v>
      </c>
      <c r="B1503" s="42" t="s">
        <v>1210</v>
      </c>
      <c r="C1503" s="219" t="s">
        <v>59</v>
      </c>
      <c r="D1503" s="48" t="s">
        <v>217</v>
      </c>
      <c r="E1503" s="43">
        <v>45500</v>
      </c>
      <c r="F1503" s="188" t="s">
        <v>217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15.95">
      <c r="A1504" s="41">
        <f t="shared" si="56"/>
        <v>77</v>
      </c>
      <c r="B1504" s="42" t="s">
        <v>1211</v>
      </c>
      <c r="C1504" s="219" t="s">
        <v>59</v>
      </c>
      <c r="D1504" s="48" t="s">
        <v>217</v>
      </c>
      <c r="E1504" s="43">
        <v>44156.666666666664</v>
      </c>
      <c r="F1504" s="188" t="s">
        <v>217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 ht="15.95">
      <c r="A1505" s="41">
        <f t="shared" si="56"/>
        <v>78</v>
      </c>
      <c r="B1505" s="42" t="s">
        <v>1212</v>
      </c>
      <c r="C1505" s="219" t="s">
        <v>59</v>
      </c>
      <c r="D1505" s="48" t="s">
        <v>217</v>
      </c>
      <c r="E1505" s="43">
        <v>43333.333333333336</v>
      </c>
      <c r="F1505" s="188" t="s">
        <v>217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 ht="15.95">
      <c r="A1506" s="41">
        <f t="shared" si="56"/>
        <v>79</v>
      </c>
      <c r="B1506" s="42" t="s">
        <v>1213</v>
      </c>
      <c r="C1506" s="219" t="s">
        <v>59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 ht="15.95">
      <c r="A1507" s="41">
        <f t="shared" si="56"/>
        <v>80</v>
      </c>
      <c r="B1507" s="42" t="s">
        <v>1214</v>
      </c>
      <c r="C1507" s="219" t="s">
        <v>59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 ht="15.95">
      <c r="A1508" s="41">
        <f t="shared" si="56"/>
        <v>81</v>
      </c>
      <c r="B1508" s="87" t="s">
        <v>1215</v>
      </c>
      <c r="C1508" s="219" t="s">
        <v>59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2.1">
      <c r="A1509" s="41">
        <f t="shared" si="56"/>
        <v>82</v>
      </c>
      <c r="B1509" s="42" t="s">
        <v>1216</v>
      </c>
      <c r="C1509" s="219" t="s">
        <v>59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 ht="15.95">
      <c r="A1510" s="41">
        <f t="shared" si="56"/>
        <v>83</v>
      </c>
      <c r="B1510" s="42" t="s">
        <v>1217</v>
      </c>
      <c r="C1510" s="37" t="s">
        <v>34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95">
      <c r="A1517" s="79"/>
      <c r="B1517" s="80" t="s">
        <v>121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95">
      <c r="A1520" s="138" t="s">
        <v>94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51">
      <c r="A1521" s="92" t="s">
        <v>79</v>
      </c>
      <c r="B1521" s="139" t="s">
        <v>96</v>
      </c>
      <c r="C1521" s="102" t="s">
        <v>97</v>
      </c>
      <c r="D1521" s="103" t="s">
        <v>98</v>
      </c>
      <c r="E1521" s="91" t="s">
        <v>99</v>
      </c>
      <c r="F1521" s="196" t="s">
        <v>100</v>
      </c>
      <c r="G1521" s="104" t="s">
        <v>101</v>
      </c>
      <c r="H1521" s="105" t="s">
        <v>102</v>
      </c>
      <c r="I1521" s="105" t="s">
        <v>103</v>
      </c>
      <c r="J1521" s="106" t="s">
        <v>104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1033</v>
      </c>
      <c r="E1541" s="94"/>
      <c r="F1541" s="198" t="s">
        <v>1033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1033</v>
      </c>
      <c r="E1544" s="94"/>
      <c r="F1544" s="198" t="s">
        <v>1033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1033</v>
      </c>
      <c r="E1550" s="94"/>
      <c r="F1550" s="198" t="s">
        <v>1033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1033</v>
      </c>
      <c r="E1562" s="94"/>
      <c r="F1562" s="197" t="s">
        <v>1033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1033</v>
      </c>
      <c r="E1565" s="94"/>
      <c r="F1565" s="197" t="s">
        <v>1033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1033</v>
      </c>
      <c r="E1566" s="94"/>
      <c r="F1566" s="198" t="s">
        <v>1033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9.1">
      <c r="A1569" s="83">
        <f t="shared" si="58"/>
        <v>48</v>
      </c>
      <c r="B1569" s="101" t="s">
        <v>1269</v>
      </c>
      <c r="C1569" s="100" t="s">
        <v>1219</v>
      </c>
      <c r="D1569" s="93" t="s">
        <v>1023</v>
      </c>
      <c r="E1569" s="162">
        <v>205766.7</v>
      </c>
      <c r="F1569" s="198" t="s">
        <v>1023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1033</v>
      </c>
      <c r="E1570" s="94"/>
      <c r="F1570" s="198" t="s">
        <v>1033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3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42578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42578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7.100000000000001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44</v>
      </c>
    </row>
    <row r="3" spans="1:13" outlineLevel="1">
      <c r="A3" s="3" t="s">
        <v>1319</v>
      </c>
      <c r="B3" s="5" t="s">
        <v>217</v>
      </c>
      <c r="D3" s="266" t="s">
        <v>1320</v>
      </c>
      <c r="F3" s="2" t="s">
        <v>9</v>
      </c>
      <c r="H3" s="18" t="s">
        <v>1321</v>
      </c>
      <c r="I3" s="19">
        <v>43687423</v>
      </c>
      <c r="K3" t="s">
        <v>1322</v>
      </c>
      <c r="M3" s="79" t="s">
        <v>26</v>
      </c>
    </row>
    <row r="4" spans="1:13" ht="32.1" outlineLevel="1">
      <c r="A4" s="2" t="s">
        <v>1323</v>
      </c>
      <c r="B4" s="5" t="s">
        <v>308</v>
      </c>
      <c r="D4" s="267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32</v>
      </c>
    </row>
    <row r="5" spans="1:13" ht="32.1" outlineLevel="1">
      <c r="A5" s="3" t="s">
        <v>1328</v>
      </c>
      <c r="B5" s="5" t="s">
        <v>1329</v>
      </c>
      <c r="D5" s="269" t="s">
        <v>14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854</v>
      </c>
    </row>
    <row r="6" spans="1:13" outlineLevel="1">
      <c r="A6" s="2" t="s">
        <v>326</v>
      </c>
      <c r="B6" s="5" t="s">
        <v>326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31</v>
      </c>
      <c r="M6" s="113" t="s">
        <v>34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28</v>
      </c>
      <c r="M7" s="79" t="s">
        <v>37</v>
      </c>
    </row>
    <row r="8" spans="1:13" ht="15.95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29</v>
      </c>
    </row>
    <row r="9" spans="1:13" outlineLevel="1">
      <c r="A9" s="2" t="s">
        <v>1345</v>
      </c>
      <c r="B9" s="5" t="s">
        <v>1201</v>
      </c>
      <c r="F9" s="2" t="s">
        <v>1346</v>
      </c>
      <c r="H9" t="s">
        <v>1347</v>
      </c>
      <c r="I9">
        <v>70323724</v>
      </c>
      <c r="K9" t="s">
        <v>1348</v>
      </c>
      <c r="M9" s="79" t="s">
        <v>62</v>
      </c>
    </row>
    <row r="10" spans="1:13" outlineLevel="1">
      <c r="A10" s="2" t="s">
        <v>1349</v>
      </c>
      <c r="B10" s="5" t="s">
        <v>106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123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59</v>
      </c>
    </row>
    <row r="12" spans="1:13" ht="32.1" outlineLevel="1">
      <c r="A12" s="3" t="s">
        <v>1358</v>
      </c>
      <c r="B12" s="5" t="s">
        <v>1033</v>
      </c>
      <c r="F12" s="302" t="s">
        <v>1359</v>
      </c>
      <c r="H12" s="27" t="s">
        <v>1360</v>
      </c>
      <c r="I12" s="28">
        <v>32184975</v>
      </c>
      <c r="M12" s="233" t="s">
        <v>1219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1229</v>
      </c>
      <c r="H14" s="24" t="s">
        <v>1364</v>
      </c>
      <c r="I14" s="20">
        <v>70512283</v>
      </c>
    </row>
    <row r="15" spans="1:13" outlineLevel="1">
      <c r="A15" s="2" t="s">
        <v>207</v>
      </c>
      <c r="B15" s="5" t="s">
        <v>207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239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362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1222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242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107</v>
      </c>
      <c r="H21" s="21" t="s">
        <v>6</v>
      </c>
      <c r="I21" s="22">
        <v>1032366226</v>
      </c>
    </row>
    <row r="22" spans="1:9" outlineLevel="1">
      <c r="A22" t="s">
        <v>204</v>
      </c>
      <c r="B22" s="5" t="s">
        <v>204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209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175</v>
      </c>
      <c r="H24" s="21" t="s">
        <v>1383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1384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1385</v>
      </c>
      <c r="I26" s="26">
        <v>70114326</v>
      </c>
    </row>
    <row r="27" spans="1:9" outlineLevel="1">
      <c r="A27" t="s">
        <v>241</v>
      </c>
      <c r="B27" s="5" t="s">
        <v>241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112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6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