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MARIBEL GIL\ABRIL\BOLSO BAUL\"/>
    </mc:Choice>
  </mc:AlternateContent>
  <xr:revisionPtr revIDLastSave="0" documentId="13_ncr:1_{0A850D62-D2CF-4953-BC2D-00C1E91E8FA6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W23" i="43" l="1"/>
  <c r="J32" i="59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<sst xmlns="http://schemas.openxmlformats.org/spreadsheetml/2006/main" count="4137" uniqueCount="1161">
  <si>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</si>
  <si>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</si>
  <si>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</si>
  <si>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</si>
  <si>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</si>
  <si>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</si>
  <si>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</si>
  <si>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</si>
  <si>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</si>
  <si>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</si>
  <si>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</si>
  <si>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</si>
  <si>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</si>
  <si>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</si>
  <si>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</si>
  <si>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</si>
  <si>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</si>
  <si>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</si>
  <si>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</si>
  <si>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</si>
  <si>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</si>
  <si>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</si>
  <si>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</si>
  <si>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</si>
  <si>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</si>
  <si>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</si>
  <si>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</si>
  <si>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</si>
  <si>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</si>
  <si>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</si>
  <si>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</si>
  <si>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</si>
  <si>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</si>
  <si>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</si>
  <si>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</si>
  <si>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</si>
  <si>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</si>
  <si>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</si>
  <si>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</si>
  <si>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</si>
  <si>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</si>
  <si>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</si>
  <si>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</si>
  <si>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</si>
  <si>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</si>
  <si>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</si>
  <si>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</si>
  <si>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</si>
  <si>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</si>
  <si>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</si>
  <si>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</si>
  <si>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</si>
  <si>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</si>
  <si>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</si>
  <si>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</si>
  <si>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</si>
  <si>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</si>
  <si>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</si>
  <si>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</si>
  <si>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</si>
  <si>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</si>
  <si>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</si>
  <si>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</si>
  <si>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</si>
  <si>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</si>
  <si>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</si>
  <si>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</si>
  <si>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</si>
  <si>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</si>
  <si>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</si>
  <si>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</si>
  <si>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</si>
  <si>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</si>
  <si>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</si>
  <si>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</si>
  <si>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</si>
  <si>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</si>
  <si>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</si>
  <si>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</si>
  <si>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</si>
  <si>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</si>
  <si>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</si>
  <si>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</si>
  <si>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</si>
  <si>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</si>
  <si>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</si>
  <si>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</si>
  <si>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</si>
  <si>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</si>
  <si>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</si>
  <si>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</si>
  <si>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</si>
  <si>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</si>
  <si>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</si>
  <si>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</si>
  <si>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</si>
  <si>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</si>
  <si>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</si>
  <si>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</si>
  <si>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</si>
  <si>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</si>
  <si>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</si>
  <si>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</si>
  <si>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</si>
  <si>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</si>
  <si>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</si>
  <si>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</si>
  <si>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</si>
  <si>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</si>
  <si>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</si>
  <si>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</si>
  <si>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</si>
  <si>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</si>
  <si>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</si>
  <si>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</si>
  <si>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</si>
  <si>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</si>
  <si>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</si>
  <si>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</si>
  <si>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</si>
  <si>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</si>
  <si>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</si>
  <si>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</si>
  <si>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</si>
  <si>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</si>
  <si>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</si>
  <si>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</si>
  <si>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</si>
  <si>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</si>
  <si>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</si>
  <si>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</si>
  <si>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</si>
  <si>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</si>
  <si>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</si>
  <si>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</si>
  <si>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</si>
  <si>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</si>
  <si>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</si>
  <si>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</si>
  <si>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</si>
  <si>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</si>
  <si>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</si>
  <si>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</si>
  <si>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</si>
  <si>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</si>
  <si>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</si>
  <si>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</si>
  <si>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</si>
  <si>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</si>
  <si>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</si>
  <si>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</si>
  <si>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</si>
  <si>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</si>
  <si>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</si>
  <si>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</si>
  <si>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</si>
  <si>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</si>
  <si>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</si>
  <si>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</si>
  <si>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</si>
  <si>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</si>
  <si>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</si>
  <si>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</si>
  <si>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</si>
  <si>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</si>
  <si>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</si>
  <si>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</si>
  <si>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</si>
  <si>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</si>
  <si>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</si>
  <si>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</si>
  <si>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</si>
  <si>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</si>
  <si>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</si>
  <si>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</si>
  <si>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</si>
  <si>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</si>
  <si>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</si>
  <si>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</si>
  <si>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</si>
  <si>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</si>
  <si>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</si>
  <si>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</si>
  <si>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</si>
  <si>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</si>
  <si>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</si>
  <si>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</si>
  <si>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</si>
  <si>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</si>
  <si>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</si>
  <si>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</si>
  <si>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</si>
  <si>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</si>
  <si>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</si>
  <si>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</si>
  <si>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</si>
  <si>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</si>
  <si>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</si>
  <si>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</si>
  <si>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</si>
  <si>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</si>
  <si>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</si>
  <si>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</si>
  <si>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</si>
  <si>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</si>
  <si>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</si>
  <si>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</si>
  <si>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</si>
  <si>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</si>
  <si>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</si>
  <si>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</si>
  <si>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</si>
  <si>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</si>
  <si>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</si>
  <si>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</si>
  <si>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</si>
  <si>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</si>
  <si>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</si>
  <si>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</si>
  <si>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</si>
  <si>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</si>
  <si>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</si>
  <si>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</si>
  <si>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</si>
  <si>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</si>
  <si>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</si>
  <si>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</si>
  <si>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</si>
  <si>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</si>
  <si>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</si>
  <si>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</si>
  <si>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</si>
  <si>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</si>
  <si>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</si>
  <si>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</si>
  <si>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</si>
  <si>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</si>
  <si>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</si>
  <si>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</si>
  <si>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</si>
  <si>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</si>
  <si>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</si>
  <si>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</si>
  <si>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</si>
  <si>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</si>
  <si>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</si>
  <si>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</si>
  <si>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</si>
  <si>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</si>
  <si>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</si>
  <si>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</si>
  <si>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</si>
  <si>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</si>
  <si>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</si>
  <si>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</si>
  <si>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</si>
  <si>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</si>
  <si>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</si>
  <si>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</si>
  <si>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</si>
  <si>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</si>
  <si>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</si>
  <si>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</si>
  <si>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</si>
  <si>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</si>
  <si>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</si>
  <si>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</si>
  <si>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</si>
  <si>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</si>
  <si>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</si>
  <si>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</si>
  <si>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</si>
  <si>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</si>
  <si>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</si>
  <si>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</si>
  <si>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</si>
  <si>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</si>
  <si>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</si>
  <si>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</si>
  <si>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</si>
  <si>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</si>
  <si>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</si>
  <si>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</si>
  <si>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</si>
  <si>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</si>
  <si>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</si>
  <si>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</si>
  <si>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</si>
  <si>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</si>
  <si>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</si>
  <si>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</si>
  <si>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</si>
  <si>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</si>
  <si>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</si>
  <si>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</si>
  <si>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</si>
  <si>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</si>
  <si>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</si>
  <si>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</si>
  <si>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</si>
  <si>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</si>
  <si>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</si>
  <si>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</si>
  <si>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</si>
  <si>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</si>
  <si>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</si>
  <si>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</si>
  <si>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</si>
  <si>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</si>
  <si>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</si>
  <si>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</si>
  <si>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</si>
  <si>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</si>
  <si>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</si>
  <si>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</si>
  <si>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</si>
  <si>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</si>
  <si>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</si>
  <si>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</si>
  <si>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</si>
  <si>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</si>
  <si>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</si>
  <si>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</si>
  <si>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</si>
  <si>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</si>
  <si>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</si>
  <si>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</si>
  <si>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</si>
  <si>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</si>
  <si>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</si>
  <si>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</si>
  <si>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</si>
  <si>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</si>
  <si>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</si>
  <si>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</si>
  <si>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</si>
  <si>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</si>
  <si>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</si>
  <si>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</si>
  <si>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</si>
  <si>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</si>
  <si>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</si>
  <si>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</si>
  <si>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</si>
  <si>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</si>
  <si>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</si>
  <si>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</si>
  <si>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</si>
  <si>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</si>
  <si>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</si>
  <si>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</si>
  <si>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</si>
  <si>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</si>
  <si>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</si>
  <si>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</si>
  <si>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</si>
  <si>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</si>
  <si>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</si>
  <si>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</si>
  <si>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</si>
  <si>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</si>
  <si>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</si>
  <si>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</si>
  <si>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</si>
  <si>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</si>
  <si>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</si>
  <si>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</si>
  <si>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</si>
  <si>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</si>
  <si>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</si>
  <si>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</si>
  <si>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</si>
  <si>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</si>
  <si>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</si>
  <si>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</si>
  <si>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</si>
  <si>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</si>
  <si>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</si>
  <si>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</si>
  <si>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</si>
  <si>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</si>
  <si>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</si>
  <si>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</si>
  <si>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</si>
  <si>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</si>
  <si>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</si>
  <si>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</si>
  <si>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</si>
  <si>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</si>
  <si>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</si>
  <si>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</si>
  <si>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</si>
  <si>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</si>
  <si>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</si>
  <si>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</si>
  <si>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</si>
  <si>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</si>
  <si>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</si>
  <si>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</si>
  <si>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</si>
  <si>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</si>
  <si>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</si>
  <si>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</si>
  <si>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</si>
  <si>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</si>
  <si>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</si>
  <si>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</si>
  <si>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</si>
  <si>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</si>
  <si>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</si>
  <si>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</si>
  <si>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</si>
  <si>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</si>
  <si>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</si>
  <si>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</si>
  <si>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</si>
  <si>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</si>
  <si>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</si>
  <si>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</si>
  <si>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</si>
  <si>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</si>
  <si>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</si>
  <si>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</si>
  <si>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</si>
  <si>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</si>
  <si>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</si>
  <si>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</si>
  <si>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</si>
  <si>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</si>
  <si>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</si>
  <si>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</si>
  <si>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</si>
  <si>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</si>
  <si>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</si>
  <si>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</si>
  <si>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</si>
  <si>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</si>
  <si>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</si>
  <si>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</si>
  <si>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</si>
  <si>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</si>
  <si>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</si>
  <si>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</si>
  <si>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</si>
  <si>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</si>
  <si>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</si>
  <si>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</si>
  <si>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</si>
  <si>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</si>
  <si>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</si>
  <si>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</si>
  <si>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</si>
  <si>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</si>
  <si>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</si>
  <si>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</si>
  <si>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</si>
  <si>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</si>
  <si>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</si>
  <si>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</si>
  <si>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</si>
  <si>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</si>
  <si>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</si>
  <si>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</si>
  <si>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</si>
  <si>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</si>
  <si>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</si>
  <si>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</si>
  <si>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</si>
  <si>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</si>
  <si>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</si>
  <si>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</si>
  <si>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</si>
  <si>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</si>
  <si>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</si>
  <si>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</si>
  <si>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</si>
  <si>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</si>
  <si>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</si>
  <si>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</si>
  <si>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</si>
  <si>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</si>
  <si>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</si>
  <si>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</si>
  <si>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</si>
  <si>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</si>
  <si>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</si>
  <si>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</si>
  <si>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</si>
  <si>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</si>
  <si>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</si>
  <si>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</si>
  <si>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</si>
  <si>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</si>
  <si>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</si>
  <si>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</si>
  <si>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</si>
  <si>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</si>
  <si>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</si>
  <si>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</si>
  <si>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</si>
  <si>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</si>
  <si>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</si>
  <si>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</si>
  <si>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</si>
  <si>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</si>
  <si>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</si>
  <si>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</si>
  <si>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</si>
  <si>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</si>
  <si>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</si>
  <si>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</si>
  <si>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</si>
  <si>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</si>
  <si>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</si>
  <si>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</si>
  <si>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</si>
  <si>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</si>
  <si>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</si>
  <si>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</si>
  <si>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</si>
  <si>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</si>
  <si>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</si>
  <si>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</si>
  <si>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</si>
  <si>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</si>
  <si>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</si>
  <si>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</si>
  <si>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</si>
  <si>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</si>
  <si>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</si>
  <si>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</si>
  <si>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</si>
  <si>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</si>
  <si>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</si>
  <si>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</si>
  <si>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</si>
  <si>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</si>
  <si>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</si>
  <si>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</si>
  <si>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</si>
  <si>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</si>
  <si>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</si>
  <si>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</si>
  <si>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</si>
  <si>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</si>
  <si>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</si>
  <si>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</si>
  <si>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</si>
  <si>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</si>
  <si>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</si>
  <si>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</si>
  <si>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</si>
  <si>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</si>
  <si>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</si>
  <si>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</si>
  <si>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</si>
  <si>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</si>
  <si>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</si>
  <si>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</si>
  <si>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</si>
  <si>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</si>
  <si>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</si>
  <si>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</si>
  <si>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</si>
  <si>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</si>
  <si>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</si>
  <si>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</si>
  <si>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</si>
  <si>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</si>
  <si>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</si>
  <si>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</si>
  <si>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</si>
  <si>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</si>
  <si>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</si>
  <si>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</si>
  <si>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</si>
  <si>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</si>
  <si>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</si>
  <si>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</si>
  <si>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</si>
  <si>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</si>
  <si>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</si>
  <si>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</si>
  <si>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</si>
  <si>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</si>
  <si>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</si>
  <si>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</si>
  <si>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</si>
  <si>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</si>
  <si>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</si>
  <si>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</si>
  <si>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</si>
  <si>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</si>
  <si>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</si>
  <si>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</si>
  <si>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</si>
  <si>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</si>
  <si>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</si>
  <si>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</si>
  <si>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</si>
  <si>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</si>
  <si>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</si>
  <si>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</si>
  <si>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</si>
  <si>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</si>
  <si>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</si>
  <si>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</si>
  <si>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</si>
  <si>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</si>
  <si>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</si>
  <si>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</si>
  <si>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</si>
  <si>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</si>
  <si>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</si>
  <si>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</si>
  <si>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</si>
  <si>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</si>
  <si>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</si>
  <si>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</si>
  <si>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</si>
  <si>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</si>
  <si>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</si>
  <si>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</si>
  <si>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</si>
  <si>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</si>
  <si>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</si>
  <si>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</si>
  <si>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</si>
  <si>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</si>
  <si>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</si>
  <si>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</si>
  <si>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</si>
  <si>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</si>
  <si>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</si>
  <si>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</si>
  <si>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</si>
  <si>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</si>
  <si>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</si>
  <si>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</si>
  <si>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</si>
  <si>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</si>
  <si>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</si>
  <si>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</si>
  <si>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</si>
  <si>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</si>
  <si>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</si>
  <si>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</si>
  <si>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</si>
  <si>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</si>
  <si>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</si>
  <si>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</si>
  <si>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</si>
  <si>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</si>
  <si>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</si>
  <si>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</si>
  <si>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</si>
  <si>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</si>
  <si>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</si>
  <si>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</si>
  <si>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</si>
  <si>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</si>
  <si>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</si>
  <si>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</si>
  <si>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</si>
  <si>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</si>
  <si>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</si>
  <si>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</si>
  <si>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</si>
  <si>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</si>
  <si>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</si>
  <si>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</si>
  <si>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</si>
  <si>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</si>
  <si>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</si>
  <si>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</si>
  <si>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</si>
  <si>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</si>
  <si>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</si>
  <si>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</si>
  <si>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</si>
  <si>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</si>
  <si>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</si>
  <si>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</si>
  <si>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</si>
  <si>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</si>
  <si>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</si>
  <si>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</si>
  <si>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</si>
  <si>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</si>
  <si>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</si>
  <si>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</si>
  <si>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</si>
  <si>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</si>
  <si>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</si>
  <si>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</si>
  <si>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</si>
  <si>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</si>
  <si>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</si>
  <si>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</si>
  <si>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</si>
  <si>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</si>
  <si>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</si>
  <si>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</si>
  <si>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</si>
  <si>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</si>
  <si>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</si>
  <si>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</si>
  <si>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</si>
  <si>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</si>
  <si>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</si>
  <si>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</si>
  <si>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</si>
  <si>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</si>
  <si>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</si>
  <si>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</si>
  <si>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</si>
  <si>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</si>
  <si>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</si>
  <si>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</si>
  <si>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</si>
  <si>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</si>
  <si>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</si>
  <si>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</si>
  <si>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</si>
  <si>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</si>
  <si>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</si>
  <si>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</si>
  <si>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</si>
  <si>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</si>
  <si>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</si>
  <si>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</si>
  <si>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</si>
  <si>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</si>
  <si>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</si>
  <si>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</si>
  <si>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</si>
  <si>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</si>
  <si>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</si>
  <si>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</si>
  <si>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</si>
  <si>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</si>
  <si>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</si>
  <si>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</si>
  <si>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</si>
  <si>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</si>
  <si>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</si>
  <si>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</si>
  <si>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</si>
  <si>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</si>
  <si>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</si>
  <si>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</si>
  <si>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</si>
  <si>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</si>
  <si>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</si>
  <si>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</si>
  <si>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</si>
  <si>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</si>
  <si>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</si>
  <si>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</si>
  <si>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</si>
  <si>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</si>
  <si>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</si>
  <si>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</si>
  <si>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</si>
  <si>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</si>
  <si>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</si>
  <si>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</si>
  <si>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</si>
  <si>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</si>
  <si>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</si>
  <si>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</si>
  <si>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</si>
  <si>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</si>
  <si>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</si>
  <si>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</si>
  <si>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</si>
  <si>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</si>
  <si>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</si>
  <si>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</si>
  <si>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</si>
  <si>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</si>
  <si>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</si>
  <si>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</si>
  <si>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</si>
  <si>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</si>
  <si>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</si>
  <si>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</si>
  <si>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</si>
  <si>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</si>
  <si>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</si>
  <si>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</si>
  <si>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</si>
  <si>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</si>
  <si>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</si>
  <si>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</si>
  <si>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</si>
  <si>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</si>
  <si>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</si>
  <si>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</si>
  <si>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</si>
  <si>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</si>
  <si>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</si>
  <si>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</si>
  <si>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</si>
  <si>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</si>
  <si>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</si>
  <si>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</si>
  <si>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</si>
  <si>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</si>
  <si>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</si>
  <si>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</si>
  <si>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</si>
  <si>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</si>
  <si>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</si>
  <si>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</si>
  <si>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</si>
  <si>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</si>
  <si>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</si>
  <si>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</si>
  <si>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</si>
  <si>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</si>
  <si>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</si>
  <si>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</si>
  <si>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</si>
  <si>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</si>
  <si>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</si>
  <si>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</si>
  <si>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</si>
  <si>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</si>
  <si>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</si>
  <si>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</si>
  <si>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</si>
  <si>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</si>
  <si>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</si>
  <si>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</si>
  <si>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</si>
  <si>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</si>
  <si>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</si>
  <si>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</si>
  <si>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</si>
  <si>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</si>
  <si>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</si>
  <si>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</si>
  <si>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</si>
  <si>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</si>
  <si>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</si>
  <si>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</si>
  <si>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</si>
  <si>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</si>
  <si>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</si>
  <si>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</si>
  <si>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</si>
  <si>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</si>
  <si>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</si>
  <si>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</si>
  <si>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</si>
  <si>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</si>
  <si>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</si>
  <si>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</si>
  <si>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</si>
  <si>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</si>
  <si>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</si>
  <si>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</si>
  <si>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</si>
  <si>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</si>
  <si>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</si>
  <si>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</si>
  <si>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</si>
  <si>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</si>
  <si>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</si>
  <si>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</si>
  <si>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</si>
  <si>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</si>
  <si>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</si>
  <si>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</si>
  <si>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</si>
  <si>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</si>
  <si>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</si>
  <si>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</si>
  <si>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</si>
  <si>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</si>
  <si>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</si>
  <si>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</si>
  <si>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</si>
  <si>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</si>
  <si>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</si>
  <si>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</si>
  <si>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</si>
  <si>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</si>
  <si>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</si>
  <si>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</si>
  <si>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</si>
  <si>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</si>
  <si>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</si>
  <si>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</si>
  <si>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</si>
  <si>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</si>
  <si>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</si>
  <si>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</si>
  <si>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</si>
  <si>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</si>
  <si>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</si>
  <si>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</si>
  <si>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</si>
  <si>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</si>
  <si>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</si>
  <si>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</si>
  <si>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</si>
  <si>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</si>
  <si>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</si>
  <si>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</si>
  <si>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</si>
  <si>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</si>
  <si>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</si>
  <si>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</si>
  <si>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</si>
  <si>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</si>
  <si>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</si>
  <si>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</si>
  <si>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</si>
  <si>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</si>
  <si>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</si>
  <si>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</si>
  <si>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</si>
  <si>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</si>
  <si>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</si>
  <si>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</si>
  <si>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</si>
  <si>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</si>
  <si>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</si>
  <si>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</si>
  <si>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</si>
  <si>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</si>
  <si>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</si>
  <si>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</si>
  <si>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</si>
  <si>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</si>
  <si>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</si>
  <si>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</si>
  <si>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</si>
  <si>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</si>
  <si>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</si>
  <si>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</si>
  <si>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</si>
  <si>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</si>
  <si>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</si>
  <si>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</si>
  <si>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</si>
  <si>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</si>
  <si>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</si>
  <si>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</si>
  <si>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</si>
  <si>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</si>
  <si>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</si>
  <si>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</si>
  <si>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</si>
  <si>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</si>
  <si>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</si>
  <si>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</si>
  <si>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</si>
  <si>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</si>
  <si>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</si>
  <si>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</si>
  <si>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</si>
  <si>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</si>
  <si>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</si>
  <si>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</si>
  <si>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</si>
  <si>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</si>
  <si>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</si>
  <si>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</si>
  <si>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</si>
  <si>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</si>
  <si>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</si>
  <si>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</si>
  <si>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</si>
  <si>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</si>
  <si>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</si>
  <si>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</si>
  <si>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</si>
  <si>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</si>
  <si>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</si>
  <si>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</si>
  <si>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</si>
  <si>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</si>
  <si>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</si>
  <si>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</si>
  <si>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</si>
  <si>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</si>
  <si>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</si>
  <si>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</si>
  <si>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</si>
  <si>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</si>
  <si>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</si>
  <si>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</si>
  <si>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</si>
  <si>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</si>
  <si>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</si>
  <si>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</si>
  <si>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</si>
  <si>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</si>
  <si>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</si>
  <si>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</si>
  <si>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</si>
  <si>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</si>
  <si>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</si>
  <si>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</si>
  <si>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</si>
  <si>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</si>
  <si>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</si>
  <si>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</si>
  <si>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</si>
  <si>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</si>
  <si>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</si>
  <si>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</si>
  <si>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</si>
  <si>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</si>
  <si>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</si>
  <si>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</si>
  <si>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</si>
  <si>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</si>
  <si>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</si>
  <si>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</si>
  <si>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</si>
  <si>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</si>
  <si>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</si>
  <si>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</si>
  <si>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</si>
  <si>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</si>
  <si>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</si>
  <si>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</si>
  <si>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</si>
  <si>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</si>
  <si>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</si>
  <si>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</si>
  <si>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</si>
  <si>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</si>
  <si>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</si>
  <si>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</si>
  <si>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</si>
  <si>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</si>
  <si>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</si>
  <si>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</si>
  <si>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</si>
  <si>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</si>
  <si>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</si>
  <si>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</si>
  <si>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</si>
  <si>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</si>
  <si>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</si>
  <si>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</si>
  <si>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</si>
  <si>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</si>
  <si>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</si>
  <si>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</si>
  <si>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</si>
  <si>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</si>
  <si>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</si>
  <si>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</si>
  <si>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</si>
  <si>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</si>
  <si>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</si>
  <si>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</si>
  <si>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</si>
  <si>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</si>
  <si>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</si>
  <si>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</si>
  <si>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</si>
  <si>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</si>
  <si>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</si>
  <si>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</si>
  <si>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</si>
  <si>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</si>
  <si>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</si>
  <si>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</si>
  <si>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</si>
  <si>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</si>
  <si>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</si>
  <si>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</si>
  <si>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</si>
  <si>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</si>
  <si>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</si>
  <si>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</si>
  <si>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</si>
  <si>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</si>
  <si>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</si>
  <si>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</si>
  <si>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</si>
  <si>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</si>
  <si>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</si>
  <si>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</si>
  <si>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</si>
  <si>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</si>
  <si>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</si>
  <si>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</si>
  <si>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</si>
  <si>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</si>
  <si>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</si>
  <si>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</si>
  <si>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</si>
  <si>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</si>
  <si>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</si>
  <si>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</si>
  <si>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</si>
  <si>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</si>
  <si>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</si>
  <si>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</si>
  <si>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</si>
  <si>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</si>
  <si>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</si>
  <si>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</si>
  <si>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</si>
  <si>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</si>
  <si>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</si>
  <si>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</si>
  <si>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</si>
  <si>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</si>
  <si>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</si>
  <si>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</si>
  <si>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</si>
  <si>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</si>
  <si>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</si>
  <si>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</si>
  <si>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</si>
  <si>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</si>
  <si>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</si>
  <si>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</si>
  <si>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</si>
  <si>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</si>
  <si>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</si>
  <si>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</si>
  <si>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</si>
  <si>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</si>
  <si>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</si>
  <si>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</si>
  <si>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</si>
  <si>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</si>
  <si>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</si>
  <si>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</si>
  <si>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</si>
  <si>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</si>
  <si>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</si>
  <si>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</si>
  <si>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</si>
  <si>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</si>
  <si>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</si>
  <si>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</si>
  <si>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</si>
  <si>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</si>
  <si>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</si>
  <si>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</si>
  <si>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</si>
  <si>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</si>
  <si>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</si>
  <si>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</si>
  <si>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celda pcc</t>
  </si>
  <si>
    <t>bolso tipo baul 020 sara</t>
  </si>
  <si>
    <t>no tiene que ser de lujo</t>
  </si>
  <si>
    <t>Aprobar Pedido</t>
  </si>
  <si>
    <t>azul</t>
  </si>
  <si>
    <t>reintegra en total 581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</si>
</sst>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14" fontId="0" fillId="0" borderId="17" xfId="0" applyNumberFormat="1" applyBorder="1" applyAlignment="1" applyProtection="1">
      <alignment horizontal="center" vertical="center"/>
      <protection locked="0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347869</xdr:colOff>
      <xdr:row>0</xdr:row>
      <xdr:rowOff>0</xdr:rowOff>
    </xdr:from>
    <xdr:to>
      <xdr:col>22</xdr:col>
      <xdr:colOff>132521</xdr:colOff>
      <xdr:row>6</xdr:row>
      <xdr:rowOff>275892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28655DC-7E88-86DE-81CC-3FA3BDF90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912" y="0"/>
          <a:ext cx="1631674" cy="2048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42578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MG0001-1</v>
      </c>
      <c r="G1" s="301"/>
      <c r="H1" s="302"/>
      <c r="I1" s="303" t="s">
        <v>1</v>
      </c>
      <c r="J1" s="304"/>
      <c r="K1" s="263"/>
      <c r="L1" s="305" t="s">
        <v>2</v>
      </c>
      <c r="M1" s="306"/>
      <c r="N1" s="306"/>
      <c r="O1" s="307"/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1142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43498846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1110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 t="s">
        <v>1155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1156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1082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55593.724266428573</v>
      </c>
      <c r="E5" s="338"/>
      <c r="F5" s="339"/>
      <c r="G5" s="322" t="s">
        <v>12</v>
      </c>
      <c r="H5" s="340"/>
      <c r="I5" s="340"/>
      <c r="J5" s="323"/>
      <c r="K5" s="296">
        <v>4</v>
      </c>
      <c r="L5" s="296"/>
      <c r="M5" s="297" t="s">
        <v>13</v>
      </c>
      <c r="N5" s="297"/>
      <c r="O5" s="350">
        <f>IFERROR(IF(K5=0,"",D5*K5),"")</f>
        <v>222374.89706571429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0.25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 t="s">
        <v>33</v>
      </c>
      <c r="B10" s="277"/>
      <c r="C10" s="278"/>
      <c r="D10" s="290" t="s">
        <v>333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>dm2</v>
      </c>
      <c r="P10" s="283"/>
      <c r="Q10" s="284">
        <v>50.09</v>
      </c>
      <c r="R10" s="285"/>
      <c r="S10" s="286">
        <f>IFERROR(IF(Q10="Unidad","1",(Q10*$K$5)),"")</f>
        <v>200.36</v>
      </c>
      <c r="T10" s="287"/>
      <c r="U10" s="288"/>
      <c r="V10" s="294"/>
      <c r="W10" s="289">
        <f>IFERROR(IF(D10="","",INDEX(Tabla_Completa,MATCH('Soli_citud '!D10,Materiales,0),7)*S10),"")</f>
        <v>180013.44200000001</v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2544</v>
      </c>
      <c r="R11" s="285"/>
      <c r="S11" s="286">
        <f t="shared" ref="S11:S31" si="1">IFERROR(IF(Q11="Unidad","1",(Q11*$K$5)),"")</f>
        <v>10176</v>
      </c>
      <c r="T11" s="287"/>
      <c r="U11" s="288"/>
      <c r="V11" s="288"/>
      <c r="W11" s="289">
        <f>IFERROR(IF(D11="","",INDEX(Tabla_Completa,MATCH('Soli_citud '!D11,Materiales,0),7)*S11),"")</f>
        <v>5066.1942857142858</v>
      </c>
      <c r="X11" s="289"/>
      <c r="Y11" s="289"/>
    </row>
    <row r="12" spans="1:28" ht="15.75" customHeight="1">
      <c r="A12" s="276" t="s">
        <v>222</v>
      </c>
      <c r="B12" s="277"/>
      <c r="C12" s="278"/>
      <c r="D12" s="293" t="s">
        <v>268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m</v>
      </c>
      <c r="P12" s="283"/>
      <c r="Q12" s="284">
        <v>1.5</v>
      </c>
      <c r="R12" s="285"/>
      <c r="S12" s="286">
        <f t="shared" si="1"/>
        <v>6</v>
      </c>
      <c r="T12" s="287"/>
      <c r="U12" s="288"/>
      <c r="V12" s="288"/>
      <c r="W12" s="289">
        <f>IFERROR(IF(D12="","",INDEX(Tabla_Completa,MATCH('Soli_citud '!D12,Materiales,0),7)*S12),"")</f>
        <v>552</v>
      </c>
      <c r="X12" s="289"/>
      <c r="Y12" s="289"/>
    </row>
    <row r="13" spans="1:28" ht="15.75" customHeight="1">
      <c r="A13" s="276" t="s">
        <v>222</v>
      </c>
      <c r="B13" s="277"/>
      <c r="C13" s="278"/>
      <c r="D13" s="290" t="s">
        <v>286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cm2</v>
      </c>
      <c r="P13" s="283"/>
      <c r="Q13" s="284">
        <v>1.65</v>
      </c>
      <c r="R13" s="285"/>
      <c r="S13" s="286">
        <f t="shared" si="1"/>
        <v>6.6</v>
      </c>
      <c r="T13" s="287"/>
      <c r="U13" s="288"/>
      <c r="V13" s="288"/>
      <c r="W13" s="289">
        <f>IFERROR(IF(D13="","",INDEX(Tabla_Completa,MATCH('Soli_citud '!D13,Materiales,0),7)*S13),"")</f>
        <v>4.3999999999999995</v>
      </c>
      <c r="X13" s="289"/>
      <c r="Y13" s="289"/>
    </row>
    <row r="14" spans="1:28" ht="17.25" customHeight="1">
      <c r="A14" s="276" t="s">
        <v>46</v>
      </c>
      <c r="B14" s="277"/>
      <c r="C14" s="278"/>
      <c r="D14" s="290" t="s">
        <v>771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cm2</v>
      </c>
      <c r="P14" s="283"/>
      <c r="Q14" s="284">
        <v>2131</v>
      </c>
      <c r="R14" s="285"/>
      <c r="S14" s="286">
        <f t="shared" si="1"/>
        <v>8524</v>
      </c>
      <c r="T14" s="287"/>
      <c r="U14" s="288"/>
      <c r="V14" s="288"/>
      <c r="W14" s="289">
        <f>IFERROR(IF(D14="","",INDEX(Tabla_Completa,MATCH('Soli_citud '!D14,Materiales,0),7)*S14),"")</f>
        <v>12213.57078</v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260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cm</v>
      </c>
      <c r="P15" s="283"/>
      <c r="Q15" s="284">
        <v>24</v>
      </c>
      <c r="R15" s="285"/>
      <c r="S15" s="286">
        <f t="shared" si="1"/>
        <v>96</v>
      </c>
      <c r="T15" s="287"/>
      <c r="U15" s="288"/>
      <c r="V15" s="288"/>
      <c r="W15" s="289">
        <f>IFERROR(IF(D15="","",INDEX(Tabla_Completa,MATCH('Soli_citud '!D15,Materiales,0),7)*S15),"")</f>
        <v>1174.08</v>
      </c>
      <c r="X15" s="289"/>
      <c r="Y15" s="289"/>
    </row>
    <row r="16" spans="1:28" ht="15.75" customHeight="1">
      <c r="A16" s="276" t="s">
        <v>222</v>
      </c>
      <c r="B16" s="277"/>
      <c r="C16" s="278"/>
      <c r="D16" s="290" t="s">
        <v>258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m</v>
      </c>
      <c r="P16" s="283"/>
      <c r="Q16" s="284">
        <v>0.2</v>
      </c>
      <c r="R16" s="285"/>
      <c r="S16" s="286">
        <f t="shared" si="1"/>
        <v>0.8</v>
      </c>
      <c r="T16" s="287"/>
      <c r="U16" s="288"/>
      <c r="V16" s="288"/>
      <c r="W16" s="289">
        <f>IFERROR(IF(D16="","",INDEX(Tabla_Completa,MATCH('Soli_citud '!D16,Materiales,0),7)*S16),"")</f>
        <v>754.80000000000007</v>
      </c>
      <c r="X16" s="289"/>
      <c r="Y16" s="289"/>
    </row>
    <row r="17" spans="1:25" ht="15.75" customHeight="1">
      <c r="A17" s="276" t="s">
        <v>36</v>
      </c>
      <c r="B17" s="277"/>
      <c r="C17" s="278"/>
      <c r="D17" s="290" t="s">
        <v>579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4</v>
      </c>
      <c r="T17" s="287"/>
      <c r="U17" s="288"/>
      <c r="V17" s="288"/>
      <c r="W17" s="289">
        <f>IFERROR(IF(D17="","",INDEX(Tabla_Completa,MATCH('Soli_citud '!D17,Materiales,0),7)*S17),"")</f>
        <v>1822.665</v>
      </c>
      <c r="X17" s="289"/>
      <c r="Y17" s="289"/>
    </row>
    <row r="18" spans="1:25" ht="15.75" customHeight="1">
      <c r="A18" s="276" t="s">
        <v>36</v>
      </c>
      <c r="B18" s="277"/>
      <c r="C18" s="278"/>
      <c r="D18" s="290" t="s">
        <v>574</v>
      </c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>U</v>
      </c>
      <c r="P18" s="283"/>
      <c r="Q18" s="284">
        <v>1</v>
      </c>
      <c r="R18" s="285"/>
      <c r="S18" s="286">
        <f t="shared" si="1"/>
        <v>4</v>
      </c>
      <c r="T18" s="287"/>
      <c r="U18" s="288"/>
      <c r="V18" s="288"/>
      <c r="W18" s="289">
        <f>IFERROR(IF(D18="","",INDEX(Tabla_Completa,MATCH('Soli_citud '!D18,Materiales,0),7)*S18),"")</f>
        <v>1822.665</v>
      </c>
      <c r="X18" s="289"/>
      <c r="Y18" s="289"/>
    </row>
    <row r="19" spans="1:25" ht="15.75">
      <c r="A19" s="276" t="s">
        <v>36</v>
      </c>
      <c r="B19" s="277"/>
      <c r="C19" s="278"/>
      <c r="D19" s="279" t="s">
        <v>603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>U</v>
      </c>
      <c r="P19" s="283"/>
      <c r="Q19" s="284">
        <v>6</v>
      </c>
      <c r="R19" s="285"/>
      <c r="S19" s="286">
        <f t="shared" si="1"/>
        <v>24</v>
      </c>
      <c r="T19" s="287"/>
      <c r="U19" s="288" t="s">
        <v>1157</v>
      </c>
      <c r="V19" s="288"/>
      <c r="W19" s="289">
        <f>IFERROR(IF(D19="","",INDEX(Tabla_Completa,MATCH('Soli_citud '!D19,Materiales,0),7)*S19),"")</f>
        <v>4752</v>
      </c>
      <c r="X19" s="289"/>
      <c r="Y19" s="289"/>
    </row>
    <row r="20" spans="1:25" ht="15.75">
      <c r="A20" s="276" t="s">
        <v>36</v>
      </c>
      <c r="B20" s="277"/>
      <c r="C20" s="278"/>
      <c r="D20" s="279" t="s">
        <v>747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>U</v>
      </c>
      <c r="P20" s="283"/>
      <c r="Q20" s="284">
        <v>1</v>
      </c>
      <c r="R20" s="285"/>
      <c r="S20" s="286">
        <f t="shared" si="1"/>
        <v>4</v>
      </c>
      <c r="T20" s="287"/>
      <c r="U20" s="288"/>
      <c r="V20" s="288"/>
      <c r="W20" s="289">
        <f>IFERROR(IF(D20="","",INDEX(Tabla_Completa,MATCH('Soli_citud '!D20,Materiales,0),7)*S20),"")</f>
        <v>3993.64</v>
      </c>
      <c r="X20" s="289"/>
      <c r="Y20" s="289"/>
    </row>
    <row r="21" spans="1:25" ht="15.75">
      <c r="A21" s="276" t="s">
        <v>36</v>
      </c>
      <c r="B21" s="277"/>
      <c r="C21" s="278"/>
      <c r="D21" s="279" t="s">
        <v>618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>U</v>
      </c>
      <c r="P21" s="283"/>
      <c r="Q21" s="284">
        <v>2</v>
      </c>
      <c r="R21" s="285"/>
      <c r="S21" s="286">
        <f t="shared" si="1"/>
        <v>8</v>
      </c>
      <c r="T21" s="287"/>
      <c r="U21" s="288" t="s">
        <v>1157</v>
      </c>
      <c r="V21" s="288"/>
      <c r="W21" s="289">
        <f>IFERROR(IF(D21="","",INDEX(Tabla_Completa,MATCH('Soli_citud '!D21,Materiales,0),7)*S21),"")</f>
        <v>10205.44</v>
      </c>
      <c r="X21" s="289"/>
      <c r="Y21" s="289"/>
    </row>
    <row r="22" spans="1:25" ht="15.75">
      <c r="A22" s="276" t="s">
        <v>826</v>
      </c>
      <c r="B22" s="277"/>
      <c r="C22" s="278"/>
      <c r="D22" s="279" t="s">
        <v>860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>m</v>
      </c>
      <c r="P22" s="283"/>
      <c r="Q22" s="284">
        <v>1.2</v>
      </c>
      <c r="R22" s="285"/>
      <c r="S22" s="286">
        <f t="shared" si="1"/>
        <v>4.8</v>
      </c>
      <c r="T22" s="287"/>
      <c r="U22" s="288"/>
      <c r="V22" s="288"/>
      <c r="W22" s="289">
        <f>IFERROR(IF(D22="","",INDEX(Tabla_Completa,MATCH('Soli_citud '!D22,Materiales,0),7)*S22),"")</f>
        <v>0</v>
      </c>
      <c r="X22" s="289"/>
      <c r="Y22" s="289"/>
    </row>
    <row r="23" spans="1:25" ht="15.75">
      <c r="A23" s="276" t="s">
        <v>27</v>
      </c>
      <c r="B23" s="277"/>
      <c r="C23" s="278"/>
      <c r="D23" s="279" t="s">
        <v>100</v>
      </c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>ml</v>
      </c>
      <c r="P23" s="283"/>
      <c r="Q23" s="284">
        <v>600</v>
      </c>
      <c r="R23" s="285"/>
      <c r="S23" s="286">
        <f t="shared" si="1"/>
        <v>2400</v>
      </c>
      <c r="T23" s="287"/>
      <c r="U23" s="288" t="s">
        <v>1075</v>
      </c>
      <c r="V23" s="288"/>
      <c r="W23" s="289">
        <f>IFERROR(IF(D23="","",INDEX(Tabla_Completa,MATCH('Soli_citud '!D23,Materiales,0),7)*S23),"")</f>
        <v>41917.886393659173</v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zoomScale="95" zoomScaleNormal="95" workbookViewId="0">
      <pane ySplit="11" topLeftCell="A12" activePane="bottomLeft" state="frozen"/>
      <selection pane="bottomLeft" activeCell="Q14" sqref="Q14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42578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42578125" customWidth="1"/>
  </cols>
  <sheetData>
    <row r="1" spans="1:26" ht="15.75" customHeight="1">
      <c r="A1" s="423"/>
      <c r="B1" s="423"/>
      <c r="C1" s="424" t="s">
        <v>49</v>
      </c>
      <c r="D1" s="424"/>
      <c r="E1" s="424"/>
      <c r="F1" s="424"/>
      <c r="G1" s="424"/>
      <c r="H1" s="424"/>
      <c r="I1" s="429" t="s">
        <v>50</v>
      </c>
      <c r="J1" s="430"/>
      <c r="K1" s="430"/>
      <c r="L1" s="431"/>
      <c r="M1" s="425" t="str">
        <f>IF('Soli_citud '!O1="","",'Soli_citud '!O1)</f>
        <v/>
      </c>
      <c r="N1" s="426"/>
      <c r="O1" s="378" t="s">
        <v>51</v>
      </c>
      <c r="P1" s="379"/>
      <c r="Q1" s="374" t="str">
        <f>IF('Soli_citud '!D4="","",'Soli_citud '!D4)</f>
        <v>bolso tipo baul 020 sara</v>
      </c>
      <c r="R1" s="375"/>
      <c r="Z1" s="271" t="s">
        <v>52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53</v>
      </c>
      <c r="J2" s="433"/>
      <c r="K2" s="433"/>
      <c r="L2" s="434"/>
      <c r="M2" s="427" t="str">
        <f>'Soli_citud '!F1</f>
        <v>MG0001-1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54</v>
      </c>
      <c r="J3" s="428"/>
      <c r="K3" s="428"/>
      <c r="L3" s="428"/>
      <c r="M3" s="435" t="str">
        <f>IF('Soli_citud '!O3="","",'Soli_citud '!O3)</f>
        <v>celda pcc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55</v>
      </c>
      <c r="J4" s="418"/>
      <c r="K4" s="418"/>
      <c r="L4" s="419" t="str">
        <f>IF('Soli_citud '!O4="","",'Soli_citud '!O4)</f>
        <v>Marroquinería Producción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56</v>
      </c>
      <c r="B6" s="421"/>
      <c r="C6" s="421"/>
      <c r="D6" s="437" t="s">
        <v>57</v>
      </c>
      <c r="E6" s="437"/>
      <c r="F6" s="437"/>
      <c r="G6" s="437"/>
      <c r="H6" s="438"/>
      <c r="I6" s="406" t="s">
        <v>58</v>
      </c>
      <c r="J6" s="407"/>
      <c r="K6" s="407"/>
      <c r="L6" s="407"/>
      <c r="M6" s="399" t="s">
        <v>1158</v>
      </c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55593.724266428573</v>
      </c>
      <c r="B8" s="422"/>
      <c r="C8" s="422"/>
      <c r="D8" s="439" t="s">
        <v>59</v>
      </c>
      <c r="E8" s="440"/>
      <c r="F8" s="440"/>
      <c r="G8" s="440"/>
      <c r="H8" s="441"/>
      <c r="I8" s="408" t="str">
        <f>IF('Soli_citud '!E2="","",'Soli_citud '!E2)</f>
        <v>Maribel Gil Zapata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60</v>
      </c>
      <c r="B9" s="415"/>
      <c r="C9" s="411">
        <v>0</v>
      </c>
      <c r="D9" s="417" t="s">
        <v>61</v>
      </c>
      <c r="E9" s="417"/>
      <c r="F9" s="400">
        <f>IFERROR(IF(C9="","",ROUNDUP(A8*(1+C9),-2)),"")</f>
        <v>55600</v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62</v>
      </c>
      <c r="J10" s="393"/>
      <c r="K10" s="394"/>
      <c r="L10" s="259">
        <f>'Soli_citud '!K5</f>
        <v>4</v>
      </c>
      <c r="M10" s="389" t="s">
        <v>63</v>
      </c>
      <c r="N10" s="390"/>
      <c r="O10" s="382"/>
      <c r="P10" s="383"/>
      <c r="Q10" s="260" t="s">
        <v>64</v>
      </c>
      <c r="R10" s="258" t="str" cm="1">
        <f t="array" ref="R10">IFERROR(_xlfn.IFS(L10=1,"",L10&gt;SUM(R12:R30),SUM(R12:R30),L10=SUM(R12:R30),"Cumplido",L10&lt;SUM(R12:R30),"Revisar"),"")</f>
        <v>Cumplido</v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>NAPPA</v>
      </c>
      <c r="C12" s="410"/>
      <c r="D12" s="410"/>
      <c r="E12" s="410"/>
      <c r="F12" s="239" t="str">
        <f>IF('Soli_citud '!O10="","",'Soli_citud '!O10)</f>
        <v>dm2</v>
      </c>
      <c r="G12" s="239" cm="1">
        <f t="array" ref="G12">_xlfn.IFS('Soli_citud '!S10="","",'Soli_citud '!S10&lt;=0,"",'Soli_citud '!S10&gt;0,'Soli_citud '!S10)</f>
        <v>200.36</v>
      </c>
      <c r="H12" s="240">
        <v>45042</v>
      </c>
      <c r="I12" s="241">
        <v>339</v>
      </c>
      <c r="J12" s="215" t="str" cm="1">
        <f t="array" ref="J12">IFERROR(_xlfn.IFS(G12="","",I12=G12,"Cumplido",I12&lt;G12,G12-I12,I12&gt;G12,"Revisar"),"")</f>
        <v>Revisar</v>
      </c>
      <c r="K12" s="387" t="s">
        <v>1160</v>
      </c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>
        <v>45055</v>
      </c>
      <c r="R12" s="241">
        <v>2</v>
      </c>
    </row>
    <row r="13" spans="1:26" ht="21" customHeight="1">
      <c r="A13" s="80">
        <v>2</v>
      </c>
      <c r="B13" s="410" t="str">
        <f>IFERROR(IF('Soli_citud '!D11="","",'Soli_citud '!D11),"")</f>
        <v>SEDA 30-100 O SEDA TIFON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10176</v>
      </c>
      <c r="H13" s="240">
        <v>45042</v>
      </c>
      <c r="I13" s="242">
        <v>10176</v>
      </c>
      <c r="J13" s="215" t="str" cm="1">
        <f t="array" ref="J13">IFERROR(_xlfn.IFS(G13="","",I13=G13,"Cumplido",I13&lt;G13,G13-I13,I13&gt;G13,"Revisar"),"")</f>
        <v>Cumplido</v>
      </c>
      <c r="K13" s="387" t="s">
        <v>1159</v>
      </c>
      <c r="L13" s="388"/>
      <c r="M13" s="241">
        <v>140</v>
      </c>
      <c r="N13" s="216">
        <f t="shared" si="0"/>
        <v>72.685714285714283</v>
      </c>
      <c r="O13" s="93" t="str" cm="1">
        <f t="array" ref="O13">IFERROR(_xlfn.IFS(P13&gt;0,"ENTREGADO",'Soli_citud '!A11="HERRAMIENTAS_","DEVOLUTIVO"),"")</f>
        <v/>
      </c>
      <c r="P13" s="244"/>
      <c r="Q13" s="452">
        <v>45063</v>
      </c>
      <c r="R13" s="241">
        <v>2</v>
      </c>
    </row>
    <row r="14" spans="1:26" ht="21" customHeight="1">
      <c r="A14" s="81">
        <v>3</v>
      </c>
      <c r="B14" s="410" t="str">
        <f>IFERROR(IF('Soli_citud '!D12="","",'Soli_citud '!D12),"")</f>
        <v>EMBONO PLASTICO GRIS DELGADO</v>
      </c>
      <c r="C14" s="410"/>
      <c r="D14" s="410"/>
      <c r="E14" s="410"/>
      <c r="F14" s="239" t="str">
        <f>IF('Soli_citud '!O12="","",'Soli_citud '!O12)</f>
        <v>m</v>
      </c>
      <c r="G14" s="239" cm="1">
        <f t="array" ref="G14">_xlfn.IFS('Soli_citud '!S12="","",'Soli_citud '!S12&lt;=0,"",'Soli_citud '!S12&gt;0,'Soli_citud '!S12)</f>
        <v>6</v>
      </c>
      <c r="H14" s="240">
        <v>45042</v>
      </c>
      <c r="I14" s="242">
        <v>6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ODENA 1,1 mm</v>
      </c>
      <c r="C15" s="410"/>
      <c r="D15" s="410"/>
      <c r="E15" s="410"/>
      <c r="F15" s="239" t="str">
        <f>IF('Soli_citud '!O13="","",'Soli_citud '!O13)</f>
        <v>cm2</v>
      </c>
      <c r="G15" s="239" cm="1">
        <f t="array" ref="G15">_xlfn.IFS('Soli_citud '!S13="","",'Soli_citud '!S13&lt;=0,"",'Soli_citud '!S13&gt;0,'Soli_citud '!S13)</f>
        <v>6.6</v>
      </c>
      <c r="H15" s="240">
        <v>45042</v>
      </c>
      <c r="I15" s="242">
        <v>6.6</v>
      </c>
      <c r="J15" s="215" t="str" cm="1">
        <f t="array" ref="J15">IFERROR(_xlfn.IFS(G15="","",I15=G15,"Cumplido",I15&lt;G15,G15-I15,I15&gt;G15,"Revisar"),"")</f>
        <v>Cumplido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MICROFIBRA BASE 0,5 Y 0,7</v>
      </c>
      <c r="C16" s="410"/>
      <c r="D16" s="410"/>
      <c r="E16" s="410"/>
      <c r="F16" s="239" t="str">
        <f>IF('Soli_citud '!O14="","",'Soli_citud '!O14)</f>
        <v>cm2</v>
      </c>
      <c r="G16" s="239" cm="1">
        <f t="array" ref="G16">_xlfn.IFS('Soli_citud '!S14="","",'Soli_citud '!S14&lt;=0,"",'Soli_citud '!S14&gt;0,'Soli_citud '!S14)</f>
        <v>8524</v>
      </c>
      <c r="H16" s="240">
        <v>45042</v>
      </c>
      <c r="I16" s="242">
        <v>8524</v>
      </c>
      <c r="J16" s="215" t="str" cm="1">
        <f t="array" ref="J16">IFERROR(_xlfn.IFS(G16="","",I16=G16,"Cumplido",I16&lt;G16,G16-I16,I16&gt;G16,"Revisar"),"")</f>
        <v>Cumplido</v>
      </c>
      <c r="K16" s="387"/>
      <c r="L16" s="388"/>
      <c r="M16" s="241">
        <v>140</v>
      </c>
      <c r="N16" s="216">
        <f>IFERROR(G16/M16,"")</f>
        <v>60.885714285714286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CREMALLERA POLIÉSTER #6</v>
      </c>
      <c r="C17" s="410"/>
      <c r="D17" s="410"/>
      <c r="E17" s="410"/>
      <c r="F17" s="239" t="str">
        <f>IF('Soli_citud '!O15="","",'Soli_citud '!O15)</f>
        <v>cm</v>
      </c>
      <c r="G17" s="239" cm="1">
        <f t="array" ref="G17">_xlfn.IFS('Soli_citud '!S15="","",'Soli_citud '!S15&lt;=0,"",'Soli_citud '!S15&gt;0,'Soli_citud '!S15)</f>
        <v>96</v>
      </c>
      <c r="H17" s="240">
        <v>45042</v>
      </c>
      <c r="I17" s="242">
        <v>96</v>
      </c>
      <c r="J17" s="215" t="str" cm="1">
        <f t="array" ref="J17">IFERROR(_xlfn.IFS(G17="","",I17=G17,"Cumplido",I17&lt;G17,G17-I17,I17&gt;G17,"Revisar"),"")</f>
        <v>Cumplido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>CREMALLERA POLIÉSTER #3</v>
      </c>
      <c r="C18" s="410"/>
      <c r="D18" s="410"/>
      <c r="E18" s="410"/>
      <c r="F18" s="239" t="str">
        <f>IF('Soli_citud '!O16="","",'Soli_citud '!O16)</f>
        <v>m</v>
      </c>
      <c r="G18" s="239" cm="1">
        <f t="array" ref="G18">_xlfn.IFS('Soli_citud '!S16="","",'Soli_citud '!S16&lt;=0,"",'Soli_citud '!S16&gt;0,'Soli_citud '!S16)</f>
        <v>0.8</v>
      </c>
      <c r="H18" s="240">
        <v>45042</v>
      </c>
      <c r="I18" s="242">
        <v>0.8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 xml:space="preserve">LLAVE METÁLICA DESLIZADOR   #6 PARA CREMALLERA - NÍQUEL 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4</v>
      </c>
      <c r="H19" s="240">
        <v>45042</v>
      </c>
      <c r="I19" s="242">
        <v>4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 xml:space="preserve">LLAVE METÁLICA DESLIZADOR   #3 PARA CREMALLERA - NÍQUEL </v>
      </c>
      <c r="C20" s="410"/>
      <c r="D20" s="410"/>
      <c r="E20" s="410"/>
      <c r="F20" s="239" t="str">
        <f>IF('Soli_citud '!O18="","",'Soli_citud '!O18)</f>
        <v>U</v>
      </c>
      <c r="G20" s="239" cm="1">
        <f t="array" ref="G20">_xlfn.IFS('Soli_citud '!S18="","",'Soli_citud '!S18&lt;=0,"",'Soli_citud '!S18&gt;0,'Soli_citud '!S18)</f>
        <v>4</v>
      </c>
      <c r="H20" s="240">
        <v>45042</v>
      </c>
      <c r="I20" s="242">
        <v>4</v>
      </c>
      <c r="J20" s="215" t="str" cm="1">
        <f t="array" ref="J20">IFERROR(_xlfn.IFS(G20="","",I20=G20,"Cumplido",I20&lt;G20,G20-I20,I20&gt;G20,"Revisar"),"")</f>
        <v>Cumplido</v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>MEDIA ARGOLLA NÍQUEL 1 1/2 " ALAMBRE DELGADA</v>
      </c>
      <c r="C21" s="410"/>
      <c r="D21" s="410"/>
      <c r="E21" s="410"/>
      <c r="F21" s="239" t="str">
        <f>IF('Soli_citud '!O19="","",'Soli_citud '!O19)</f>
        <v>U</v>
      </c>
      <c r="G21" s="239" cm="1">
        <f t="array" ref="G21">_xlfn.IFS('Soli_citud '!S19="","",'Soli_citud '!S19&lt;=0,"",'Soli_citud '!S19&gt;0,'Soli_citud '!S19)</f>
        <v>24</v>
      </c>
      <c r="H21" s="240">
        <v>45042</v>
      </c>
      <c r="I21" s="242">
        <v>24</v>
      </c>
      <c r="J21" s="215" t="str" cm="1">
        <f t="array" ref="J21">IFERROR(_xlfn.IFS(G21="","",I21=G21,"Cumplido",I21&lt;G21,G21-I21,I21&gt;G21,"Revisar"),"")</f>
        <v>Cumplido</v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>TRABILLA 1" NÍQUEL</v>
      </c>
      <c r="C22" s="410"/>
      <c r="D22" s="410"/>
      <c r="E22" s="410"/>
      <c r="F22" s="239" t="str">
        <f>IF('Soli_citud '!O20="","",'Soli_citud '!O20)</f>
        <v>U</v>
      </c>
      <c r="G22" s="239" cm="1">
        <f t="array" ref="G22">_xlfn.IFS('Soli_citud '!S20="","",'Soli_citud '!S20&lt;=0,"",'Soli_citud '!S20&gt;0,'Soli_citud '!S20)</f>
        <v>4</v>
      </c>
      <c r="H22" s="240">
        <v>45042</v>
      </c>
      <c r="I22" s="242">
        <v>4</v>
      </c>
      <c r="J22" s="215" t="str" cm="1">
        <f t="array" ref="J22">IFERROR(_xlfn.IFS(G22="","",I22=G22,"Cumplido",I22&lt;G22,G22-I22,I22&gt;G22,"Revisar"),"")</f>
        <v>Cumplido</v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>MOSQUETÓN 1" NIQUELADO LUJO</v>
      </c>
      <c r="C23" s="410"/>
      <c r="D23" s="410"/>
      <c r="E23" s="410"/>
      <c r="F23" s="239" t="str">
        <f>IF('Soli_citud '!O21="","",'Soli_citud '!O21)</f>
        <v>U</v>
      </c>
      <c r="G23" s="239" cm="1">
        <f t="array" ref="G23">_xlfn.IFS('Soli_citud '!S21="","",'Soli_citud '!S21&lt;=0,"",'Soli_citud '!S21&gt;0,'Soli_citud '!S21)</f>
        <v>8</v>
      </c>
      <c r="H23" s="240">
        <v>45042</v>
      </c>
      <c r="I23" s="242">
        <v>8</v>
      </c>
      <c r="J23" s="215" t="str" cm="1">
        <f t="array" ref="J23">IFERROR(_xlfn.IFS(G23="","",I23=G23,"Cumplido",I23&lt;G23,G23-I23,I23&gt;G23,"Revisar"),"")</f>
        <v>Cumplido</v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>COLA DE RATA #6</v>
      </c>
      <c r="C24" s="410"/>
      <c r="D24" s="410"/>
      <c r="E24" s="410"/>
      <c r="F24" s="239" t="str">
        <f>IF('Soli_citud '!O22="","",'Soli_citud '!O22)</f>
        <v>m</v>
      </c>
      <c r="G24" s="239" cm="1">
        <f t="array" ref="G24">_xlfn.IFS('Soli_citud '!S22="","",'Soli_citud '!S22&lt;=0,"",'Soli_citud '!S22&gt;0,'Soli_citud '!S22)</f>
        <v>4.8</v>
      </c>
      <c r="H24" s="240">
        <v>45042</v>
      </c>
      <c r="I24" s="242">
        <v>4.8</v>
      </c>
      <c r="J24" s="215" t="str" cm="1">
        <f t="array" ref="J24">IFERROR(_xlfn.IFS(G24="","",I24=G24,"Cumplido",I24&lt;G24,G24-I24,I24&gt;G24,"Revisar"),"")</f>
        <v>Cumplido</v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 xml:space="preserve">PEGANTE CEMENTO DE CONTACTO BASE CLOROPRENO
</v>
      </c>
      <c r="C25" s="410"/>
      <c r="D25" s="410"/>
      <c r="E25" s="410"/>
      <c r="F25" s="239" t="str">
        <f>IF('Soli_citud '!O23="","",'Soli_citud '!O23)</f>
        <v>ml</v>
      </c>
      <c r="G25" s="239" cm="1">
        <f t="array" ref="G25">_xlfn.IFS('Soli_citud '!S23="","",'Soli_citud '!S23&lt;=0,"",'Soli_citud '!S23&gt;0,'Soli_citud '!S23)</f>
        <v>2400</v>
      </c>
      <c r="H25" s="240">
        <v>45042</v>
      </c>
      <c r="I25" s="242">
        <v>2400</v>
      </c>
      <c r="J25" s="215" t="str" cm="1">
        <f t="array" ref="J25">IFERROR(_xlfn.IFS(G25="","",I25=G25,"Cumplido",I25&lt;G25,G25-I25,I25&gt;G25,"Revisar"),"")</f>
        <v>Cumplido</v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45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42578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42578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42578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2023-05-17T13:59:21Z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