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Giovanni\Desktop\GRUPOS COMPLEMENTARIOS 2025\2 FICHA DE PEDIDOS PARA LOS GRUPOS COMPLEMENTARIOS\6 CALDAS 2 A 6 GOTITAS DE AMOR\1 BILLETERA\"/>
    </mc:Choice>
  </mc:AlternateContent>
  <xr:revisionPtr revIDLastSave="0" documentId="13_ncr:1_{BD0463BA-B20D-4BA4-8EDB-F80E6F8C0106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 s="1"/>
  <c r="P16" i="61" a="1"/>
  <c r="P16" i="61"/>
  <c r="P17" i="61" a="1"/>
  <c r="P17" i="61" s="1"/>
  <c r="P18" i="61" a="1"/>
  <c r="P18" i="61" s="1"/>
  <c r="P19" i="61" a="1"/>
  <c r="P19" i="61"/>
  <c r="P20" i="61" a="1"/>
  <c r="P20" i="61" s="1"/>
  <c r="P21" i="61" a="1"/>
  <c r="P21" i="61" s="1"/>
  <c r="P22" i="61" a="1"/>
  <c r="P22" i="61"/>
  <c r="P23" i="61" a="1"/>
  <c r="P23" i="61" s="1"/>
  <c r="P24" i="61" a="1"/>
  <c r="P24" i="61" s="1"/>
  <c r="P25" i="61" a="1"/>
  <c r="P25" i="61"/>
  <c r="P26" i="61" a="1"/>
  <c r="P26" i="61" s="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5" i="43" l="1"/>
  <c r="W23" i="43"/>
  <c r="W19" i="43"/>
  <c r="W18" i="43"/>
  <c r="W14" i="43"/>
  <c r="W11" i="43"/>
  <c r="W22" i="43"/>
  <c r="O27" i="61"/>
  <c r="K27" i="61" a="1"/>
  <c r="K27" i="61" s="1"/>
  <c r="B27" i="61"/>
  <c r="O22" i="61"/>
  <c r="K22" i="61" a="1"/>
  <c r="K22" i="61" s="1"/>
  <c r="B22" i="61"/>
  <c r="B19" i="61"/>
  <c r="O19" i="61"/>
  <c r="K19" i="61" a="1"/>
  <c r="K19" i="61" s="1"/>
  <c r="O32" i="61"/>
  <c r="K32" i="61" a="1"/>
  <c r="K32" i="61" s="1"/>
  <c r="B32" i="61"/>
  <c r="K29" i="61" a="1"/>
  <c r="K29" i="61" s="1"/>
  <c r="O29" i="61"/>
  <c r="B29" i="61"/>
  <c r="K24" i="61" a="1"/>
  <c r="K24" i="61" s="1"/>
  <c r="B24" i="61"/>
  <c r="O24" i="61"/>
  <c r="B21" i="61"/>
  <c r="K21" i="61" a="1"/>
  <c r="K21" i="61" s="1"/>
  <c r="O21" i="61"/>
  <c r="O16" i="61"/>
  <c r="K16" i="61" a="1"/>
  <c r="K16" i="61" s="1"/>
  <c r="B16" i="61"/>
  <c r="K13" i="61" a="1"/>
  <c r="K13" i="61" s="1"/>
  <c r="O13" i="61"/>
  <c r="B13" i="61"/>
  <c r="K30" i="61" a="1"/>
  <c r="K30" i="61" s="1"/>
  <c r="O30" i="61"/>
  <c r="B30" i="61"/>
  <c r="K14" i="61" a="1"/>
  <c r="K14" i="61" s="1"/>
  <c r="B14" i="61"/>
  <c r="O14" i="61"/>
  <c r="K31" i="61" a="1"/>
  <c r="K31" i="61" s="1"/>
  <c r="B31" i="61"/>
  <c r="O31" i="61"/>
  <c r="O26" i="61"/>
  <c r="K26" i="61" a="1"/>
  <c r="K26" i="61" s="1"/>
  <c r="B26" i="61"/>
  <c r="O23" i="61"/>
  <c r="K23" i="61" a="1"/>
  <c r="K23" i="61" s="1"/>
  <c r="B23" i="61"/>
  <c r="K18" i="61" a="1"/>
  <c r="K18" i="61" s="1"/>
  <c r="B18" i="61"/>
  <c r="O18" i="61"/>
  <c r="K15" i="61" a="1"/>
  <c r="K15" i="61" s="1"/>
  <c r="B15" i="61"/>
  <c r="O15" i="61"/>
  <c r="O28" i="61"/>
  <c r="K28" i="61" a="1"/>
  <c r="K28" i="61" s="1"/>
  <c r="B28" i="61"/>
  <c r="B25" i="61"/>
  <c r="K25" i="61" a="1"/>
  <c r="K25" i="61" s="1"/>
  <c r="O25" i="61"/>
  <c r="K20" i="61" a="1"/>
  <c r="K20" i="61" s="1"/>
  <c r="B20" i="61"/>
  <c r="O20" i="61"/>
  <c r="K17" i="61" a="1"/>
  <c r="K17" i="61" s="1"/>
  <c r="O17" i="61"/>
  <c r="B17" i="61"/>
  <c r="O12" i="61"/>
  <c r="K12" i="61" a="1"/>
  <c r="K12" i="61" s="1"/>
  <c r="B12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<sst xmlns="http://schemas.openxmlformats.org/spreadsheetml/2006/main" count="5038" uniqueCount="1395">
  <si>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</si>
  <si>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</si>
  <si>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</si>
  <si>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</si>
  <si>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</si>
  <si>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</si>
  <si>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</si>
  <si>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</si>
  <si>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</si>
  <si>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</si>
  <si>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</si>
  <si>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</si>
  <si>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</si>
  <si>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</si>
  <si>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</si>
  <si>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</si>
  <si>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</si>
  <si>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</si>
  <si>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</si>
  <si>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</si>
  <si>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</si>
  <si>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</si>
  <si>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</si>
  <si>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</si>
  <si>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</si>
  <si>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</si>
  <si>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</si>
  <si>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</si>
  <si>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</si>
  <si>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</si>
  <si>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</si>
  <si>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</si>
  <si>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</si>
  <si>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</si>
  <si>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</si>
  <si>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</si>
  <si>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</si>
  <si>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</si>
  <si>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</si>
  <si>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</si>
  <si>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</si>
  <si>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</si>
  <si>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</si>
  <si>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</si>
  <si>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</si>
  <si>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</si>
  <si>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</si>
  <si>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</si>
  <si>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</si>
  <si>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</si>
  <si>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</si>
  <si>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</si>
  <si>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</si>
  <si>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</si>
  <si>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</si>
  <si>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</si>
  <si>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</si>
  <si>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</si>
  <si>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</si>
  <si>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</si>
  <si>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</si>
  <si>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</si>
  <si>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</si>
  <si>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</si>
  <si>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</si>
  <si>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</si>
  <si>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</si>
  <si>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</si>
  <si>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</si>
  <si>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</si>
  <si>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</si>
  <si>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</si>
  <si>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</si>
  <si>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</si>
  <si>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</si>
  <si>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</si>
  <si>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</si>
  <si>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</si>
  <si>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</si>
  <si>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</si>
  <si>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</si>
  <si>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</si>
  <si>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</si>
  <si>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</si>
  <si>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</si>
  <si>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</si>
  <si>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</si>
  <si>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</si>
  <si>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</si>
  <si>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</si>
  <si>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</si>
  <si>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</si>
  <si>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</si>
  <si>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</si>
  <si>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</si>
  <si>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</si>
  <si>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</si>
  <si>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</si>
  <si>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</si>
  <si>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</si>
  <si>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</si>
  <si>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</si>
  <si>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</si>
  <si>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</si>
  <si>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</si>
  <si>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</si>
  <si>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</si>
  <si>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</si>
  <si>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</si>
  <si>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</si>
  <si>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</si>
  <si>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</si>
  <si>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</si>
  <si>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</si>
  <si>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</si>
  <si>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</si>
  <si>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</si>
  <si>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</si>
  <si>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</si>
  <si>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</si>
  <si>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</si>
  <si>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</si>
  <si>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</si>
  <si>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</si>
  <si>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</si>
  <si>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</si>
  <si>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</si>
  <si>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</si>
  <si>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</si>
  <si>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</si>
  <si>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</si>
  <si>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</si>
  <si>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</si>
  <si>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</si>
  <si>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</si>
  <si>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</si>
  <si>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</si>
  <si>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</si>
  <si>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</si>
  <si>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</si>
  <si>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</si>
  <si>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</si>
  <si>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</si>
  <si>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</si>
  <si>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</si>
  <si>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</si>
  <si>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</si>
  <si>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</si>
  <si>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</si>
  <si>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</si>
  <si>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</si>
  <si>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</si>
  <si>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</si>
  <si>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</si>
  <si>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</si>
  <si>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</si>
  <si>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</si>
  <si>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</si>
  <si>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</si>
  <si>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</si>
  <si>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</si>
  <si>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</si>
  <si>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</si>
  <si>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</si>
  <si>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</si>
  <si>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</si>
  <si>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</si>
  <si>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</si>
  <si>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</si>
  <si>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</si>
  <si>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</si>
  <si>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</si>
  <si>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</si>
  <si>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</si>
  <si>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</si>
  <si>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</si>
  <si>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</si>
  <si>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</si>
  <si>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</si>
  <si>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</si>
  <si>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</si>
  <si>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</si>
  <si>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</si>
  <si>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</si>
  <si>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</si>
  <si>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</si>
  <si>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</si>
  <si>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</si>
  <si>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</si>
  <si>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</si>
  <si>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</si>
  <si>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</si>
  <si>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</si>
  <si>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</si>
  <si>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</si>
  <si>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</si>
  <si>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</si>
  <si>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</si>
  <si>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</si>
  <si>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</si>
  <si>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</si>
  <si>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</si>
  <si>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</si>
  <si>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</si>
  <si>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</si>
  <si>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</si>
  <si>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</si>
  <si>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</si>
  <si>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</si>
  <si>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</si>
  <si>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</si>
  <si>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</si>
  <si>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</si>
  <si>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</si>
  <si>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</si>
  <si>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</si>
  <si>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</si>
  <si>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</si>
  <si>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</si>
  <si>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</si>
  <si>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</si>
  <si>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</si>
  <si>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</si>
  <si>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</si>
  <si>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</si>
  <si>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</si>
  <si>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</si>
  <si>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</si>
  <si>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</si>
  <si>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</si>
  <si>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</si>
  <si>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</si>
  <si>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</si>
  <si>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</si>
  <si>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</si>
  <si>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</si>
  <si>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</si>
  <si>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</si>
  <si>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</si>
  <si>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</si>
  <si>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</si>
  <si>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</si>
  <si>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</si>
  <si>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</si>
  <si>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</si>
  <si>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</si>
  <si>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</si>
  <si>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</si>
  <si>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</si>
  <si>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</si>
  <si>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</si>
  <si>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</si>
  <si>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</si>
  <si>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</si>
  <si>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</si>
  <si>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</si>
  <si>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</si>
  <si>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</si>
  <si>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</si>
  <si>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</si>
  <si>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</si>
  <si>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</si>
  <si>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</si>
  <si>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</si>
  <si>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</si>
  <si>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</si>
  <si>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</si>
  <si>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</si>
  <si>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</si>
  <si>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</si>
  <si>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</si>
  <si>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</si>
  <si>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</si>
  <si>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</si>
  <si>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</si>
  <si>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</si>
  <si>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</si>
  <si>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</si>
  <si>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</si>
  <si>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</si>
  <si>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</si>
  <si>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</si>
  <si>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</si>
  <si>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</si>
  <si>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</si>
  <si>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</si>
  <si>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</si>
  <si>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</si>
  <si>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</si>
  <si>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</si>
  <si>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</si>
  <si>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</si>
  <si>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</si>
  <si>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</si>
  <si>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</si>
  <si>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</si>
  <si>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</si>
  <si>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</si>
  <si>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</si>
  <si>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</si>
  <si>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</si>
  <si>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</si>
  <si>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</si>
  <si>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</si>
  <si>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</si>
  <si>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</si>
  <si>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</si>
  <si>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</si>
  <si>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</si>
  <si>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</si>
  <si>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</si>
  <si>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</si>
  <si>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</si>
  <si>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</si>
  <si>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</si>
  <si>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</si>
  <si>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</si>
  <si>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</si>
  <si>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</si>
  <si>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</si>
  <si>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</si>
  <si>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</si>
  <si>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</si>
  <si>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</si>
  <si>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</si>
  <si>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</si>
  <si>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</si>
  <si>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</si>
  <si>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</si>
  <si>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</si>
  <si>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</si>
  <si>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</si>
  <si>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</si>
  <si>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</si>
  <si>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</si>
  <si>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</si>
  <si>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</si>
  <si>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</si>
  <si>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</si>
  <si>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</si>
  <si>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</si>
  <si>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</si>
  <si>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</si>
  <si>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</si>
  <si>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</si>
  <si>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</si>
  <si>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</si>
  <si>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</si>
  <si>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</si>
  <si>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</si>
  <si>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</si>
  <si>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</si>
  <si>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</si>
  <si>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</si>
  <si>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</si>
  <si>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</si>
  <si>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</si>
  <si>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</si>
  <si>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</si>
  <si>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</si>
  <si>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</si>
  <si>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</si>
  <si>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</si>
  <si>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</si>
  <si>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</si>
  <si>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</si>
  <si>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</si>
  <si>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</si>
  <si>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</si>
  <si>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</si>
  <si>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</si>
  <si>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</si>
  <si>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</si>
  <si>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</si>
  <si>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</si>
  <si>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</si>
  <si>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</si>
  <si>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</si>
  <si>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</si>
  <si>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</si>
  <si>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</si>
  <si>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</si>
  <si>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</si>
  <si>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</si>
  <si>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</si>
  <si>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</si>
  <si>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</si>
  <si>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</si>
  <si>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</si>
  <si>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</si>
  <si>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</si>
  <si>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</si>
  <si>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</si>
  <si>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</si>
  <si>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</si>
  <si>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</si>
  <si>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</si>
  <si>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</si>
  <si>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</si>
  <si>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</si>
  <si>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</si>
  <si>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</si>
  <si>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</si>
  <si>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</si>
  <si>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</si>
  <si>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</si>
  <si>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</si>
  <si>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</si>
  <si>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</si>
  <si>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</si>
  <si>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</si>
  <si>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</si>
  <si>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</si>
  <si>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</si>
  <si>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</si>
  <si>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</si>
  <si>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</si>
  <si>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</si>
  <si>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</si>
  <si>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</si>
  <si>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</si>
  <si>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</si>
  <si>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</si>
  <si>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</si>
  <si>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</si>
  <si>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</si>
  <si>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</si>
  <si>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</si>
  <si>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</si>
  <si>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</si>
  <si>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</si>
  <si>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</si>
  <si>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</si>
  <si>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</si>
  <si>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</si>
  <si>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</si>
  <si>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</si>
  <si>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</si>
  <si>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</si>
  <si>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</si>
  <si>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</si>
  <si>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</si>
  <si>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</si>
  <si>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</si>
  <si>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</si>
  <si>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</si>
  <si>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</si>
  <si>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</si>
  <si>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</si>
  <si>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</si>
  <si>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</si>
  <si>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</si>
  <si>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</si>
  <si>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</si>
  <si>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</si>
  <si>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</si>
  <si>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</si>
  <si>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</si>
  <si>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</si>
  <si>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</si>
  <si>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</si>
  <si>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</si>
  <si>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</si>
  <si>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</si>
  <si>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</si>
  <si>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</si>
  <si>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</si>
  <si>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</si>
  <si>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</si>
  <si>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</si>
  <si>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</si>
  <si>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</si>
  <si>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</si>
  <si>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</si>
  <si>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</si>
  <si>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</si>
  <si>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</si>
  <si>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</si>
  <si>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</si>
  <si>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</si>
  <si>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</si>
  <si>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</si>
  <si>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</si>
  <si>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</si>
  <si>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</si>
  <si>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</si>
  <si>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</si>
  <si>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</si>
  <si>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</si>
  <si>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</si>
  <si>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</si>
  <si>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</si>
  <si>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</si>
  <si>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</si>
  <si>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</si>
  <si>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</si>
  <si>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</si>
  <si>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</si>
  <si>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</si>
  <si>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</si>
  <si>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</si>
  <si>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</si>
  <si>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</si>
  <si>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</si>
  <si>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</si>
  <si>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</si>
  <si>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</si>
  <si>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</si>
  <si>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</si>
  <si>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</si>
  <si>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</si>
  <si>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</si>
  <si>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</si>
  <si>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</si>
  <si>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</si>
  <si>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</si>
  <si>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</si>
  <si>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</si>
  <si>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</si>
  <si>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</si>
  <si>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</si>
  <si>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</si>
  <si>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</si>
  <si>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</si>
  <si>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</si>
  <si>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</si>
  <si>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</si>
  <si>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</si>
  <si>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</si>
  <si>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</si>
  <si>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</si>
  <si>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</si>
  <si>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</si>
  <si>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</si>
  <si>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</si>
  <si>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</si>
  <si>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</si>
  <si>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</si>
  <si>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</si>
  <si>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</si>
  <si>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</si>
  <si>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</si>
  <si>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</si>
  <si>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</si>
  <si>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</si>
  <si>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</si>
  <si>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</si>
  <si>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</si>
  <si>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</si>
  <si>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</si>
  <si>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</si>
  <si>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</si>
  <si>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</si>
  <si>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</si>
  <si>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</si>
  <si>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</si>
  <si>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</si>
  <si>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</si>
  <si>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</si>
  <si>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</si>
  <si>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</si>
  <si>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</si>
  <si>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</si>
  <si>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</si>
  <si>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</si>
  <si>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</si>
  <si>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</si>
  <si>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</si>
  <si>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</si>
  <si>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</si>
  <si>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</si>
  <si>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</si>
  <si>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</si>
  <si>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</si>
  <si>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</si>
  <si>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</si>
  <si>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</si>
  <si>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</si>
  <si>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</si>
  <si>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</si>
  <si>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</si>
  <si>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</si>
  <si>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</si>
  <si>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</si>
  <si>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</si>
  <si>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</si>
  <si>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</si>
  <si>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</si>
  <si>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</si>
  <si>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</si>
  <si>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</si>
  <si>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</si>
  <si>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</si>
  <si>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</si>
  <si>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</si>
  <si>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</si>
  <si>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</si>
  <si>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</si>
  <si>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</si>
  <si>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</si>
  <si>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</si>
  <si>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</si>
  <si>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</si>
  <si>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</si>
  <si>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</si>
  <si>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</si>
  <si>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</si>
  <si>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</si>
  <si>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</si>
  <si>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</si>
  <si>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</si>
  <si>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</si>
  <si>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</si>
  <si>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</si>
  <si>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</si>
  <si>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</si>
  <si>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</si>
  <si>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</si>
  <si>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</si>
  <si>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</si>
  <si>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</si>
  <si>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</si>
  <si>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</si>
  <si>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</si>
  <si>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</si>
  <si>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</si>
  <si>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</si>
  <si>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</si>
  <si>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</si>
  <si>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</si>
  <si>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</si>
  <si>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</si>
  <si>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</si>
  <si>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</si>
  <si>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</si>
  <si>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</si>
  <si>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</si>
  <si>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</si>
  <si>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</si>
  <si>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</si>
  <si>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</si>
  <si>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</si>
  <si>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</si>
  <si>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</si>
  <si>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</si>
  <si>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</si>
  <si>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</si>
  <si>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</si>
  <si>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</si>
  <si>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</si>
  <si>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</si>
  <si>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</si>
  <si>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</si>
  <si>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</si>
  <si>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</si>
  <si>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</si>
  <si>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</si>
  <si>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</si>
  <si>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</si>
  <si>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</si>
  <si>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</si>
  <si>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</si>
  <si>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</si>
  <si>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</si>
  <si>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</si>
  <si>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</si>
  <si>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</si>
  <si>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</si>
  <si>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</si>
  <si>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</si>
  <si>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</si>
  <si>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</si>
  <si>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</si>
  <si>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</si>
  <si>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</si>
  <si>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</si>
  <si>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</si>
  <si>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</si>
  <si>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</si>
  <si>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</si>
  <si>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</si>
  <si>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</si>
  <si>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</si>
  <si>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</si>
  <si>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</si>
  <si>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</si>
  <si>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</si>
  <si>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</si>
  <si>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</si>
  <si>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</si>
  <si>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</si>
  <si>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</si>
  <si>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</si>
  <si>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</si>
  <si>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</si>
  <si>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</si>
  <si>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</si>
  <si>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</si>
  <si>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</si>
  <si>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</si>
  <si>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</si>
  <si>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</si>
  <si>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</si>
  <si>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</si>
  <si>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</si>
  <si>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</si>
  <si>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</si>
  <si>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</si>
  <si>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</si>
  <si>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</si>
  <si>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</si>
  <si>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</si>
  <si>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</si>
  <si>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</si>
  <si>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</si>
  <si>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</si>
  <si>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</si>
  <si>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</si>
  <si>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</si>
  <si>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</si>
  <si>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</si>
  <si>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</si>
  <si>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</si>
  <si>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</si>
  <si>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</si>
  <si>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</si>
  <si>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</si>
  <si>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</si>
  <si>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</si>
  <si>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</si>
  <si>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</si>
  <si>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</si>
  <si>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</si>
  <si>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</si>
  <si>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</si>
  <si>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</si>
  <si>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</si>
  <si>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</si>
  <si>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</si>
  <si>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</si>
  <si>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</si>
  <si>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</si>
  <si>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</si>
  <si>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</si>
  <si>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</si>
  <si>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</si>
  <si>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</si>
  <si>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</si>
  <si>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</si>
  <si>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</si>
  <si>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</si>
  <si>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</si>
  <si>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</si>
  <si>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</si>
  <si>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</si>
  <si>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</si>
  <si>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</si>
  <si>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</si>
  <si>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</si>
  <si>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</si>
  <si>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</si>
  <si>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</si>
  <si>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</si>
  <si>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</si>
  <si>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</si>
  <si>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</si>
  <si>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</si>
  <si>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</si>
  <si>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</si>
  <si>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</si>
  <si>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</si>
  <si>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</si>
  <si>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</si>
  <si>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</si>
  <si>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</si>
  <si>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</si>
  <si>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</si>
  <si>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</si>
  <si>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</si>
  <si>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</si>
  <si>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</si>
  <si>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</si>
  <si>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</si>
  <si>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</si>
  <si>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</si>
  <si>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</si>
  <si>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</si>
  <si>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</si>
  <si>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</si>
  <si>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</si>
  <si>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</si>
  <si>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</si>
  <si>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</si>
  <si>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</si>
  <si>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</si>
  <si>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</si>
  <si>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</si>
  <si>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</si>
  <si>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</si>
  <si>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</si>
  <si>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</si>
  <si>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</si>
  <si>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</si>
  <si>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</si>
  <si>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</si>
  <si>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</si>
  <si>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</si>
  <si>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</si>
  <si>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</si>
  <si>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</si>
  <si>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</si>
  <si>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</si>
  <si>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</si>
  <si>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</si>
  <si>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</si>
  <si>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</si>
  <si>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</si>
  <si>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</si>
  <si>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</si>
  <si>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</si>
  <si>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</si>
  <si>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</si>
  <si>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</si>
  <si>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</si>
  <si>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</si>
  <si>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</si>
  <si>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</si>
  <si>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</si>
  <si>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</si>
  <si>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</si>
  <si>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</si>
  <si>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</si>
  <si>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</si>
  <si>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</si>
  <si>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</si>
  <si>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</si>
  <si>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</si>
  <si>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</si>
  <si>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</si>
  <si>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</si>
  <si>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</si>
  <si>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</si>
  <si>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</si>
  <si>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</si>
  <si>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</si>
  <si>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</si>
  <si>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</si>
  <si>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</si>
  <si>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</si>
  <si>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</si>
  <si>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</si>
  <si>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</si>
  <si>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</si>
  <si>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</si>
  <si>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</si>
  <si>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</si>
  <si>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</si>
  <si>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</si>
  <si>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</si>
  <si>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</si>
  <si>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</si>
  <si>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</si>
  <si>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</si>
  <si>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</si>
  <si>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</si>
  <si>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</si>
  <si>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</si>
  <si>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</si>
  <si>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</si>
  <si>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</si>
  <si>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</si>
  <si>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</si>
  <si>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</si>
  <si>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</si>
  <si>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</si>
  <si>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</si>
  <si>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</si>
  <si>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</si>
  <si>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</si>
  <si>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</si>
  <si>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</si>
  <si>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</si>
  <si>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</si>
  <si>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</si>
  <si>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</si>
  <si>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</si>
  <si>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</si>
  <si>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</si>
  <si>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</si>
  <si>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</si>
  <si>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</si>
  <si>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</si>
  <si>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</si>
  <si>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</si>
  <si>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</si>
  <si>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</si>
  <si>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</si>
  <si>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</si>
  <si>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</si>
  <si>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</si>
  <si>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</si>
  <si>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</si>
  <si>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</si>
  <si>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</si>
  <si>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</si>
  <si>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</si>
  <si>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</si>
  <si>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</si>
  <si>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</si>
  <si>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</si>
  <si>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</si>
  <si>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</si>
  <si>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</si>
  <si>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</si>
  <si>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</si>
  <si>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</si>
  <si>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</si>
  <si>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</si>
  <si>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</si>
  <si>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</si>
  <si>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</si>
  <si>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</si>
  <si>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</si>
  <si>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</si>
  <si>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</si>
  <si>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</si>
  <si>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</si>
  <si>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</si>
  <si>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</si>
  <si>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</si>
  <si>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</si>
  <si>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</si>
  <si>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</si>
  <si>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</si>
  <si>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</si>
  <si>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</si>
  <si>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</si>
  <si>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</si>
  <si>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</si>
  <si>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</si>
  <si>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</si>
  <si>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</si>
  <si>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</si>
  <si>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</si>
  <si>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</si>
  <si>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</si>
  <si>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</si>
  <si>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</si>
  <si>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</si>
  <si>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</si>
  <si>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</si>
  <si>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</si>
  <si>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</si>
  <si>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</si>
  <si>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</si>
  <si>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</si>
  <si>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</si>
  <si>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</si>
  <si>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</si>
  <si>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</si>
  <si>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</si>
  <si>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</si>
  <si>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</si>
  <si>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</si>
  <si>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</si>
  <si>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</si>
  <si>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</si>
  <si>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</si>
  <si>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</si>
  <si>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</si>
  <si>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</si>
  <si>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</si>
  <si>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</si>
  <si>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</si>
  <si>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</si>
  <si>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</si>
  <si>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</si>
  <si>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</si>
  <si>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</si>
  <si>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</si>
  <si>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</si>
  <si>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</si>
  <si>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</si>
  <si>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</si>
  <si>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</si>
  <si>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</si>
  <si>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</si>
  <si>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</si>
  <si>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</si>
  <si>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</si>
  <si>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</si>
  <si>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</si>
  <si>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</si>
  <si>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</si>
  <si>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</si>
  <si>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</si>
  <si>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</si>
  <si>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</si>
  <si>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</si>
  <si>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</si>
  <si>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</si>
  <si>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</si>
  <si>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</si>
  <si>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</si>
  <si>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</si>
  <si>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</si>
  <si>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</si>
  <si>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</si>
  <si>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</si>
  <si>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</si>
  <si>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</si>
  <si>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</si>
  <si>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</si>
  <si>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</si>
  <si>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</si>
  <si>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</si>
  <si>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</si>
  <si>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</si>
  <si>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</si>
  <si>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</si>
  <si>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</si>
  <si>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</si>
  <si>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</si>
  <si>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</si>
  <si>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</si>
  <si>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</si>
  <si>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</si>
  <si>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</si>
  <si>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</si>
  <si>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</si>
  <si>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</si>
  <si>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</si>
  <si>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</si>
  <si>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</si>
  <si>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</si>
  <si>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</si>
  <si>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</si>
  <si>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</si>
  <si>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</si>
  <si>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</si>
  <si>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</si>
  <si>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</si>
  <si>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</si>
  <si>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</si>
  <si>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</si>
  <si>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</si>
  <si>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</si>
  <si>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</si>
  <si>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</si>
  <si>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</si>
  <si>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</si>
  <si>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</si>
  <si>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</si>
  <si>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</si>
  <si>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</si>
  <si>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</si>
  <si>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</si>
  <si>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</si>
  <si>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</si>
  <si>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</si>
  <si>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</si>
  <si>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</si>
  <si>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</si>
  <si>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</si>
  <si>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</si>
  <si>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</si>
  <si>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</si>
  <si>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</si>
  <si>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</si>
  <si>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</si>
  <si>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</si>
  <si>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</si>
  <si>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</si>
  <si>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</si>
  <si>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</si>
  <si>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</si>
  <si>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</si>
  <si>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</si>
  <si>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</si>
  <si>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</si>
  <si>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</si>
  <si>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</si>
  <si>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</si>
  <si>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</si>
  <si>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</si>
  <si>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</si>
  <si>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</si>
  <si>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</si>
  <si>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</si>
  <si>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</si>
  <si>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</si>
  <si>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</si>
  <si>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</si>
  <si>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</si>
  <si>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</si>
  <si>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</si>
  <si>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</si>
  <si>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</si>
  <si>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</si>
  <si>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</si>
  <si>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</si>
  <si>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</si>
  <si>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</si>
  <si>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</si>
  <si>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</si>
  <si>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</si>
  <si>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</si>
  <si>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</si>
  <si>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</si>
  <si>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</si>
  <si>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</si>
  <si>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</si>
  <si>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</si>
  <si>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</si>
  <si>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</si>
  <si>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</si>
  <si>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</si>
  <si>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</si>
  <si>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</si>
  <si>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</si>
  <si>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</si>
  <si>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</si>
  <si>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</si>
  <si>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</si>
  <si>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</si>
  <si>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</si>
  <si>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</si>
  <si>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</si>
  <si>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</si>
  <si>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</si>
  <si>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</si>
  <si>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</si>
  <si>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</si>
  <si>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</si>
  <si>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</si>
  <si>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</si>
  <si>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</si>
  <si>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</si>
  <si>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</si>
  <si>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</si>
  <si>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</si>
  <si>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</si>
  <si>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</si>
  <si>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</si>
  <si>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</si>
  <si>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</si>
  <si>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</si>
  <si>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</si>
  <si>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</si>
  <si>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</si>
  <si>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</si>
  <si>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</si>
  <si>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</si>
  <si>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</si>
  <si>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</si>
  <si>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</si>
  <si>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</si>
  <si>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</si>
  <si>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</si>
  <si>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</si>
  <si>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</si>
  <si>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</si>
  <si>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</si>
  <si>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</si>
  <si>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</si>
  <si>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</si>
  <si>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</si>
  <si>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</si>
  <si>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</si>
  <si>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</si>
  <si>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</si>
  <si>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</si>
  <si>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</si>
  <si>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</si>
  <si>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</si>
  <si>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</si>
  <si>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</si>
  <si>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</si>
  <si>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</si>
  <si>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</si>
  <si>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</si>
  <si>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</si>
  <si>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</si>
  <si>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</si>
  <si>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</si>
  <si>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</si>
  <si>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</si>
  <si>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</si>
  <si>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</si>
  <si>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</si>
  <si>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</si>
  <si>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</si>
  <si>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</si>
  <si>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</si>
  <si>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</si>
  <si>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</si>
  <si>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</si>
  <si>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</si>
  <si>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</si>
  <si>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</si>
  <si>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</si>
  <si>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</si>
  <si>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</si>
  <si>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</si>
  <si>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</si>
  <si>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</si>
  <si>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</si>
  <si>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</si>
  <si>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</si>
  <si>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</si>
  <si>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</si>
  <si>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</si>
  <si>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</si>
  <si>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</si>
  <si>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</si>
  <si>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</si>
  <si>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</si>
  <si>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</si>
  <si>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</si>
  <si>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</si>
  <si>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</si>
  <si>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</si>
  <si>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</si>
  <si>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</si>
  <si>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</si>
  <si>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</si>
  <si>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</si>
  <si>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</si>
  <si>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</si>
  <si>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</si>
  <si>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</si>
  <si>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</si>
  <si>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</si>
  <si>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</si>
  <si>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</si>
  <si>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</si>
  <si>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</si>
  <si>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</si>
  <si>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</si>
  <si>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</si>
  <si>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</si>
  <si>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</si>
  <si>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</si>
  <si>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</si>
  <si>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</si>
  <si>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</si>
  <si>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</si>
  <si>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</si>
  <si>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</si>
  <si>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</si>
  <si>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</si>
  <si>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</si>
  <si>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</si>
  <si>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</si>
  <si>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</si>
  <si>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</si>
  <si>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</si>
  <si>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</si>
  <si>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</si>
  <si>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</si>
  <si>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</si>
  <si>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</si>
  <si>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</si>
  <si>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</si>
  <si>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</si>
  <si>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</si>
  <si>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</si>
  <si>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</si>
  <si>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</si>
  <si>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</si>
  <si>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</si>
  <si>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</si>
  <si>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</si>
  <si>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</si>
  <si>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</si>
  <si>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</si>
  <si>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</si>
  <si>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</si>
  <si>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</si>
  <si>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</si>
  <si>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</si>
  <si>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</si>
  <si>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</si>
  <si>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</si>
  <si>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</si>
  <si>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</si>
  <si>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</si>
  <si>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</si>
  <si>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</si>
  <si>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</si>
  <si>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</si>
  <si>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</si>
  <si>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</si>
  <si>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</si>
  <si>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</si>
  <si>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</si>
  <si>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</si>
  <si>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</si>
  <si>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</si>
  <si>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</si>
  <si>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</si>
  <si>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</si>
  <si>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</si>
  <si>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</si>
  <si>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</si>
  <si>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</si>
  <si>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</si>
  <si>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</si>
  <si>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</si>
  <si>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</si>
  <si>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</si>
  <si>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</si>
  <si>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</si>
  <si>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</si>
  <si>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</si>
  <si>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</si>
  <si>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</si>
  <si>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</si>
  <si>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</si>
  <si>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</si>
  <si>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</si>
  <si>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</si>
  <si>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</si>
  <si>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</si>
  <si>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</si>
  <si>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</si>
  <si>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</si>
  <si>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</si>
  <si>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</si>
  <si>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</si>
  <si>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</si>
  <si>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</si>
  <si>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</si>
  <si>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</si>
  <si>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</si>
  <si>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</si>
  <si>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</si>
  <si>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</si>
  <si>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</si>
  <si>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</si>
  <si>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</si>
  <si>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</si>
  <si>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</si>
  <si>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</si>
  <si>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</si>
  <si>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</si>
  <si>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</si>
  <si>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</si>
  <si>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</si>
  <si>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</si>
  <si>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</si>
  <si>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</si>
  <si>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</si>
  <si>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</si>
  <si>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</si>
  <si>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</si>
  <si>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</si>
  <si>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</si>
  <si>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</si>
  <si>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</si>
  <si>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</si>
  <si>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</si>
  <si>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</si>
  <si>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</si>
  <si>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</si>
  <si>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</si>
  <si>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</si>
  <si>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</si>
  <si>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</si>
  <si>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</si>
  <si>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</si>
  <si>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</si>
  <si>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</si>
  <si>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</si>
  <si>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</si>
  <si>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</si>
  <si>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</si>
  <si>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</si>
  <si>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</si>
  <si>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</si>
  <si>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</si>
  <si>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</si>
  <si>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</si>
  <si>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</si>
  <si>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</si>
  <si>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</si>
  <si>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</si>
  <si>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</si>
  <si>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</si>
  <si>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GIOVANNI RESTREPO MEJIA 71639</t>
  </si>
  <si>
    <t>PROTOTIPO BILLETERA</t>
  </si>
  <si>
    <t>21.5</t>
  </si>
  <si>
    <t>7.5</t>
  </si>
  <si>
    <t>O.5</t>
  </si>
  <si>
    <t>papel de lija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</si>
</sst>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63524</xdr:colOff>
      <xdr:row>0</xdr:row>
      <xdr:rowOff>0</xdr:rowOff>
    </xdr:from>
    <xdr:to>
      <xdr:col>24</xdr:col>
      <xdr:colOff>466724</xdr:colOff>
      <xdr:row>6</xdr:row>
      <xdr:rowOff>295275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33F5304-FD3C-412A-B76B-2C7FA367E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0699" y="0"/>
          <a:ext cx="2146275" cy="2066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K1" sqref="K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GR0207-5</v>
      </c>
      <c r="G1" s="405"/>
      <c r="H1" s="406"/>
      <c r="I1" s="351" t="s">
        <v>1</v>
      </c>
      <c r="J1" s="352"/>
      <c r="K1" s="232">
        <v>5</v>
      </c>
      <c r="L1" s="353" t="s">
        <v>2</v>
      </c>
      <c r="M1" s="354"/>
      <c r="N1" s="354"/>
      <c r="O1" s="355">
        <v>45840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1389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e">
        <f>IF(E2="","",INDEX(Listas!H2:I30,MATCH('Soli_citud '!E2,Intructores,0),2))</f>
        <v>#N/A</v>
      </c>
      <c r="P2" s="394"/>
      <c r="Q2" s="394"/>
      <c r="R2" s="395"/>
      <c r="S2" s="298" t="s">
        <v>1392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1317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3266579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1390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 t="s">
        <v>1391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233956.34112725672</v>
      </c>
      <c r="E5" s="346"/>
      <c r="F5" s="347"/>
      <c r="G5" s="348" t="s">
        <v>16</v>
      </c>
      <c r="H5" s="349"/>
      <c r="I5" s="349"/>
      <c r="J5" s="350"/>
      <c r="K5" s="400">
        <v>42</v>
      </c>
      <c r="L5" s="400"/>
      <c r="M5" s="401" t="s">
        <v>17</v>
      </c>
      <c r="N5" s="401"/>
      <c r="O5" s="397">
        <f>IFERROR(IF(K5=0,"",D5*K5),"")</f>
        <v>9826166.3273447827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 t="s">
        <v>1393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2.3809523809523808E-2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37</v>
      </c>
      <c r="B10" s="309"/>
      <c r="C10" s="310"/>
      <c r="D10" s="322" t="s">
        <v>477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kg</v>
      </c>
      <c r="P10" s="315"/>
      <c r="Q10" s="316">
        <v>150</v>
      </c>
      <c r="R10" s="317"/>
      <c r="S10" s="318">
        <f>IFERROR(IF(Q10="Unidad","1",(Q10*$K$5)),"")</f>
        <v>6300</v>
      </c>
      <c r="T10" s="319"/>
      <c r="U10" s="320"/>
      <c r="V10" s="326"/>
      <c r="W10" s="321">
        <f>IFERROR(IF(D10="","",INDEX(Tabla_Completa,MATCH('Soli_citud 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1058</v>
      </c>
      <c r="B11" s="309"/>
      <c r="C11" s="310"/>
      <c r="D11" s="322" t="s">
        <v>1078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U</v>
      </c>
      <c r="P11" s="315"/>
      <c r="Q11" s="316">
        <v>50</v>
      </c>
      <c r="R11" s="317"/>
      <c r="S11" s="318">
        <f t="shared" ref="S11:S31" si="1">IFERROR(IF(Q11="Unidad","1",(Q11*$K$5)),"")</f>
        <v>2100</v>
      </c>
      <c r="T11" s="319"/>
      <c r="U11" s="320"/>
      <c r="V11" s="320"/>
      <c r="W11" s="321">
        <f>IFERROR(IF(D11="","",INDEX(Tabla_Completa,MATCH('Soli_citud '!D11,Materiales,0),7)*S11),"")</f>
        <v>647493</v>
      </c>
      <c r="X11" s="321"/>
      <c r="Y11" s="321"/>
    </row>
    <row r="12" spans="1:31" ht="15.75" customHeight="1">
      <c r="A12" s="308" t="s">
        <v>232</v>
      </c>
      <c r="B12" s="309"/>
      <c r="C12" s="310"/>
      <c r="D12" s="325" t="s">
        <v>342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cm</v>
      </c>
      <c r="P12" s="315"/>
      <c r="Q12" s="316">
        <v>150</v>
      </c>
      <c r="R12" s="317"/>
      <c r="S12" s="318">
        <f t="shared" si="1"/>
        <v>6300</v>
      </c>
      <c r="T12" s="319"/>
      <c r="U12" s="320"/>
      <c r="V12" s="320"/>
      <c r="W12" s="321">
        <f>IFERROR(IF(D12="","",INDEX(Tabla_Completa,MATCH('Soli_citud '!D12,Materiales,0),7)*S12),"")</f>
        <v>0</v>
      </c>
      <c r="X12" s="321"/>
      <c r="Y12" s="321"/>
    </row>
    <row r="13" spans="1:31" ht="15.75" customHeight="1">
      <c r="A13" s="308" t="s">
        <v>40</v>
      </c>
      <c r="B13" s="309"/>
      <c r="C13" s="310"/>
      <c r="D13" s="322" t="s">
        <v>565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U</v>
      </c>
      <c r="P13" s="315"/>
      <c r="Q13" s="316">
        <v>55</v>
      </c>
      <c r="R13" s="317"/>
      <c r="S13" s="318">
        <f t="shared" si="1"/>
        <v>2310</v>
      </c>
      <c r="T13" s="319"/>
      <c r="U13" s="320"/>
      <c r="V13" s="320"/>
      <c r="W13" s="321">
        <f>IFERROR(IF(D13="","",INDEX(Tabla_Completa,MATCH('Soli_citud '!D13,Materiales,0),7)*S13),"")</f>
        <v>8547000</v>
      </c>
      <c r="X13" s="321"/>
      <c r="Y13" s="321"/>
    </row>
    <row r="14" spans="1:31" ht="17.25" customHeight="1">
      <c r="A14" s="308" t="s">
        <v>31</v>
      </c>
      <c r="B14" s="309"/>
      <c r="C14" s="310"/>
      <c r="D14" s="322" t="s">
        <v>107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ml</v>
      </c>
      <c r="P14" s="315"/>
      <c r="Q14" s="316">
        <v>29</v>
      </c>
      <c r="R14" s="317"/>
      <c r="S14" s="318">
        <f t="shared" si="1"/>
        <v>1218</v>
      </c>
      <c r="T14" s="319"/>
      <c r="U14" s="320"/>
      <c r="V14" s="320"/>
      <c r="W14" s="321">
        <f>IFERROR(IF(D14="","",INDEX(Tabla_Completa,MATCH('Soli_citud '!D14,Materiales,0),7)*S14),"")</f>
        <v>21273.327344782032</v>
      </c>
      <c r="X14" s="321"/>
      <c r="Y14" s="321"/>
    </row>
    <row r="15" spans="1:31" ht="15.75" customHeight="1">
      <c r="A15" s="308" t="s">
        <v>1058</v>
      </c>
      <c r="B15" s="309"/>
      <c r="C15" s="310"/>
      <c r="D15" s="322" t="s">
        <v>1098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U</v>
      </c>
      <c r="P15" s="315"/>
      <c r="Q15" s="316">
        <v>10</v>
      </c>
      <c r="R15" s="317"/>
      <c r="S15" s="318">
        <f t="shared" si="1"/>
        <v>420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 t="s">
        <v>1058</v>
      </c>
      <c r="B16" s="309"/>
      <c r="C16" s="310"/>
      <c r="D16" s="322" t="s">
        <v>1089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Pliego</v>
      </c>
      <c r="P16" s="315"/>
      <c r="Q16" s="316">
        <v>6</v>
      </c>
      <c r="R16" s="317"/>
      <c r="S16" s="318">
        <f t="shared" si="1"/>
        <v>252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 t="s">
        <v>232</v>
      </c>
      <c r="B17" s="309"/>
      <c r="C17" s="310"/>
      <c r="D17" s="322" t="s">
        <v>347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Cono</v>
      </c>
      <c r="P17" s="315"/>
      <c r="Q17" s="316">
        <v>2</v>
      </c>
      <c r="R17" s="317"/>
      <c r="S17" s="318">
        <f t="shared" si="1"/>
        <v>84</v>
      </c>
      <c r="T17" s="319"/>
      <c r="U17" s="320"/>
      <c r="V17" s="320"/>
      <c r="W17" s="321">
        <f>IFERROR(IF(D17="","",INDEX(Tabla_Completa,MATCH('Soli_citud '!D17,Materiales,0),7)*S17),"")</f>
        <v>610400</v>
      </c>
      <c r="X17" s="321"/>
      <c r="Y17" s="321"/>
    </row>
    <row r="18" spans="1:25" ht="15.75" customHeight="1">
      <c r="A18" s="308" t="s">
        <v>48</v>
      </c>
      <c r="B18" s="309"/>
      <c r="C18" s="310"/>
      <c r="D18" s="322" t="s">
        <v>1211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U</v>
      </c>
      <c r="P18" s="315"/>
      <c r="Q18" s="316">
        <v>10</v>
      </c>
      <c r="R18" s="317"/>
      <c r="S18" s="318">
        <f t="shared" si="1"/>
        <v>420</v>
      </c>
      <c r="T18" s="319"/>
      <c r="U18" s="320" t="s">
        <v>1314</v>
      </c>
      <c r="V18" s="320"/>
      <c r="W18" s="321">
        <f>IFERROR(IF(D18="","",INDEX(Tabla_Completa,MATCH('Soli_citud '!D18,Materiales,0),7)*S18),"")</f>
        <v>1201200</v>
      </c>
      <c r="X18" s="321"/>
      <c r="Y18" s="321"/>
    </row>
    <row r="19" spans="1:25" ht="15.75">
      <c r="A19" s="308" t="s">
        <v>1014</v>
      </c>
      <c r="B19" s="309"/>
      <c r="C19" s="310"/>
      <c r="D19" s="311" t="s">
        <v>1013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U</v>
      </c>
      <c r="P19" s="315"/>
      <c r="Q19" s="316">
        <v>2</v>
      </c>
      <c r="R19" s="317"/>
      <c r="S19" s="318">
        <f t="shared" si="1"/>
        <v>84</v>
      </c>
      <c r="T19" s="319"/>
      <c r="U19" s="320" t="s">
        <v>1314</v>
      </c>
      <c r="V19" s="320"/>
      <c r="W19" s="321">
        <f>IFERROR(IF(D19="","",INDEX(Tabla_Completa,MATCH('Soli_citud '!D19,Materiales,0),7)*S19),"")</f>
        <v>7455000</v>
      </c>
      <c r="X19" s="321"/>
      <c r="Y19" s="321"/>
    </row>
    <row r="20" spans="1:25" ht="15.75">
      <c r="A20" s="308" t="s">
        <v>1014</v>
      </c>
      <c r="B20" s="309"/>
      <c r="C20" s="310"/>
      <c r="D20" s="311" t="s">
        <v>1017</v>
      </c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>U</v>
      </c>
      <c r="P20" s="315"/>
      <c r="Q20" s="316">
        <v>10</v>
      </c>
      <c r="R20" s="317"/>
      <c r="S20" s="318">
        <f t="shared" si="1"/>
        <v>420</v>
      </c>
      <c r="T20" s="319"/>
      <c r="U20" s="320" t="s">
        <v>1314</v>
      </c>
      <c r="V20" s="320"/>
      <c r="W20" s="321">
        <f>IFERROR(IF(D20="","",INDEX(Tabla_Completa,MATCH('Soli_citud '!D20,Materiales,0),7)*S20),"")</f>
        <v>2163000</v>
      </c>
      <c r="X20" s="321"/>
      <c r="Y20" s="321"/>
    </row>
    <row r="21" spans="1:25" ht="15.75">
      <c r="A21" s="308" t="s">
        <v>1014</v>
      </c>
      <c r="B21" s="309"/>
      <c r="C21" s="310"/>
      <c r="D21" s="311" t="s">
        <v>1037</v>
      </c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>U</v>
      </c>
      <c r="P21" s="315"/>
      <c r="Q21" s="316">
        <v>10</v>
      </c>
      <c r="R21" s="317"/>
      <c r="S21" s="318">
        <f t="shared" si="1"/>
        <v>420</v>
      </c>
      <c r="T21" s="319"/>
      <c r="U21" s="320" t="s">
        <v>1314</v>
      </c>
      <c r="V21" s="320"/>
      <c r="W21" s="321">
        <f>IFERROR(IF(D21="","",INDEX(Tabla_Completa,MATCH('Soli_citud '!D21,Materiales,0),7)*S21),"")</f>
        <v>0</v>
      </c>
      <c r="X21" s="321"/>
      <c r="Y21" s="321"/>
    </row>
    <row r="22" spans="1:25" ht="15.75">
      <c r="A22" s="308" t="s">
        <v>1014</v>
      </c>
      <c r="B22" s="309"/>
      <c r="C22" s="310"/>
      <c r="D22" s="311" t="s">
        <v>1038</v>
      </c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>U</v>
      </c>
      <c r="P22" s="315"/>
      <c r="Q22" s="316">
        <v>20</v>
      </c>
      <c r="R22" s="317"/>
      <c r="S22" s="318">
        <f t="shared" si="1"/>
        <v>840</v>
      </c>
      <c r="T22" s="319"/>
      <c r="U22" s="320" t="s">
        <v>1314</v>
      </c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 t="s">
        <v>1014</v>
      </c>
      <c r="B23" s="309"/>
      <c r="C23" s="310"/>
      <c r="D23" s="311" t="s">
        <v>1047</v>
      </c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>U</v>
      </c>
      <c r="P23" s="315"/>
      <c r="Q23" s="316">
        <v>10</v>
      </c>
      <c r="R23" s="317"/>
      <c r="S23" s="318">
        <f t="shared" si="1"/>
        <v>420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 t="s">
        <v>232</v>
      </c>
      <c r="B24" s="309"/>
      <c r="C24" s="310"/>
      <c r="D24" s="311" t="s">
        <v>1394</v>
      </c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>
        <v>10</v>
      </c>
      <c r="R24" s="317"/>
      <c r="S24" s="318">
        <f t="shared" si="1"/>
        <v>420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5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45840</v>
      </c>
      <c r="O1" s="417"/>
      <c r="P1" s="452" t="s">
        <v>55</v>
      </c>
      <c r="Q1" s="453"/>
      <c r="R1" s="458" t="str">
        <f>IF('Soli_citud '!D4="","",'Soli_citud '!D4)</f>
        <v>PROTOTIPO BILLETERA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GR0207-5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>
        <f>IF('Soli_citud '!O3="","",'Soli_citud '!O3)</f>
        <v>3266579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233956.34112725672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GIOVANNI RESTREPO MEJIA 71639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GR0207-5</v>
      </c>
      <c r="C12" s="494" t="str">
        <f>IFERROR(IF('Soli_citud '!D10="","",'Soli_citud '!D10),"")</f>
        <v>Retal</v>
      </c>
      <c r="D12" s="494"/>
      <c r="E12" s="494"/>
      <c r="F12" s="494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6300</v>
      </c>
      <c r="I12" s="214"/>
      <c r="J12" s="215"/>
      <c r="K12" s="197" cm="1">
        <f t="array" ref="K12">IFERROR(_xlfn.IFS(H12="","",J12=H12,"Cumplido",J12&lt;H12,H12-J12,J12&gt;H12,"Revisar"),"")</f>
        <v>6300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GR0207-5</v>
      </c>
      <c r="C13" s="494" t="str">
        <f>IFERROR(IF('Soli_citud '!D11="","",'Soli_citud '!D11),"")</f>
        <v xml:space="preserve">AGUJAS CAPOTERA CON PUNTA #5
</v>
      </c>
      <c r="D13" s="494"/>
      <c r="E13" s="494"/>
      <c r="F13" s="494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2100</v>
      </c>
      <c r="I13" s="214"/>
      <c r="J13" s="216"/>
      <c r="K13" s="197" cm="1">
        <f t="array" ref="K13">IFERROR(_xlfn.IFS(H13="","",J13=H13,"Cumplido",J13&lt;H13,H13-J13,J13&gt;H13,"Revisar"),"")</f>
        <v>2100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GR0207-5</v>
      </c>
      <c r="C14" s="494" t="str">
        <f>IFERROR(IF('Soli_citud '!D12="","",'Soli_citud '!D12),"")</f>
        <v>HILO ENCERADO  NEGRO _ CONO</v>
      </c>
      <c r="D14" s="494"/>
      <c r="E14" s="494"/>
      <c r="F14" s="494"/>
      <c r="G14" s="213" t="str">
        <f>IF('Soli_citud '!O12="","",'Soli_citud '!O12)</f>
        <v>cm</v>
      </c>
      <c r="H14" s="213" cm="1">
        <f t="array" ref="H14">_xlfn.IFS('Soli_citud '!S12="","",'Soli_citud '!S12&lt;=0,"",'Soli_citud '!S12&gt;0,'Soli_citud '!S12)</f>
        <v>6300</v>
      </c>
      <c r="I14" s="214"/>
      <c r="J14" s="216"/>
      <c r="K14" s="197" cm="1">
        <f t="array" ref="K14">IFERROR(_xlfn.IFS(H14="","",J14=H14,"Cumplido",J14&lt;H14,H14-J14,J14&gt;H14,"Revisar"),"")</f>
        <v>6300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GR0207-5</v>
      </c>
      <c r="C15" s="494" t="str">
        <f>IFERROR(IF('Soli_citud '!D13="","",'Soli_citud '!D13),"")</f>
        <v>CLIP METÁLICO PARA BILLETES NÍQUEL</v>
      </c>
      <c r="D15" s="494"/>
      <c r="E15" s="494"/>
      <c r="F15" s="494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2310</v>
      </c>
      <c r="I15" s="214"/>
      <c r="J15" s="216"/>
      <c r="K15" s="197" cm="1">
        <f t="array" ref="K15">IFERROR(_xlfn.IFS(H15="","",J15=H15,"Cumplido",J15&lt;H15,H15-J15,J15&gt;H15,"Revisar"),"")</f>
        <v>2310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GR0207-5</v>
      </c>
      <c r="C16" s="494" t="str">
        <f>IFERROR(IF('Soli_citud '!D14="","",'Soli_citud '!D14),"")</f>
        <v xml:space="preserve">PEGANTE CEMENTO DE CONTACTO BASE CLOROPRENO
</v>
      </c>
      <c r="D16" s="494"/>
      <c r="E16" s="494"/>
      <c r="F16" s="494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1218</v>
      </c>
      <c r="I16" s="214"/>
      <c r="J16" s="216"/>
      <c r="K16" s="197" cm="1">
        <f t="array" ref="K16">IFERROR(_xlfn.IFS(H16="","",J16=H16,"Cumplido",J16&lt;H16,H16-J16,J16&gt;H16,"Revisar"),"")</f>
        <v>1218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GR0207-5</v>
      </c>
      <c r="C17" s="494" t="str">
        <f>IFERROR(IF('Soli_citud '!D15="","",'Soli_citud '!D15),"")</f>
        <v xml:space="preserve">ENVACES PARA PEGANTE
</v>
      </c>
      <c r="D17" s="494"/>
      <c r="E17" s="494"/>
      <c r="F17" s="494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420</v>
      </c>
      <c r="I17" s="214"/>
      <c r="J17" s="216"/>
      <c r="K17" s="197" cm="1">
        <f t="array" ref="K17">IFERROR(_xlfn.IFS(H17="","",J17=H17,"Cumplido",J17&lt;H17,H17-J17,J17&gt;H17,"Revisar"),"")</f>
        <v>420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GR0207-5</v>
      </c>
      <c r="C18" s="494" t="str">
        <f>IFERROR(IF('Soli_citud '!D16="","",'Soli_citud '!D16),"")</f>
        <v xml:space="preserve">CARTULINA PLANA </v>
      </c>
      <c r="D18" s="494"/>
      <c r="E18" s="494"/>
      <c r="F18" s="494"/>
      <c r="G18" s="213" t="str">
        <f>IF('Soli_citud '!O16="","",'Soli_citud '!O16)</f>
        <v>Pliego</v>
      </c>
      <c r="H18" s="213" cm="1">
        <f t="array" ref="H18">_xlfn.IFS('Soli_citud '!S16="","",'Soli_citud '!S16&lt;=0,"",'Soli_citud '!S16&gt;0,'Soli_citud '!S16)</f>
        <v>252</v>
      </c>
      <c r="I18" s="214"/>
      <c r="J18" s="216"/>
      <c r="K18" s="197" cm="1">
        <f t="array" ref="K18">IFERROR(_xlfn.IFS(H18="","",J18=H18,"Cumplido",J18&lt;H18,H18-J18,J18&gt;H18,"Revisar"),"")</f>
        <v>252</v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GR0207-5</v>
      </c>
      <c r="C19" s="494" t="str">
        <f>IFERROR(IF('Soli_citud '!D17="","",'Soli_citud '!D17),"")</f>
        <v xml:space="preserve">HILO NYLON #20
</v>
      </c>
      <c r="D19" s="494"/>
      <c r="E19" s="494"/>
      <c r="F19" s="494"/>
      <c r="G19" s="213" t="str">
        <f>IF('Soli_citud '!O17="","",'Soli_citud '!O17)</f>
        <v>Cono</v>
      </c>
      <c r="H19" s="213" cm="1">
        <f t="array" ref="H19">_xlfn.IFS('Soli_citud '!S17="","",'Soli_citud '!S17&lt;=0,"",'Soli_citud '!S17&gt;0,'Soli_citud '!S17)</f>
        <v>84</v>
      </c>
      <c r="I19" s="214"/>
      <c r="J19" s="216"/>
      <c r="K19" s="197" cm="1">
        <f t="array" ref="K19">IFERROR(_xlfn.IFS(H19="","",J19=H19,"Cumplido",J19&lt;H19,H19-J19,J19&gt;H19,"Revisar"),"")</f>
        <v>84</v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GR0207-5</v>
      </c>
      <c r="C20" s="494" t="str">
        <f>IFERROR(IF('Soli_citud '!D18="","",'Soli_citud '!D18),"")</f>
        <v>TIJERAS PUNTA ROMA</v>
      </c>
      <c r="D20" s="494"/>
      <c r="E20" s="494"/>
      <c r="F20" s="494"/>
      <c r="G20" s="213" t="str">
        <f>IF('Soli_citud '!O18="","",'Soli_citud '!O18)</f>
        <v>U</v>
      </c>
      <c r="H20" s="213" cm="1">
        <f t="array" ref="H20">_xlfn.IFS('Soli_citud '!S18="","",'Soli_citud '!S18&lt;=0,"",'Soli_citud '!S18&gt;0,'Soli_citud '!S18)</f>
        <v>420</v>
      </c>
      <c r="I20" s="214"/>
      <c r="J20" s="216"/>
      <c r="K20" s="197" cm="1">
        <f t="array" ref="K20">IFERROR(_xlfn.IFS(H20="","",J20=H20,"Cumplido",J20&lt;H20,H20-J20,J20&gt;H20,"Revisar"),"")</f>
        <v>420</v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GR0207-5</v>
      </c>
      <c r="C21" s="494" t="str">
        <f>IFERROR(IF('Soli_citud '!D19="","",'Soli_citud '!D19),"")</f>
        <v xml:space="preserve">BASE O SUPERFICIE PARA CORTE SILICONADA
</v>
      </c>
      <c r="D21" s="494"/>
      <c r="E21" s="494"/>
      <c r="F21" s="494"/>
      <c r="G21" s="213" t="str">
        <f>IF('Soli_citud '!O19="","",'Soli_citud '!O19)</f>
        <v>U</v>
      </c>
      <c r="H21" s="213" cm="1">
        <f t="array" ref="H21">_xlfn.IFS('Soli_citud '!S19="","",'Soli_citud '!S19&lt;=0,"",'Soli_citud '!S19&gt;0,'Soli_citud '!S19)</f>
        <v>84</v>
      </c>
      <c r="I21" s="214"/>
      <c r="J21" s="216"/>
      <c r="K21" s="197" cm="1">
        <f t="array" ref="K21">IFERROR(_xlfn.IFS(H21="","",J21=H21,"Cumplido",J21&lt;H21,H21-J21,J21&gt;H21,"Revisar"),"")</f>
        <v>84</v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>DEVOLUTIVO</v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GR0207-5</v>
      </c>
      <c r="C22" s="494" t="str">
        <f>IFERROR(IF('Soli_citud '!D20="","",'Soli_citud '!D20),"")</f>
        <v xml:space="preserve">CORTADO X-ACTO
</v>
      </c>
      <c r="D22" s="494"/>
      <c r="E22" s="494"/>
      <c r="F22" s="494"/>
      <c r="G22" s="213" t="str">
        <f>IF('Soli_citud '!O20="","",'Soli_citud '!O20)</f>
        <v>U</v>
      </c>
      <c r="H22" s="213" cm="1">
        <f t="array" ref="H22">_xlfn.IFS('Soli_citud '!S20="","",'Soli_citud '!S20&lt;=0,"",'Soli_citud '!S20&gt;0,'Soli_citud '!S20)</f>
        <v>420</v>
      </c>
      <c r="I22" s="217"/>
      <c r="J22" s="216"/>
      <c r="K22" s="197" cm="1">
        <f t="array" ref="K22">IFERROR(_xlfn.IFS(H22="","",J22=H22,"Cumplido",J22&lt;H22,H22-J22,J22&gt;H22,"Revisar"),"")</f>
        <v>420</v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>DEVOLUTIVO</v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>GR0207-5</v>
      </c>
      <c r="C23" s="494" t="str">
        <f>IFERROR(IF('Soli_citud '!D21="","",'Soli_citud '!D21),"")</f>
        <v xml:space="preserve">MARTILLO N°3 DE GUARNICION    _ </v>
      </c>
      <c r="D23" s="494"/>
      <c r="E23" s="494"/>
      <c r="F23" s="494"/>
      <c r="G23" s="213" t="str">
        <f>IF('Soli_citud '!O21="","",'Soli_citud '!O21)</f>
        <v>U</v>
      </c>
      <c r="H23" s="213" cm="1">
        <f t="array" ref="H23">_xlfn.IFS('Soli_citud '!S21="","",'Soli_citud '!S21&lt;=0,"",'Soli_citud '!S21&gt;0,'Soli_citud '!S21)</f>
        <v>420</v>
      </c>
      <c r="I23" s="217"/>
      <c r="J23" s="216"/>
      <c r="K23" s="197" cm="1">
        <f t="array" ref="K23">IFERROR(_xlfn.IFS(H23="","",J23=H23,"Cumplido",J23&lt;H23,H23-J23,J23&gt;H23,"Revisar"),"")</f>
        <v>420</v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>DEVOLUTIVO</v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>GR0207-5</v>
      </c>
      <c r="C24" s="494" t="str">
        <f>IFERROR(IF('Soli_citud '!D22="","",'Soli_citud '!D22),"")</f>
        <v xml:space="preserve">PERFORADORES/SACABOCADOS
</v>
      </c>
      <c r="D24" s="494"/>
      <c r="E24" s="494"/>
      <c r="F24" s="494"/>
      <c r="G24" s="213" t="str">
        <f>IF('Soli_citud '!O22="","",'Soli_citud '!O22)</f>
        <v>U</v>
      </c>
      <c r="H24" s="213" cm="1">
        <f t="array" ref="H24">_xlfn.IFS('Soli_citud '!S22="","",'Soli_citud '!S22&lt;=0,"",'Soli_citud '!S22&gt;0,'Soli_citud '!S22)</f>
        <v>840</v>
      </c>
      <c r="I24" s="217"/>
      <c r="J24" s="216"/>
      <c r="K24" s="197" cm="1">
        <f t="array" ref="K24">IFERROR(_xlfn.IFS(H24="","",J24=H24,"Cumplido",J24&lt;H24,H24-J24,J24&gt;H24,"Revisar"),"")</f>
        <v>840</v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>DEVOLUTIVO</v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>GR0207-5</v>
      </c>
      <c r="C25" s="494" t="str">
        <f>IFERROR(IF('Soli_citud '!D23="","",'Soli_citud '!D23),"")</f>
        <v xml:space="preserve">REPTO DE CUCHILLAS BISTRÍ X-ACTO 
</v>
      </c>
      <c r="D25" s="494"/>
      <c r="E25" s="494"/>
      <c r="F25" s="494"/>
      <c r="G25" s="213" t="str">
        <f>IF('Soli_citud '!O23="","",'Soli_citud '!O23)</f>
        <v>U</v>
      </c>
      <c r="H25" s="213" cm="1">
        <f t="array" ref="H25">_xlfn.IFS('Soli_citud '!S23="","",'Soli_citud '!S23&lt;=0,"",'Soli_citud '!S23&gt;0,'Soli_citud '!S23)</f>
        <v>420</v>
      </c>
      <c r="I25" s="217"/>
      <c r="J25" s="216"/>
      <c r="K25" s="197" cm="1">
        <f t="array" ref="K25">IFERROR(_xlfn.IFS(H25="","",J25=H25,"Cumplido",J25&lt;H25,H25-J25,J25&gt;H25,"Revisar"),"")</f>
        <v>420</v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>DEVOLUTIVO</v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>GR0207-5</v>
      </c>
      <c r="C26" s="494" t="str">
        <f>IFERROR(IF('Soli_citud '!D24="","",'Soli_citud '!D24),"")</f>
        <v>papel de lija</v>
      </c>
      <c r="D26" s="494"/>
      <c r="E26" s="494"/>
      <c r="F26" s="494"/>
      <c r="G26" s="213" t="str">
        <f>IF('Soli_citud '!O24="","",'Soli_citud '!O24)</f>
        <v/>
      </c>
      <c r="H26" s="213" cm="1">
        <f t="array" ref="H26">_xlfn.IFS('Soli_citud '!S24="","",'Soli_citud '!S24&lt;=0,"",'Soli_citud '!S24&gt;0,'Soli_citud '!S24)</f>
        <v>420</v>
      </c>
      <c r="I26" s="217"/>
      <c r="J26" s="216"/>
      <c r="K26" s="197" cm="1">
        <f t="array" ref="K26">IFERROR(_xlfn.IFS(H26="","",J26=H26,"Cumplido",J26&lt;H26,H26-J26,J26&gt;H26,"Revisar"),"")</f>
        <v>420</v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Giovanni Restrepo Mejia</cp:lastModifiedBy>
  <cp:revision/>
  <dcterms:created xsi:type="dcterms:W3CDTF">2012-12-07T12:25:35Z</dcterms:created>
  <dcterms:modified xsi:type="dcterms:W3CDTF">2025-07-02T22:21:53Z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