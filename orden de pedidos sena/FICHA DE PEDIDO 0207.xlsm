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JUNIO/"/>
    </mc:Choice>
  </mc:AlternateContent>
  <xr:revisionPtr revIDLastSave="1" documentId="8_{C72410A2-B9FE-4A75-A553-A5E70024FDDB}" xr6:coauthVersionLast="47" xr6:coauthVersionMax="47" xr10:uidLastSave="{C1809C23-5053-4870-92A0-A448512D6FF4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<sst xmlns="http://schemas.openxmlformats.org/spreadsheetml/2006/main" count="4105" uniqueCount="1157">
  <si>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</si>
  <si>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</si>
  <si>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</si>
  <si>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</si>
  <si>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</si>
  <si>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</si>
  <si>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</si>
  <si>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</si>
  <si>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</si>
  <si>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</si>
  <si>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</si>
  <si>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</si>
  <si>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</si>
  <si>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</si>
  <si>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</si>
  <si>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</si>
  <si>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</si>
  <si>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</si>
  <si>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</si>
  <si>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</si>
  <si>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</si>
  <si>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</si>
  <si>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</si>
  <si>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</si>
  <si>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</si>
  <si>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</si>
  <si>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</si>
  <si>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</si>
  <si>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</si>
  <si>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</si>
  <si>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</si>
  <si>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</si>
  <si>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</si>
  <si>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</si>
  <si>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</si>
  <si>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</si>
  <si>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</si>
  <si>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</si>
  <si>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</si>
  <si>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</si>
  <si>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</si>
  <si>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</si>
  <si>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</si>
  <si>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</si>
  <si>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</si>
  <si>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</si>
  <si>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</si>
  <si>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</si>
  <si>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</si>
  <si>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</si>
  <si>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</si>
  <si>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</si>
  <si>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</si>
  <si>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</si>
  <si>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</si>
  <si>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</si>
  <si>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</si>
  <si>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</si>
  <si>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</si>
  <si>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</si>
  <si>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</si>
  <si>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</si>
  <si>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</si>
  <si>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</si>
  <si>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</si>
  <si>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</si>
  <si>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</si>
  <si>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</si>
  <si>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</si>
  <si>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</si>
  <si>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</si>
  <si>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</si>
  <si>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</si>
  <si>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</si>
  <si>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</si>
  <si>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</si>
  <si>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</si>
  <si>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</si>
  <si>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</si>
  <si>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</si>
  <si>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</si>
  <si>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</si>
  <si>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</si>
  <si>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</si>
  <si>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</si>
  <si>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</si>
  <si>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</si>
  <si>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</si>
  <si>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</si>
  <si>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</si>
  <si>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</si>
  <si>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</si>
  <si>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</si>
  <si>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</si>
  <si>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</si>
  <si>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</si>
  <si>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</si>
  <si>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</si>
  <si>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</si>
  <si>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</si>
  <si>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</si>
  <si>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</si>
  <si>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</si>
  <si>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</si>
  <si>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</si>
  <si>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</si>
  <si>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</si>
  <si>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</si>
  <si>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</si>
  <si>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</si>
  <si>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</si>
  <si>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</si>
  <si>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</si>
  <si>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</si>
  <si>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</si>
  <si>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</si>
  <si>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</si>
  <si>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</si>
  <si>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</si>
  <si>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</si>
  <si>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</si>
  <si>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</si>
  <si>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</si>
  <si>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</si>
  <si>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</si>
  <si>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</si>
  <si>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</si>
  <si>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</si>
  <si>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</si>
  <si>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</si>
  <si>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</si>
  <si>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</si>
  <si>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</si>
  <si>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</si>
  <si>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</si>
  <si>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</si>
  <si>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</si>
  <si>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</si>
  <si>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</si>
  <si>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</si>
  <si>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</si>
  <si>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</si>
  <si>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</si>
  <si>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</si>
  <si>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</si>
  <si>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</si>
  <si>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</si>
  <si>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</si>
  <si>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</si>
  <si>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</si>
  <si>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</si>
  <si>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</si>
  <si>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</si>
  <si>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</si>
  <si>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</si>
  <si>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</si>
  <si>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</si>
  <si>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</si>
  <si>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</si>
  <si>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</si>
  <si>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</si>
  <si>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</si>
  <si>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</si>
  <si>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</si>
  <si>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</si>
  <si>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</si>
  <si>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</si>
  <si>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</si>
  <si>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</si>
  <si>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</si>
  <si>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</si>
  <si>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</si>
  <si>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</si>
  <si>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</si>
  <si>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</si>
  <si>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</si>
  <si>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</si>
  <si>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</si>
  <si>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</si>
  <si>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</si>
  <si>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</si>
  <si>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</si>
  <si>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</si>
  <si>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</si>
  <si>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</si>
  <si>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</si>
  <si>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</si>
  <si>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</si>
  <si>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</si>
  <si>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</si>
  <si>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</si>
  <si>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</si>
  <si>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</si>
  <si>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</si>
  <si>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</si>
  <si>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</si>
  <si>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</si>
  <si>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</si>
  <si>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</si>
  <si>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</si>
  <si>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</si>
  <si>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</si>
  <si>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</si>
  <si>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</si>
  <si>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</si>
  <si>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</si>
  <si>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</si>
  <si>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</si>
  <si>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</si>
  <si>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</si>
  <si>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</si>
  <si>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</si>
  <si>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</si>
  <si>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</si>
  <si>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</si>
  <si>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</si>
  <si>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</si>
  <si>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</si>
  <si>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</si>
  <si>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</si>
  <si>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</si>
  <si>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</si>
  <si>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</si>
  <si>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</si>
  <si>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</si>
  <si>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</si>
  <si>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</si>
  <si>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</si>
  <si>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</si>
  <si>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</si>
  <si>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</si>
  <si>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</si>
  <si>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</si>
  <si>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</si>
  <si>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</si>
  <si>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</si>
  <si>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</si>
  <si>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</si>
  <si>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</si>
  <si>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</si>
  <si>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</si>
  <si>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</si>
  <si>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</si>
  <si>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</si>
  <si>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</si>
  <si>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</si>
  <si>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</si>
  <si>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</si>
  <si>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</si>
  <si>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</si>
  <si>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</si>
  <si>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</si>
  <si>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</si>
  <si>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</si>
  <si>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</si>
  <si>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</si>
  <si>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</si>
  <si>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</si>
  <si>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</si>
  <si>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</si>
  <si>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</si>
  <si>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</si>
  <si>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</si>
  <si>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</si>
  <si>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</si>
  <si>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</si>
  <si>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</si>
  <si>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</si>
  <si>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</si>
  <si>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</si>
  <si>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</si>
  <si>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</si>
  <si>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</si>
  <si>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</si>
  <si>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</si>
  <si>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</si>
  <si>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</si>
  <si>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</si>
  <si>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</si>
  <si>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</si>
  <si>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</si>
  <si>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</si>
  <si>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</si>
  <si>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</si>
  <si>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</si>
  <si>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</si>
  <si>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</si>
  <si>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</si>
  <si>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</si>
  <si>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</si>
  <si>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</si>
  <si>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</si>
  <si>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</si>
  <si>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</si>
  <si>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</si>
  <si>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</si>
  <si>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</si>
  <si>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</si>
  <si>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</si>
  <si>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</si>
  <si>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</si>
  <si>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</si>
  <si>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</si>
  <si>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</si>
  <si>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</si>
  <si>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</si>
  <si>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</si>
  <si>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</si>
  <si>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</si>
  <si>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</si>
  <si>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</si>
  <si>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</si>
  <si>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</si>
  <si>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</si>
  <si>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</si>
  <si>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</si>
  <si>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</si>
  <si>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</si>
  <si>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</si>
  <si>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</si>
  <si>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</si>
  <si>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</si>
  <si>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</si>
  <si>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</si>
  <si>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</si>
  <si>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</si>
  <si>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</si>
  <si>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</si>
  <si>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</si>
  <si>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</si>
  <si>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</si>
  <si>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</si>
  <si>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</si>
  <si>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</si>
  <si>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</si>
  <si>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</si>
  <si>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</si>
  <si>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</si>
  <si>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</si>
  <si>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</si>
  <si>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</si>
  <si>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</si>
  <si>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</si>
  <si>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</si>
  <si>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</si>
  <si>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</si>
  <si>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</si>
  <si>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</si>
  <si>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</si>
  <si>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</si>
  <si>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</si>
  <si>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</si>
  <si>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</si>
  <si>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</si>
  <si>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</si>
  <si>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</si>
  <si>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</si>
  <si>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</si>
  <si>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</si>
  <si>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</si>
  <si>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</si>
  <si>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</si>
  <si>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</si>
  <si>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</si>
  <si>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</si>
  <si>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</si>
  <si>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</si>
  <si>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</si>
  <si>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</si>
  <si>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</si>
  <si>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</si>
  <si>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</si>
  <si>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</si>
  <si>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</si>
  <si>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</si>
  <si>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</si>
  <si>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</si>
  <si>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</si>
  <si>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</si>
  <si>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</si>
  <si>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</si>
  <si>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</si>
  <si>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</si>
  <si>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</si>
  <si>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</si>
  <si>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</si>
  <si>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</si>
  <si>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</si>
  <si>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</si>
  <si>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</si>
  <si>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</si>
  <si>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</si>
  <si>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</si>
  <si>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</si>
  <si>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</si>
  <si>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</si>
  <si>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</si>
  <si>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</si>
  <si>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</si>
  <si>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</si>
  <si>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</si>
  <si>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</si>
  <si>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</si>
  <si>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</si>
  <si>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</si>
  <si>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</si>
  <si>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</si>
  <si>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</si>
  <si>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</si>
  <si>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</si>
  <si>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</si>
  <si>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</si>
  <si>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</si>
  <si>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</si>
  <si>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</si>
  <si>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</si>
  <si>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</si>
  <si>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</si>
  <si>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</si>
  <si>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</si>
  <si>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</si>
  <si>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</si>
  <si>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</si>
  <si>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</si>
  <si>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</si>
  <si>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</si>
  <si>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</si>
  <si>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</si>
  <si>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</si>
  <si>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</si>
  <si>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</si>
  <si>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</si>
  <si>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</si>
  <si>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</si>
  <si>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</si>
  <si>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</si>
  <si>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</si>
  <si>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</si>
  <si>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</si>
  <si>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</si>
  <si>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</si>
  <si>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</si>
  <si>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</si>
  <si>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</si>
  <si>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</si>
  <si>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</si>
  <si>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</si>
  <si>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</si>
  <si>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</si>
  <si>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</si>
  <si>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</si>
  <si>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</si>
  <si>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</si>
  <si>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</si>
  <si>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</si>
  <si>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</si>
  <si>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</si>
  <si>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</si>
  <si>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</si>
  <si>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</si>
  <si>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</si>
  <si>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</si>
  <si>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</si>
  <si>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</si>
  <si>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</si>
  <si>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</si>
  <si>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</si>
  <si>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</si>
  <si>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</si>
  <si>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</si>
  <si>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</si>
  <si>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</si>
  <si>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</si>
  <si>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</si>
  <si>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</si>
  <si>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</si>
  <si>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</si>
  <si>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</si>
  <si>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</si>
  <si>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</si>
  <si>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</si>
  <si>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</si>
  <si>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</si>
  <si>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</si>
  <si>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</si>
  <si>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</si>
  <si>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</si>
  <si>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</si>
  <si>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</si>
  <si>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</si>
  <si>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</si>
  <si>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</si>
  <si>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</si>
  <si>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</si>
  <si>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</si>
  <si>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</si>
  <si>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</si>
  <si>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</si>
  <si>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</si>
  <si>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</si>
  <si>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</si>
  <si>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</si>
  <si>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</si>
  <si>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</si>
  <si>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</si>
  <si>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</si>
  <si>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</si>
  <si>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</si>
  <si>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</si>
  <si>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</si>
  <si>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</si>
  <si>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</si>
  <si>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</si>
  <si>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</si>
  <si>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</si>
  <si>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</si>
  <si>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</si>
  <si>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</si>
  <si>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</si>
  <si>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</si>
  <si>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</si>
  <si>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</si>
  <si>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</si>
  <si>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</si>
  <si>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</si>
  <si>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</si>
  <si>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</si>
  <si>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</si>
  <si>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</si>
  <si>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</si>
  <si>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</si>
  <si>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</si>
  <si>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</si>
  <si>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</si>
  <si>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</si>
  <si>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</si>
  <si>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</si>
  <si>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</si>
  <si>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</si>
  <si>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</si>
  <si>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</si>
  <si>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</si>
  <si>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</si>
  <si>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</si>
  <si>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</si>
  <si>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</si>
  <si>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</si>
  <si>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</si>
  <si>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</si>
  <si>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</si>
  <si>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</si>
  <si>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</si>
  <si>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</si>
  <si>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</si>
  <si>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</si>
  <si>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</si>
  <si>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</si>
  <si>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</si>
  <si>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</si>
  <si>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</si>
  <si>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</si>
  <si>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</si>
  <si>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</si>
  <si>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</si>
  <si>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</si>
  <si>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</si>
  <si>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</si>
  <si>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</si>
  <si>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</si>
  <si>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</si>
  <si>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</si>
  <si>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</si>
  <si>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</si>
  <si>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</si>
  <si>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</si>
  <si>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</si>
  <si>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</si>
  <si>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</si>
  <si>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</si>
  <si>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</si>
  <si>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</si>
  <si>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</si>
  <si>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</si>
  <si>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</si>
  <si>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</si>
  <si>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</si>
  <si>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</si>
  <si>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</si>
  <si>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</si>
  <si>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</si>
  <si>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</si>
  <si>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</si>
  <si>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</si>
  <si>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</si>
  <si>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</si>
  <si>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</si>
  <si>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</si>
  <si>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</si>
  <si>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</si>
  <si>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</si>
  <si>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</si>
  <si>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</si>
  <si>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</si>
  <si>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</si>
  <si>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</si>
  <si>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</si>
  <si>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</si>
  <si>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</si>
  <si>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</si>
  <si>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</si>
  <si>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</si>
  <si>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</si>
  <si>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</si>
  <si>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</si>
  <si>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</si>
  <si>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</si>
  <si>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</si>
  <si>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</si>
  <si>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</si>
  <si>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</si>
  <si>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</si>
  <si>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</si>
  <si>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</si>
  <si>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</si>
  <si>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</si>
  <si>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</si>
  <si>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</si>
  <si>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</si>
  <si>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</si>
  <si>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</si>
  <si>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</si>
  <si>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</si>
  <si>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</si>
  <si>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</si>
  <si>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</si>
  <si>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</si>
  <si>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</si>
  <si>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</si>
  <si>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</si>
  <si>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</si>
  <si>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</si>
  <si>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</si>
  <si>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</si>
  <si>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</si>
  <si>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</si>
  <si>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</si>
  <si>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</si>
  <si>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</si>
  <si>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</si>
  <si>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</si>
  <si>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</si>
  <si>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</si>
  <si>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</si>
  <si>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</si>
  <si>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</si>
  <si>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</si>
  <si>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</si>
  <si>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</si>
  <si>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</si>
  <si>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</si>
  <si>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</si>
  <si>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</si>
  <si>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</si>
  <si>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</si>
  <si>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</si>
  <si>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</si>
  <si>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</si>
  <si>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</si>
  <si>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</si>
  <si>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</si>
  <si>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</si>
  <si>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</si>
  <si>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</si>
  <si>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</si>
  <si>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</si>
  <si>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</si>
  <si>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</si>
  <si>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</si>
  <si>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</si>
  <si>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</si>
  <si>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</si>
  <si>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</si>
  <si>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</si>
  <si>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</si>
  <si>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</si>
  <si>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</si>
  <si>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</si>
  <si>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</si>
  <si>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</si>
  <si>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</si>
  <si>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</si>
  <si>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</si>
  <si>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</si>
  <si>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</si>
  <si>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</si>
  <si>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</si>
  <si>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</si>
  <si>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</si>
  <si>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</si>
  <si>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</si>
  <si>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</si>
  <si>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</si>
  <si>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</si>
  <si>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</si>
  <si>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</si>
  <si>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</si>
  <si>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</si>
  <si>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</si>
  <si>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</si>
  <si>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</si>
  <si>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</si>
  <si>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</si>
  <si>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</si>
  <si>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</si>
  <si>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</si>
  <si>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</si>
  <si>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</si>
  <si>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</si>
  <si>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</si>
  <si>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</si>
  <si>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</si>
  <si>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</si>
  <si>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</si>
  <si>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</si>
  <si>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</si>
  <si>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</si>
  <si>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</si>
  <si>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</si>
  <si>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</si>
  <si>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</si>
  <si>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</si>
  <si>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</si>
  <si>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</si>
  <si>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</si>
  <si>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</si>
  <si>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</si>
  <si>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</si>
  <si>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</si>
  <si>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</si>
  <si>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</si>
  <si>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</si>
  <si>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</si>
  <si>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</si>
  <si>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</si>
  <si>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</si>
  <si>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</si>
  <si>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</si>
  <si>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</si>
  <si>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</si>
  <si>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</si>
  <si>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</si>
  <si>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</si>
  <si>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</si>
  <si>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</si>
  <si>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</si>
  <si>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</si>
  <si>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</si>
  <si>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</si>
  <si>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</si>
  <si>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</si>
  <si>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</si>
  <si>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</si>
  <si>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</si>
  <si>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</si>
  <si>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</si>
  <si>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</si>
  <si>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</si>
  <si>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</si>
  <si>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</si>
  <si>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</si>
  <si>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</si>
  <si>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</si>
  <si>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</si>
  <si>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</si>
  <si>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</si>
  <si>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</si>
  <si>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</si>
  <si>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</si>
  <si>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</si>
  <si>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</si>
  <si>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</si>
  <si>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</si>
  <si>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</si>
  <si>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</si>
  <si>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</si>
  <si>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</si>
  <si>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</si>
  <si>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</si>
  <si>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</si>
  <si>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</si>
  <si>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</si>
  <si>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</si>
  <si>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</si>
  <si>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</si>
  <si>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</si>
  <si>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</si>
  <si>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</si>
  <si>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</si>
  <si>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</si>
  <si>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</si>
  <si>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</si>
  <si>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</si>
  <si>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</si>
  <si>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</si>
  <si>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</si>
  <si>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</si>
  <si>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</si>
  <si>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</si>
  <si>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</si>
  <si>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</si>
  <si>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</si>
  <si>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</si>
  <si>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</si>
  <si>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</si>
  <si>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</si>
  <si>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</si>
  <si>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</si>
  <si>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</si>
  <si>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</si>
  <si>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</si>
  <si>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</si>
  <si>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</si>
  <si>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</si>
  <si>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</si>
  <si>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</si>
  <si>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</si>
  <si>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</si>
  <si>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</si>
  <si>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</si>
  <si>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</si>
  <si>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</si>
  <si>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</si>
  <si>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</si>
  <si>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</si>
  <si>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</si>
  <si>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</si>
  <si>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</si>
  <si>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</si>
  <si>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</si>
  <si>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</si>
  <si>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</si>
  <si>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</si>
  <si>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</si>
  <si>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</si>
  <si>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</si>
  <si>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</si>
  <si>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</si>
  <si>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</si>
  <si>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</si>
  <si>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</si>
  <si>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</si>
  <si>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</si>
  <si>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</si>
  <si>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</si>
  <si>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</si>
  <si>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</si>
  <si>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</si>
  <si>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</si>
  <si>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</si>
  <si>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</si>
  <si>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</si>
  <si>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</si>
  <si>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</si>
  <si>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</si>
  <si>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</si>
  <si>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</si>
  <si>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</si>
  <si>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</si>
  <si>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</si>
  <si>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</si>
  <si>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</si>
  <si>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</si>
  <si>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</si>
  <si>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</si>
  <si>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</si>
  <si>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</si>
  <si>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</si>
  <si>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</si>
  <si>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</si>
  <si>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</si>
  <si>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</si>
  <si>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</si>
  <si>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</si>
  <si>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</si>
  <si>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</si>
  <si>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</si>
  <si>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</si>
  <si>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</si>
  <si>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</si>
  <si>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</si>
  <si>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</si>
  <si>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</si>
  <si>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</si>
  <si>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</si>
  <si>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</si>
  <si>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</si>
  <si>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</si>
  <si>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</si>
  <si>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</si>
  <si>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</si>
  <si>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</si>
  <si>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</si>
  <si>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</si>
  <si>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</si>
  <si>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</si>
  <si>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</si>
  <si>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</si>
  <si>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</si>
  <si>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</si>
  <si>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</si>
  <si>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</si>
  <si>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</si>
  <si>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</si>
  <si>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</si>
  <si>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</si>
  <si>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</si>
  <si>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</si>
  <si>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</si>
  <si>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</si>
  <si>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</si>
  <si>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</si>
  <si>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</si>
  <si>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</si>
  <si>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</si>
  <si>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</si>
  <si>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</si>
  <si>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</si>
  <si>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</si>
  <si>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</si>
  <si>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</si>
  <si>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</si>
  <si>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</si>
  <si>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</si>
  <si>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</si>
  <si>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</si>
  <si>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</si>
  <si>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</si>
  <si>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</si>
  <si>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</si>
  <si>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</si>
  <si>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</si>
  <si>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</si>
  <si>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</si>
  <si>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</si>
  <si>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</si>
  <si>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</si>
  <si>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</si>
  <si>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</si>
  <si>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</si>
  <si>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</si>
  <si>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</si>
  <si>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</si>
  <si>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</si>
  <si>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</si>
  <si>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</si>
  <si>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</si>
  <si>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</si>
  <si>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</si>
  <si>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</si>
  <si>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</si>
  <si>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</si>
  <si>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</si>
  <si>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</si>
  <si>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</si>
  <si>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</si>
  <si>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</si>
  <si>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</si>
  <si>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</si>
  <si>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</si>
  <si>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</si>
  <si>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</si>
  <si>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</si>
  <si>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</si>
  <si>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</si>
  <si>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</si>
  <si>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</si>
  <si>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</si>
  <si>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</si>
  <si>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</si>
  <si>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</si>
  <si>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</si>
  <si>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</si>
  <si>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</si>
  <si>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</si>
  <si>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</si>
  <si>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</si>
  <si>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</si>
  <si>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</si>
  <si>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</si>
  <si>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</si>
  <si>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</si>
  <si>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</si>
  <si>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</si>
  <si>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</si>
  <si>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</si>
  <si>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</si>
  <si>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</si>
  <si>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</si>
  <si>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</si>
  <si>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</si>
  <si>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</si>
  <si>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</si>
  <si>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</si>
  <si>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</si>
  <si>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</si>
  <si>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</si>
  <si>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</si>
  <si>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</si>
  <si>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</si>
  <si>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</si>
  <si>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</si>
  <si>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</si>
  <si>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</si>
  <si>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</si>
  <si>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</si>
  <si>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</si>
  <si>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</si>
  <si>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</si>
  <si>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</si>
  <si>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</si>
  <si>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</si>
  <si>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</si>
  <si>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</si>
  <si>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</si>
  <si>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</si>
  <si>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</si>
  <si>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</si>
  <si>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</si>
  <si>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</si>
  <si>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</si>
  <si>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</si>
  <si>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</si>
  <si>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</si>
  <si>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</si>
  <si>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</si>
  <si>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</si>
  <si>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</si>
  <si>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</si>
  <si>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</si>
  <si>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</si>
  <si>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</si>
  <si>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</si>
  <si>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</si>
  <si>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</si>
  <si>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</si>
  <si>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</si>
  <si>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</si>
  <si>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</si>
  <si>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</si>
  <si>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</si>
  <si>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</si>
  <si>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</si>
  <si>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</si>
  <si>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</si>
  <si>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</si>
  <si>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</si>
  <si>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</si>
  <si>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</si>
  <si>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</si>
  <si>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</si>
  <si>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</si>
  <si>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</si>
  <si>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</si>
  <si>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</si>
  <si>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</si>
  <si>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</si>
  <si>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</si>
  <si>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</si>
  <si>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</si>
  <si>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</si>
  <si>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</si>
  <si>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</si>
  <si>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</si>
  <si>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</si>
  <si>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</si>
  <si>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</si>
  <si>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</si>
  <si>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</si>
  <si>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</si>
  <si>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</si>
  <si>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</si>
  <si>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</si>
  <si>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</si>
  <si>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</si>
  <si>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</si>
  <si>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</si>
  <si>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</si>
  <si>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</si>
  <si>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</si>
  <si>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</si>
  <si>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</si>
  <si>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</si>
  <si>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</si>
  <si>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</si>
  <si>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</si>
  <si>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</si>
  <si>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</si>
  <si>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</si>
  <si>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</si>
  <si>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</si>
  <si>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</si>
  <si>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</si>
  <si>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</si>
  <si>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</si>
  <si>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</si>
  <si>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</si>
  <si>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</si>
  <si>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</si>
  <si>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</si>
  <si>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</si>
  <si>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</si>
  <si>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</si>
  <si>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</si>
  <si>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</si>
  <si>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</si>
  <si>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</si>
  <si>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</si>
  <si>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</si>
  <si>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</si>
  <si>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</si>
  <si>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</si>
  <si>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</si>
  <si>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</si>
  <si>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</si>
  <si>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</si>
  <si>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</si>
  <si>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</si>
  <si>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</si>
  <si>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</si>
  <si>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</si>
  <si>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</si>
  <si>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</si>
  <si>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</si>
  <si>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</si>
  <si>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</si>
  <si>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</si>
  <si>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</si>
  <si>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</si>
  <si>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</si>
  <si>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</si>
  <si>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</si>
  <si>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</si>
  <si>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</si>
  <si>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</si>
  <si>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</si>
  <si>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</si>
  <si>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</si>
  <si>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</si>
  <si>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</si>
  <si>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</si>
  <si>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</si>
  <si>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</si>
  <si>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</si>
  <si>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</si>
  <si>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</si>
  <si>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celda de pcc</t>
  </si>
  <si>
    <t>tapete de ajedrez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</si>
</sst>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124239</xdr:colOff>
      <xdr:row>0</xdr:row>
      <xdr:rowOff>107674</xdr:rowOff>
    </xdr:from>
    <xdr:to>
      <xdr:col>23</xdr:col>
      <xdr:colOff>289891</xdr:colOff>
      <xdr:row>6</xdr:row>
      <xdr:rowOff>267394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D065A33-C34F-5C56-FB50-E7D2E490F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8282" y="107674"/>
          <a:ext cx="1905000" cy="19321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6" sqref="Q16:R16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MG0706-1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>
        <v>45084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1142</v>
      </c>
      <c r="F2" s="354"/>
      <c r="G2" s="354"/>
      <c r="H2" s="354"/>
      <c r="I2" s="354"/>
      <c r="J2" s="354"/>
      <c r="K2" s="355"/>
      <c r="L2" s="310" t="s">
        <v>6</v>
      </c>
      <c r="M2" s="311"/>
      <c r="N2" s="312"/>
      <c r="O2" s="313">
        <f>IF(E2="","",INDEX(Listas!H2:I30,MATCH('Soli_citud '!E2,Listas!H2:H30,0),2))</f>
        <v>43498846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7</v>
      </c>
      <c r="D3" s="360"/>
      <c r="E3" s="361" t="s">
        <v>1110</v>
      </c>
      <c r="F3" s="362"/>
      <c r="G3" s="362"/>
      <c r="H3" s="362"/>
      <c r="I3" s="362"/>
      <c r="J3" s="362"/>
      <c r="K3" s="363"/>
      <c r="L3" s="310" t="s">
        <v>8</v>
      </c>
      <c r="M3" s="311"/>
      <c r="N3" s="312"/>
      <c r="O3" s="286" t="s">
        <v>1155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9</v>
      </c>
      <c r="B4" s="344"/>
      <c r="C4" s="344"/>
      <c r="D4" s="338" t="s">
        <v>1156</v>
      </c>
      <c r="E4" s="339"/>
      <c r="F4" s="339"/>
      <c r="G4" s="339"/>
      <c r="H4" s="339"/>
      <c r="I4" s="339"/>
      <c r="J4" s="339"/>
      <c r="K4" s="339"/>
      <c r="L4" s="340" t="s">
        <v>10</v>
      </c>
      <c r="M4" s="340"/>
      <c r="N4" s="340"/>
      <c r="O4" s="341" t="s">
        <v>1082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11</v>
      </c>
      <c r="B5" s="364"/>
      <c r="C5" s="364"/>
      <c r="D5" s="365">
        <f>IF(K5="","",(SUM(W10:Y28)-(SUMIF(U10:V28,"Restar_Pedido",W10:Y28)))/$K$5)</f>
        <v>22776.600000000002</v>
      </c>
      <c r="E5" s="366"/>
      <c r="F5" s="367"/>
      <c r="G5" s="351" t="s">
        <v>12</v>
      </c>
      <c r="H5" s="368"/>
      <c r="I5" s="368"/>
      <c r="J5" s="352"/>
      <c r="K5" s="326">
        <v>1</v>
      </c>
      <c r="L5" s="326"/>
      <c r="M5" s="327" t="s">
        <v>13</v>
      </c>
      <c r="N5" s="327"/>
      <c r="O5" s="316">
        <f>IFERROR(IF(K5=0,"",D5*K5),"")</f>
        <v>22776.600000000002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14</v>
      </c>
      <c r="B7" s="356"/>
      <c r="C7" s="356"/>
      <c r="D7" s="357" t="s">
        <v>15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16</v>
      </c>
      <c r="P7" s="305"/>
      <c r="Q7" s="358" t="s">
        <v>17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18</v>
      </c>
      <c r="T8" s="307"/>
      <c r="U8" s="307"/>
      <c r="V8" s="308">
        <f>IF(K5="","",1/K5)</f>
        <v>1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19</v>
      </c>
      <c r="T9" s="306"/>
      <c r="U9" s="305" t="s">
        <v>20</v>
      </c>
      <c r="V9" s="305"/>
      <c r="W9" s="305" t="s">
        <v>21</v>
      </c>
      <c r="X9" s="305"/>
      <c r="Y9" s="305"/>
    </row>
    <row r="10" spans="1:28" ht="17.25" customHeight="1">
      <c r="A10" s="279" t="s">
        <v>33</v>
      </c>
      <c r="B10" s="279"/>
      <c r="C10" s="280"/>
      <c r="D10" s="369" t="s">
        <v>336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si="0">IFERROR(IF(D10="","",INDEX(Tabla_Completa,MATCH(D10,Materiales,0),6)),"")</f>
        <v>dm2</v>
      </c>
      <c r="P10" s="285"/>
      <c r="Q10" s="286">
        <v>30</v>
      </c>
      <c r="R10" s="287"/>
      <c r="S10" s="288">
        <f>IFERROR(IF(Q10="Unidad","1",(Q10*$K$5)),"")</f>
        <v>30</v>
      </c>
      <c r="T10" s="289"/>
      <c r="U10" s="276"/>
      <c r="V10" s="372"/>
      <c r="W10" s="277">
        <f>IFERROR(IF(D10="","",INDEX(Tabla_Completa,MATCH('Soli_citud '!D10,Materiales,0),7)*S10),"")</f>
        <v>22776.600000000002</v>
      </c>
      <c r="X10" s="277"/>
      <c r="Y10" s="277"/>
      <c r="Z10" s="37"/>
    </row>
    <row r="11" spans="1:28" ht="17.25" customHeight="1">
      <c r="A11" s="278"/>
      <c r="B11" s="279"/>
      <c r="C11" s="280"/>
      <c r="D11" s="369"/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si="0"/>
        <v/>
      </c>
      <c r="P11" s="285"/>
      <c r="Q11" s="286"/>
      <c r="R11" s="287"/>
      <c r="S11" s="288">
        <f t="shared" ref="S11:S31" si="1">IFERROR(IF(Q11="Unidad","1",(Q11*$K$5)),"")</f>
        <v>0</v>
      </c>
      <c r="T11" s="289"/>
      <c r="U11" s="276"/>
      <c r="V11" s="276"/>
      <c r="W11" s="277" t="str">
        <f>IFERROR(IF(D11="","",INDEX(Tabla_Completa,MATCH('Soli_citud '!D11,Materiales,0),7)*S11),"")</f>
        <v/>
      </c>
      <c r="X11" s="277"/>
      <c r="Y11" s="277"/>
    </row>
    <row r="12" spans="1:28" ht="15.75" customHeight="1">
      <c r="A12" s="278"/>
      <c r="B12" s="279"/>
      <c r="C12" s="280"/>
      <c r="D12" s="373"/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si="2">IFERROR(IF(D12="","",INDEX(Tabla_Completa,MATCH(D12,Materiales,0),6)),"")</f>
        <v/>
      </c>
      <c r="P12" s="285"/>
      <c r="Q12" s="286"/>
      <c r="R12" s="287"/>
      <c r="S12" s="288">
        <f t="shared" si="1"/>
        <v>0</v>
      </c>
      <c r="T12" s="289"/>
      <c r="U12" s="276"/>
      <c r="V12" s="276"/>
      <c r="W12" s="277" t="str">
        <f>IFERROR(IF(D12="","",INDEX(Tabla_Completa,MATCH('Soli_citud '!D12,Materiales,0),7)*S12),"")</f>
        <v/>
      </c>
      <c r="X12" s="277"/>
      <c r="Y12" s="277"/>
    </row>
    <row r="13" spans="1:28" ht="15.75" customHeight="1">
      <c r="A13" s="278"/>
      <c r="B13" s="279"/>
      <c r="C13" s="280"/>
      <c r="D13" s="369"/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si="0"/>
        <v/>
      </c>
      <c r="P13" s="285"/>
      <c r="Q13" s="286"/>
      <c r="R13" s="287"/>
      <c r="S13" s="288">
        <f t="shared" si="1"/>
        <v>0</v>
      </c>
      <c r="T13" s="289"/>
      <c r="U13" s="276"/>
      <c r="V13" s="276"/>
      <c r="W13" s="277" t="str">
        <f>IFERROR(IF(D13="","",INDEX(Tabla_Completa,MATCH('Soli_citud '!D13,Materiales,0),7)*S13),"")</f>
        <v/>
      </c>
      <c r="X13" s="277"/>
      <c r="Y13" s="277"/>
    </row>
    <row r="14" spans="1:28" ht="17.25" customHeight="1">
      <c r="A14" s="278"/>
      <c r="B14" s="279"/>
      <c r="C14" s="280"/>
      <c r="D14" s="369"/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si="0"/>
        <v/>
      </c>
      <c r="P14" s="285"/>
      <c r="Q14" s="286"/>
      <c r="R14" s="287"/>
      <c r="S14" s="288">
        <f t="shared" si="1"/>
        <v>0</v>
      </c>
      <c r="T14" s="289"/>
      <c r="U14" s="276"/>
      <c r="V14" s="276"/>
      <c r="W14" s="277" t="str">
        <f>IFERROR(IF(D14="","",INDEX(Tabla_Completa,MATCH('Soli_citud '!D14,Materiales,0),7)*S14),"")</f>
        <v/>
      </c>
      <c r="X14" s="277"/>
      <c r="Y14" s="277"/>
    </row>
    <row r="15" spans="1:28" ht="15.75" customHeight="1">
      <c r="A15" s="278"/>
      <c r="B15" s="279"/>
      <c r="C15" s="280"/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si="0"/>
        <v/>
      </c>
      <c r="P15" s="285"/>
      <c r="Q15" s="286"/>
      <c r="R15" s="287"/>
      <c r="S15" s="288">
        <f t="shared" si="1"/>
        <v>0</v>
      </c>
      <c r="T15" s="289"/>
      <c r="U15" s="276"/>
      <c r="V15" s="276"/>
      <c r="W15" s="277" t="str">
        <f>IFERROR(IF(D15="","",INDEX(Tabla_Completa,MATCH('Soli_citud '!D15,Materiales,0),7)*S15),"")</f>
        <v/>
      </c>
      <c r="X15" s="277"/>
      <c r="Y15" s="277"/>
    </row>
    <row r="16" spans="1:28" ht="15.75" customHeight="1">
      <c r="A16" s="278"/>
      <c r="B16" s="279"/>
      <c r="C16" s="280"/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si="0"/>
        <v/>
      </c>
      <c r="P16" s="285"/>
      <c r="Q16" s="286"/>
      <c r="R16" s="287"/>
      <c r="S16" s="288">
        <f t="shared" si="1"/>
        <v>0</v>
      </c>
      <c r="T16" s="289"/>
      <c r="U16" s="276"/>
      <c r="V16" s="276"/>
      <c r="W16" s="277" t="str">
        <f>IFERROR(IF(D16="","",INDEX(Tabla_Completa,MATCH('Soli_citud '!D16,Materiales,0),7)*S16),"")</f>
        <v/>
      </c>
      <c r="X16" s="277"/>
      <c r="Y16" s="277"/>
    </row>
    <row r="17" spans="1:25" ht="15.75" customHeight="1">
      <c r="A17" s="278"/>
      <c r="B17" s="279"/>
      <c r="C17" s="280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si="0"/>
        <v/>
      </c>
      <c r="P17" s="285"/>
      <c r="Q17" s="286"/>
      <c r="R17" s="287"/>
      <c r="S17" s="288">
        <f t="shared" si="1"/>
        <v>0</v>
      </c>
      <c r="T17" s="289"/>
      <c r="U17" s="276"/>
      <c r="V17" s="276"/>
      <c r="W17" s="277" t="str">
        <f>IFERROR(IF(D17="","",INDEX(Tabla_Completa,MATCH('Soli_citud '!D17,Materiales,0),7)*S17),"")</f>
        <v/>
      </c>
      <c r="X17" s="277"/>
      <c r="Y17" s="277"/>
    </row>
    <row r="18" spans="1:25" ht="15.75" customHeight="1">
      <c r="A18" s="278"/>
      <c r="B18" s="279"/>
      <c r="C18" s="280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si="0"/>
        <v/>
      </c>
      <c r="P18" s="285"/>
      <c r="Q18" s="286"/>
      <c r="R18" s="287"/>
      <c r="S18" s="288">
        <f t="shared" si="1"/>
        <v>0</v>
      </c>
      <c r="T18" s="289"/>
      <c r="U18" s="276"/>
      <c r="V18" s="276"/>
      <c r="W18" s="277" t="str">
        <f>IFERROR(IF(D18="","",INDEX(Tabla_Completa,MATCH('Soli_citud '!D18,Materiales,0),7)*S18),"")</f>
        <v/>
      </c>
      <c r="X18" s="277"/>
      <c r="Y18" s="277"/>
    </row>
    <row r="19" spans="1:25" ht="15.75">
      <c r="A19" s="278"/>
      <c r="B19" s="279"/>
      <c r="C19" s="280"/>
      <c r="D19" s="281"/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si="0"/>
        <v/>
      </c>
      <c r="P19" s="285"/>
      <c r="Q19" s="286"/>
      <c r="R19" s="287"/>
      <c r="S19" s="288">
        <f t="shared" si="1"/>
        <v>0</v>
      </c>
      <c r="T19" s="289"/>
      <c r="U19" s="276"/>
      <c r="V19" s="276"/>
      <c r="W19" s="277" t="str">
        <f>IFERROR(IF(D19="","",INDEX(Tabla_Completa,MATCH('Soli_citud '!D19,Materiales,0),7)*S19),"")</f>
        <v/>
      </c>
      <c r="X19" s="277"/>
      <c r="Y19" s="277"/>
    </row>
    <row r="20" spans="1:25" ht="15.75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>IFERROR(IF(D20="","",INDEX(Tabla_Completa,MATCH('Soli_citud '!D20,Materiales,0),7)*S20),"")</f>
        <v/>
      </c>
      <c r="X20" s="277"/>
      <c r="Y20" s="277"/>
    </row>
    <row r="21" spans="1:25" ht="15.75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>IFERROR(IF(D21="","",INDEX(Tabla_Completa,MATCH('Soli_citud '!D21,Materiales,0),7)*S21),"")</f>
        <v/>
      </c>
      <c r="X21" s="277"/>
      <c r="Y21" s="277"/>
    </row>
    <row r="22" spans="1:25" ht="15.75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>IFERROR(IF(D22="","",INDEX(Tabla_Completa,MATCH('Soli_citud '!D22,Materiales,0),7)*S22),"")</f>
        <v/>
      </c>
      <c r="X22" s="277"/>
      <c r="Y22" s="277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>IFERROR(IF(D23="","",INDEX(Tabla_Completa,MATCH('Soli_citud '!D23,Materiales,0),7)*S23),"")</f>
        <v/>
      </c>
      <c r="X23" s="277"/>
      <c r="Y23" s="277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si="0"/>
        <v/>
      </c>
      <c r="P24" s="285"/>
      <c r="Q24" s="286"/>
      <c r="R24" s="287"/>
      <c r="S24" s="288">
        <f t="shared" si="1"/>
        <v>0</v>
      </c>
      <c r="T24" s="289"/>
      <c r="U24" s="276"/>
      <c r="V24" s="276"/>
      <c r="W24" s="277" t="str">
        <f>IFERROR(IF(D24="","",INDEX(Tabla_Completa,MATCH('Soli_citud '!D24,Materiales,0),7)*S24),"")</f>
        <v/>
      </c>
      <c r="X24" s="277"/>
      <c r="Y24" s="277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si="0"/>
        <v/>
      </c>
      <c r="P25" s="285"/>
      <c r="Q25" s="286"/>
      <c r="R25" s="287"/>
      <c r="S25" s="288">
        <f t="shared" si="1"/>
        <v>0</v>
      </c>
      <c r="T25" s="289"/>
      <c r="U25" s="276"/>
      <c r="V25" s="276"/>
      <c r="W25" s="277" t="str">
        <f>IFERROR(IF(D25="","",INDEX(Tabla_Completa,MATCH('Soli_citud '!D25,Materiales,0),7)*S25),"")</f>
        <v/>
      </c>
      <c r="X25" s="277"/>
      <c r="Y25" s="277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si="0"/>
        <v/>
      </c>
      <c r="P26" s="285"/>
      <c r="Q26" s="286"/>
      <c r="R26" s="287"/>
      <c r="S26" s="288">
        <f t="shared" si="1"/>
        <v>0</v>
      </c>
      <c r="T26" s="289"/>
      <c r="U26" s="276"/>
      <c r="V26" s="276"/>
      <c r="W26" s="277" t="str">
        <f>IFERROR(IF(D26="","",INDEX(Tabla_Completa,MATCH('Soli_citud '!D26,Materiales,0),7)*S26),"")</f>
        <v/>
      </c>
      <c r="X26" s="277"/>
      <c r="Y26" s="277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>IFERROR(IF(D27="","",INDEX(Tabla_Completa,MATCH('Soli_citud '!D27,Materiales,0),7)*S27),"")</f>
        <v/>
      </c>
      <c r="X27" s="277"/>
      <c r="Y27" s="277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>IFERROR(IF(D28="","",INDEX(Tabla_Completa,MATCH('Soli_citud '!D28,Materiales,0),7)*S28),"")</f>
        <v/>
      </c>
      <c r="X28" s="277"/>
      <c r="Y28" s="277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>IFERROR(IF(D29="","",INDEX(Tabla_Completa,MATCH('Soli_citud '!D29,Materiales,0),7)*S29),"")</f>
        <v/>
      </c>
      <c r="X29" s="277"/>
      <c r="Y29" s="277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>IFERROR(IF(D30="","",INDEX(Tabla_Completa,MATCH('Soli_citud '!D30,Materiales,0),7)*S30),"")</f>
        <v/>
      </c>
      <c r="X30" s="277"/>
      <c r="Y30" s="277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>IFERROR(IF(D31="","",INDEX(Tabla_Completa,MATCH('Soli_citud '!D31,Materiales,0),7)*S31),"")</f>
        <v/>
      </c>
      <c r="X31" s="277"/>
      <c r="Y31" s="277"/>
    </row>
    <row r="32" spans="1:25" ht="15.75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>IFERROR(IF(D32="","",INDEX(Tabla_Completa,MATCH('Soli_citud '!D32,Materiales,0),7)*S32),"")</f>
        <v/>
      </c>
      <c r="X32" s="277"/>
      <c r="Y32" s="277"/>
    </row>
    <row r="33" spans="1:25" ht="15.75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>IFERROR(IF(D33="","",INDEX(Tabla_Completa,MATCH('Soli_citud '!D33,Materiales,0),7)*S33),"")</f>
        <v/>
      </c>
      <c r="X33" s="277"/>
      <c r="Y33" s="277"/>
    </row>
    <row r="34" spans="1:25"/>
    <row r="35" spans="1:25"/>
    <row r="36" spans="1:25"/>
    <row r="37" spans="1:25"/>
    <row r="38" spans="1:25" ht="15" customHeight="1"/>
    <row r="39" spans="1:25" ht="33.75" customHeight="1">
      <c r="A39" s="290" t="s">
        <v>22</v>
      </c>
      <c r="B39" s="290"/>
      <c r="C39" s="290"/>
      <c r="D39" s="291" t="s">
        <v>23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25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9.5">
      <c r="A44" s="301" t="s">
        <v>26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27</v>
      </c>
      <c r="O44" s="303"/>
      <c r="P44" s="303"/>
      <c r="Q44" s="303"/>
      <c r="R44" s="298" t="s">
        <v>28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29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30</v>
      </c>
      <c r="O45" s="303"/>
      <c r="P45" s="303"/>
      <c r="Q45" s="303"/>
      <c r="R45" s="299" t="s">
        <v>31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32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33</v>
      </c>
      <c r="O46" s="303"/>
      <c r="P46" s="303"/>
      <c r="Q46" s="303"/>
      <c r="R46" s="300" t="s">
        <v>34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35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36</v>
      </c>
      <c r="O47" s="303"/>
      <c r="P47" s="303"/>
      <c r="Q47" s="303"/>
      <c r="R47" s="300" t="s">
        <v>37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38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39</v>
      </c>
      <c r="O48" s="303"/>
      <c r="P48" s="303"/>
      <c r="Q48" s="303"/>
      <c r="R48" s="300" t="s">
        <v>40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41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42</v>
      </c>
      <c r="O49" s="304"/>
      <c r="P49" s="304"/>
      <c r="Q49" s="304"/>
      <c r="R49" s="299" t="s">
        <v>43</v>
      </c>
      <c r="S49" s="299"/>
      <c r="T49" s="299"/>
      <c r="U49" s="299"/>
      <c r="V49" s="299"/>
      <c r="W49" s="299"/>
      <c r="X49" s="299"/>
    </row>
    <row r="50" spans="1:24" ht="15.75">
      <c r="A50" s="297"/>
      <c r="B50" s="297"/>
      <c r="C50" s="297"/>
      <c r="D50" s="297"/>
      <c r="N50" s="303" t="s">
        <v>44</v>
      </c>
      <c r="O50" s="303"/>
      <c r="P50" s="303"/>
      <c r="Q50" s="303"/>
      <c r="R50" s="300" t="s">
        <v>45</v>
      </c>
      <c r="S50" s="300"/>
      <c r="T50" s="300"/>
      <c r="U50" s="300"/>
      <c r="V50" s="300"/>
      <c r="W50" s="300"/>
      <c r="X50" s="300"/>
    </row>
    <row r="51" spans="1:24" ht="15.75">
      <c r="N51" s="303" t="s">
        <v>46</v>
      </c>
      <c r="O51" s="303"/>
      <c r="P51" s="303"/>
      <c r="Q51" s="303"/>
      <c r="R51" s="300" t="s">
        <v>47</v>
      </c>
      <c r="S51" s="300"/>
      <c r="T51" s="300"/>
      <c r="U51" s="300"/>
      <c r="V51" s="300"/>
      <c r="W51" s="300"/>
      <c r="X51" s="300"/>
    </row>
    <row r="52" spans="1:24" ht="15.75">
      <c r="N52" s="303" t="s">
        <v>48</v>
      </c>
      <c r="O52" s="303"/>
      <c r="P52" s="303"/>
      <c r="Q52" s="303"/>
      <c r="R52" s="300" t="s">
        <v>37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D6" sqref="D6:H6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49</v>
      </c>
      <c r="D1" s="383"/>
      <c r="E1" s="383"/>
      <c r="F1" s="383"/>
      <c r="G1" s="383"/>
      <c r="H1" s="383"/>
      <c r="I1" s="389" t="s">
        <v>50</v>
      </c>
      <c r="J1" s="390"/>
      <c r="K1" s="390"/>
      <c r="L1" s="391"/>
      <c r="M1" s="384">
        <f>IF('Soli_citud '!O1="","",'Soli_citud '!O1)</f>
        <v>45084</v>
      </c>
      <c r="N1" s="385"/>
      <c r="O1" s="428" t="s">
        <v>51</v>
      </c>
      <c r="P1" s="429"/>
      <c r="Q1" s="424" t="str">
        <f>IF('Soli_citud '!D4="","",'Soli_citud '!D4)</f>
        <v>tapete de ajedrez</v>
      </c>
      <c r="R1" s="425"/>
      <c r="Z1" s="271" t="s">
        <v>52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53</v>
      </c>
      <c r="J2" s="393"/>
      <c r="K2" s="393"/>
      <c r="L2" s="394"/>
      <c r="M2" s="386" t="str">
        <f>'Soli_citud '!F1</f>
        <v>MG0706-1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54</v>
      </c>
      <c r="J3" s="388"/>
      <c r="K3" s="388"/>
      <c r="L3" s="388"/>
      <c r="M3" s="395" t="str">
        <f>IF('Soli_citud '!O3="","",'Soli_citud '!O3)</f>
        <v>celda de pcc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55</v>
      </c>
      <c r="J4" s="377"/>
      <c r="K4" s="377"/>
      <c r="L4" s="378" t="str">
        <f>IF('Soli_citud '!O4="","",'Soli_citud '!O4)</f>
        <v>Marroquinería Producción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56</v>
      </c>
      <c r="B6" s="380"/>
      <c r="C6" s="380"/>
      <c r="D6" s="397" t="s">
        <v>57</v>
      </c>
      <c r="E6" s="397"/>
      <c r="F6" s="397"/>
      <c r="G6" s="397"/>
      <c r="H6" s="398"/>
      <c r="I6" s="420" t="s">
        <v>58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>IFERROR(IF(Q3="","",F9*L10),"")</f>
        <v/>
      </c>
      <c r="R7" s="412"/>
    </row>
    <row r="8" spans="1:26" ht="20.25" customHeight="1">
      <c r="A8" s="381">
        <f>IF('Soli_citud '!D5&lt;= 0,"",'Soli_citud '!D5)</f>
        <v>22776.600000000002</v>
      </c>
      <c r="B8" s="381"/>
      <c r="C8" s="381"/>
      <c r="D8" s="399" t="s">
        <v>59</v>
      </c>
      <c r="E8" s="400"/>
      <c r="F8" s="400"/>
      <c r="G8" s="400"/>
      <c r="H8" s="401"/>
      <c r="I8" s="422" t="str">
        <f>IF('Soli_citud '!E2="","",'Soli_citud '!E2)</f>
        <v>Maribel Gil Zapata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60</v>
      </c>
      <c r="B9" s="406"/>
      <c r="C9" s="402"/>
      <c r="D9" s="408" t="s">
        <v>61</v>
      </c>
      <c r="E9" s="408"/>
      <c r="F9" s="414" t="str">
        <f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62</v>
      </c>
      <c r="J10" s="440"/>
      <c r="K10" s="441"/>
      <c r="L10" s="259">
        <f>'Soli_citud '!K5</f>
        <v>1</v>
      </c>
      <c r="M10" s="437" t="s">
        <v>63</v>
      </c>
      <c r="N10" s="438"/>
      <c r="O10" s="432"/>
      <c r="P10" s="433"/>
      <c r="Q10" s="260" t="s">
        <v>64</v>
      </c>
      <c r="R10" s="258" t="str" cm="1">
        <f t="array" ref="R10">IFERROR(_xlfn.IFS(L10=1,"",L10&gt;SUM(R12:R30),SUM(R12:R30),L10=SUM(R12:R30),"Cumplido",L10&lt;SUM(R12:R30),"Revisar"),"")</f>
        <v/>
      </c>
    </row>
    <row r="11" spans="1:26" ht="45.75" customHeight="1">
      <c r="A11" s="93" t="s">
        <v>65</v>
      </c>
      <c r="B11" s="403" t="s">
        <v>66</v>
      </c>
      <c r="C11" s="404"/>
      <c r="D11" s="404"/>
      <c r="E11" s="405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87" t="s">
        <v>20</v>
      </c>
      <c r="L11" s="439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376" t="str">
        <f>IFERROR(IF('Soli_citud '!D10="","",'Soli_citud '!D10),"")</f>
        <v>TALA</v>
      </c>
      <c r="C12" s="376"/>
      <c r="D12" s="376"/>
      <c r="E12" s="376"/>
      <c r="F12" s="239" t="str">
        <f>IF('Soli_citud '!O10="","",'Soli_citud '!O10)</f>
        <v>dm2</v>
      </c>
      <c r="G12" s="239" cm="1">
        <f t="array" ref="G12">_xlfn.IFS('Soli_citud '!S10="","",'Soli_citud '!S10&lt;=0,"",'Soli_citud '!S10&gt;0,'Soli_citud '!S10)</f>
        <v>30</v>
      </c>
      <c r="H12" s="240"/>
      <c r="I12" s="241"/>
      <c r="J12" s="215" cm="1">
        <f t="array" ref="J12">IFERROR(_xlfn.IFS(G12="","",I12=G12,"Cumplido",I12&lt;G12,G12-I12,I12&gt;G12,"Revisar"),"")</f>
        <v>30</v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/>
      </c>
      <c r="C13" s="376"/>
      <c r="D13" s="376"/>
      <c r="E13" s="376"/>
      <c r="F13" s="239" t="str">
        <f>IF('Soli_citud '!O11="","",'Soli_citud '!O11)</f>
        <v/>
      </c>
      <c r="G13" s="239" t="str" cm="1">
        <f t="array" ref="G13">_xlfn.IFS('Soli_citud '!S11="","",'Soli_citud '!S11&lt;=0,"",'Soli_citud '!S11&gt;0,'Soli_citud '!S11)</f>
        <v/>
      </c>
      <c r="H13" s="240"/>
      <c r="I13" s="242"/>
      <c r="J13" s="215" t="str" cm="1">
        <f t="array" ref="J13">IFERROR(_xlfn.IFS(G13="","",I13=G13,"Cumplido",I13&lt;G13,G13-I13,I13&gt;G13,"Revisar"),"")</f>
        <v/>
      </c>
      <c r="K13" s="374"/>
      <c r="L13" s="375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/>
      </c>
      <c r="C14" s="376"/>
      <c r="D14" s="376"/>
      <c r="E14" s="376"/>
      <c r="F14" s="239" t="str">
        <f>IF('Soli_citud '!O12="","",'Soli_citud '!O12)</f>
        <v/>
      </c>
      <c r="G14" s="239" t="str" cm="1">
        <f t="array" ref="G14">_xlfn.IFS('Soli_citud '!S12="","",'Soli_citud '!S12&lt;=0,"",'Soli_citud '!S12&gt;0,'Soli_citud '!S12)</f>
        <v/>
      </c>
      <c r="H14" s="243"/>
      <c r="I14" s="242"/>
      <c r="J14" s="215" t="str" cm="1">
        <f t="array" ref="J14">IFERROR(_xlfn.IFS(G14="","",I14=G14,"Cumplido",I14&lt;G14,G14-I14,I14&gt;G14,"Revisar"),"")</f>
        <v/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/>
      </c>
      <c r="C15" s="376"/>
      <c r="D15" s="376"/>
      <c r="E15" s="376"/>
      <c r="F15" s="239" t="str">
        <f>IF('Soli_citud '!O13="","",'Soli_citud '!O13)</f>
        <v/>
      </c>
      <c r="G15" s="239" t="str" cm="1">
        <f t="array" ref="G15">_xlfn.IFS('Soli_citud '!S13="","",'Soli_citud '!S13&lt;=0,"",'Soli_citud '!S13&gt;0,'Soli_citud '!S13)</f>
        <v/>
      </c>
      <c r="H15" s="243"/>
      <c r="I15" s="242"/>
      <c r="J15" s="215" t="str" cm="1">
        <f t="array" ref="J15">IFERROR(_xlfn.IFS(G15="","",I15=G15,"Cumplido",I15&lt;G15,G15-I15,I15&gt;G15,"Revisar"),"")</f>
        <v/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/>
      </c>
      <c r="C16" s="376"/>
      <c r="D16" s="376"/>
      <c r="E16" s="376"/>
      <c r="F16" s="239" t="str">
        <f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/>
      </c>
      <c r="C17" s="376"/>
      <c r="D17" s="376"/>
      <c r="E17" s="376"/>
      <c r="F17" s="239" t="str">
        <f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/>
      </c>
      <c r="C18" s="376"/>
      <c r="D18" s="376"/>
      <c r="E18" s="376"/>
      <c r="F18" s="239" t="str">
        <f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/>
      </c>
      <c r="C19" s="376"/>
      <c r="D19" s="376"/>
      <c r="E19" s="376"/>
      <c r="F19" s="239" t="str">
        <f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/>
      </c>
      <c r="C20" s="376"/>
      <c r="D20" s="376"/>
      <c r="E20" s="376"/>
      <c r="F20" s="239" t="str">
        <f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/>
      </c>
      <c r="C21" s="376"/>
      <c r="D21" s="376"/>
      <c r="E21" s="376"/>
      <c r="F21" s="239" t="str">
        <f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/>
      </c>
      <c r="C23" s="376"/>
      <c r="D23" s="376"/>
      <c r="E23" s="376"/>
      <c r="F23" s="239" t="str">
        <f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78</v>
      </c>
      <c r="F1" s="450"/>
      <c r="Z1" s="271" t="s">
        <v>52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8"/>
      <c r="D6" s="449"/>
      <c r="H6" s="446" t="s">
        <v>80</v>
      </c>
      <c r="I6" s="446"/>
    </row>
    <row r="7" spans="1:26" ht="47.25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286</v>
      </c>
      <c r="C220" s="229" t="s">
        <v>222</v>
      </c>
      <c r="D220" s="51" t="s">
        <v>224</v>
      </c>
      <c r="E220" s="170">
        <v>10000</v>
      </c>
      <c r="F220" s="198" t="s">
        <v>230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287</v>
      </c>
      <c r="C221" s="229" t="s">
        <v>222</v>
      </c>
      <c r="D221" s="51" t="s">
        <v>191</v>
      </c>
      <c r="E221" s="170">
        <v>636792</v>
      </c>
      <c r="F221" s="198" t="s">
        <v>97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288</v>
      </c>
      <c r="C222" s="229" t="s">
        <v>222</v>
      </c>
      <c r="D222" s="51" t="s">
        <v>257</v>
      </c>
      <c r="E222" s="46">
        <v>28.18</v>
      </c>
      <c r="F222" s="199" t="s">
        <v>257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2700</v>
      </c>
      <c r="F223" s="198" t="s">
        <v>257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257</v>
      </c>
      <c r="E224" s="170">
        <v>18.53</v>
      </c>
      <c r="F224" s="198" t="s">
        <v>257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1800</v>
      </c>
      <c r="F225" s="198" t="s">
        <v>257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227</v>
      </c>
      <c r="E226" s="170">
        <v>1057</v>
      </c>
      <c r="F226" s="198" t="s">
        <v>227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18.53</v>
      </c>
      <c r="F227" s="198" t="s">
        <v>257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295</v>
      </c>
      <c r="C229" s="229" t="s">
        <v>222</v>
      </c>
      <c r="D229" s="51" t="s">
        <v>257</v>
      </c>
      <c r="E229" s="170">
        <v>22.8</v>
      </c>
      <c r="F229" s="198" t="s">
        <v>257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297</v>
      </c>
      <c r="C231" s="229" t="s">
        <v>222</v>
      </c>
      <c r="D231" s="51" t="s">
        <v>257</v>
      </c>
      <c r="E231" s="170">
        <v>14.73</v>
      </c>
      <c r="F231" s="198" t="s">
        <v>257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298</v>
      </c>
      <c r="C232" s="229" t="s">
        <v>222</v>
      </c>
      <c r="D232" s="51" t="s">
        <v>227</v>
      </c>
      <c r="E232" s="170">
        <v>819.99999999999989</v>
      </c>
      <c r="F232" s="198" t="s">
        <v>227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299</v>
      </c>
      <c r="C233" s="229" t="s">
        <v>222</v>
      </c>
      <c r="D233" s="51" t="s">
        <v>227</v>
      </c>
      <c r="E233" s="170">
        <v>1170</v>
      </c>
      <c r="F233" s="198" t="s">
        <v>227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300</v>
      </c>
      <c r="C234" s="229" t="s">
        <v>222</v>
      </c>
      <c r="D234" s="51" t="s">
        <v>227</v>
      </c>
      <c r="E234" s="170">
        <v>8000</v>
      </c>
      <c r="F234" s="198" t="s">
        <v>230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301</v>
      </c>
      <c r="C235" s="229" t="s">
        <v>222</v>
      </c>
      <c r="D235" s="51" t="s">
        <v>227</v>
      </c>
      <c r="E235" s="170">
        <v>11000</v>
      </c>
      <c r="F235" s="198" t="s">
        <v>230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302</v>
      </c>
      <c r="C236" s="229" t="s">
        <v>222</v>
      </c>
      <c r="D236" s="51" t="s">
        <v>227</v>
      </c>
      <c r="E236" s="170">
        <v>10858</v>
      </c>
      <c r="F236" s="198" t="s">
        <v>230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303</v>
      </c>
      <c r="C237" s="229" t="s">
        <v>222</v>
      </c>
      <c r="D237" s="51" t="s">
        <v>227</v>
      </c>
      <c r="E237" s="170">
        <v>13999.16</v>
      </c>
      <c r="F237" s="198" t="s">
        <v>227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304</v>
      </c>
      <c r="C238" s="229" t="s">
        <v>222</v>
      </c>
      <c r="D238" s="51" t="s">
        <v>224</v>
      </c>
      <c r="E238" s="170"/>
      <c r="F238" s="198" t="s">
        <v>257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305</v>
      </c>
      <c r="C239" s="229" t="s">
        <v>222</v>
      </c>
      <c r="D239" s="51" t="s">
        <v>201</v>
      </c>
      <c r="E239" s="170">
        <v>4776.666666666667</v>
      </c>
      <c r="F239" s="198" t="s">
        <v>97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306</v>
      </c>
      <c r="C240" s="229" t="s">
        <v>222</v>
      </c>
      <c r="D240" s="51" t="s">
        <v>227</v>
      </c>
      <c r="E240" s="46">
        <v>1035.3</v>
      </c>
      <c r="F240" s="199" t="s">
        <v>227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307</v>
      </c>
      <c r="C241" s="229" t="s">
        <v>222</v>
      </c>
      <c r="D241" s="51" t="s">
        <v>226</v>
      </c>
      <c r="E241" s="46">
        <v>700</v>
      </c>
      <c r="F241" s="199" t="s">
        <v>257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308</v>
      </c>
      <c r="C242" s="229" t="s">
        <v>222</v>
      </c>
      <c r="D242" s="51" t="s">
        <v>226</v>
      </c>
      <c r="E242" s="46">
        <v>1100</v>
      </c>
      <c r="F242" s="199" t="s">
        <v>257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309</v>
      </c>
      <c r="C243" s="229" t="s">
        <v>222</v>
      </c>
      <c r="D243" s="51" t="s">
        <v>257</v>
      </c>
      <c r="E243" s="46">
        <v>1000</v>
      </c>
      <c r="F243" s="199" t="s">
        <v>257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310</v>
      </c>
      <c r="C244" s="229" t="s">
        <v>222</v>
      </c>
      <c r="D244" s="51" t="s">
        <v>227</v>
      </c>
      <c r="E244" s="46">
        <v>700</v>
      </c>
      <c r="F244" s="199" t="s">
        <v>257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311</v>
      </c>
      <c r="C245" s="229" t="s">
        <v>222</v>
      </c>
      <c r="D245" s="51" t="s">
        <v>227</v>
      </c>
      <c r="E245" s="46">
        <v>84</v>
      </c>
      <c r="F245" s="199" t="s">
        <v>257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312</v>
      </c>
      <c r="C246" s="229" t="s">
        <v>222</v>
      </c>
      <c r="D246" s="51" t="s">
        <v>227</v>
      </c>
      <c r="E246" s="46">
        <v>10780</v>
      </c>
      <c r="F246" s="199" t="s">
        <v>230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79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65</v>
      </c>
      <c r="B518" s="129" t="s">
        <v>81</v>
      </c>
      <c r="C518" s="123" t="s">
        <v>82</v>
      </c>
      <c r="D518" s="107" t="s">
        <v>83</v>
      </c>
      <c r="E518" s="72" t="s">
        <v>84</v>
      </c>
      <c r="F518" s="192" t="s">
        <v>85</v>
      </c>
      <c r="G518" s="74" t="s">
        <v>86</v>
      </c>
      <c r="H518" s="75" t="s">
        <v>87</v>
      </c>
      <c r="I518" s="75" t="s">
        <v>88</v>
      </c>
      <c r="J518" s="77" t="s">
        <v>89</v>
      </c>
    </row>
    <row r="519" spans="1:10" ht="15" customHeight="1">
      <c r="A519" s="44">
        <v>1</v>
      </c>
      <c r="B519" s="150" t="s">
        <v>313</v>
      </c>
      <c r="C519" s="229" t="s">
        <v>33</v>
      </c>
      <c r="D519" s="51" t="s">
        <v>314</v>
      </c>
      <c r="E519" s="46">
        <v>380</v>
      </c>
      <c r="F519" s="193" t="s">
        <v>314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315</v>
      </c>
      <c r="C520" s="229" t="s">
        <v>33</v>
      </c>
      <c r="D520" s="53" t="s">
        <v>314</v>
      </c>
      <c r="E520" s="55">
        <v>848.47</v>
      </c>
      <c r="F520" s="54" t="s">
        <v>314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316</v>
      </c>
      <c r="C521" s="229" t="s">
        <v>33</v>
      </c>
      <c r="D521" s="53" t="s">
        <v>314</v>
      </c>
      <c r="E521" s="46">
        <v>815</v>
      </c>
      <c r="F521" s="193" t="s">
        <v>314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317</v>
      </c>
      <c r="C522" s="229" t="s">
        <v>33</v>
      </c>
      <c r="D522" s="53" t="s">
        <v>314</v>
      </c>
      <c r="E522" s="46">
        <v>623.66666666666663</v>
      </c>
      <c r="F522" s="193" t="s">
        <v>314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318</v>
      </c>
      <c r="C523" s="229" t="s">
        <v>33</v>
      </c>
      <c r="D523" s="51" t="s">
        <v>314</v>
      </c>
      <c r="E523" s="46">
        <v>698.53</v>
      </c>
      <c r="F523" s="193" t="s">
        <v>314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319</v>
      </c>
      <c r="C524" s="229" t="s">
        <v>33</v>
      </c>
      <c r="D524" s="51" t="s">
        <v>314</v>
      </c>
      <c r="E524" s="46">
        <v>390.66666666666669</v>
      </c>
      <c r="F524" s="193" t="s">
        <v>314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320</v>
      </c>
      <c r="C525" s="229" t="s">
        <v>33</v>
      </c>
      <c r="D525" s="51" t="s">
        <v>314</v>
      </c>
      <c r="E525" s="46">
        <v>477.19</v>
      </c>
      <c r="F525" s="54" t="s">
        <v>314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321</v>
      </c>
      <c r="C526" s="229" t="s">
        <v>33</v>
      </c>
      <c r="D526" s="51" t="s">
        <v>314</v>
      </c>
      <c r="E526" s="46">
        <v>998.41</v>
      </c>
      <c r="F526" s="193" t="s">
        <v>314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322</v>
      </c>
      <c r="C527" s="229" t="s">
        <v>33</v>
      </c>
      <c r="D527" s="51" t="s">
        <v>314</v>
      </c>
      <c r="E527" s="46">
        <v>898.44999999999993</v>
      </c>
      <c r="F527" s="193" t="s">
        <v>314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323</v>
      </c>
      <c r="C528" s="229" t="s">
        <v>33</v>
      </c>
      <c r="D528" s="225" t="s">
        <v>314</v>
      </c>
      <c r="E528" s="227">
        <v>1500</v>
      </c>
      <c r="F528" s="179" t="s">
        <v>314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324</v>
      </c>
      <c r="C529" s="229" t="s">
        <v>33</v>
      </c>
      <c r="D529" s="51" t="s">
        <v>314</v>
      </c>
      <c r="E529" s="226">
        <v>53371.5</v>
      </c>
      <c r="F529" s="54" t="s">
        <v>314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325</v>
      </c>
      <c r="C530" s="229" t="s">
        <v>33</v>
      </c>
      <c r="D530" s="51" t="s">
        <v>314</v>
      </c>
      <c r="E530" s="46">
        <v>897.26</v>
      </c>
      <c r="F530" s="193" t="s">
        <v>314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326</v>
      </c>
      <c r="C531" s="229" t="s">
        <v>33</v>
      </c>
      <c r="D531" s="56" t="s">
        <v>314</v>
      </c>
      <c r="E531" s="46">
        <v>1673.3335</v>
      </c>
      <c r="F531" s="193" t="s">
        <v>314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327</v>
      </c>
      <c r="C532" s="229" t="s">
        <v>33</v>
      </c>
      <c r="D532" s="53" t="s">
        <v>314</v>
      </c>
      <c r="E532" s="48">
        <v>250</v>
      </c>
      <c r="F532" s="54" t="s">
        <v>314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328</v>
      </c>
      <c r="C533" s="229" t="s">
        <v>33</v>
      </c>
      <c r="D533" s="53" t="s">
        <v>314</v>
      </c>
      <c r="E533" s="55">
        <v>898.45</v>
      </c>
      <c r="F533" s="54" t="s">
        <v>314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329</v>
      </c>
      <c r="C534" s="229" t="s">
        <v>33</v>
      </c>
      <c r="D534" s="53" t="s">
        <v>314</v>
      </c>
      <c r="E534" s="55">
        <v>898.45</v>
      </c>
      <c r="F534" s="54" t="s">
        <v>314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330</v>
      </c>
      <c r="C535" s="229" t="s">
        <v>33</v>
      </c>
      <c r="D535" s="224" t="s">
        <v>314</v>
      </c>
      <c r="E535" s="149">
        <v>549.78</v>
      </c>
      <c r="F535" s="54" t="s">
        <v>314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331</v>
      </c>
      <c r="C536" s="229" t="s">
        <v>33</v>
      </c>
      <c r="D536" s="224" t="s">
        <v>314</v>
      </c>
      <c r="E536" s="228">
        <v>357</v>
      </c>
      <c r="F536" s="54" t="s">
        <v>314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332</v>
      </c>
      <c r="C537" s="229" t="s">
        <v>33</v>
      </c>
      <c r="D537" s="224" t="s">
        <v>314</v>
      </c>
      <c r="E537" s="149">
        <v>998.41</v>
      </c>
      <c r="F537" s="54" t="s">
        <v>314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333</v>
      </c>
      <c r="C538" s="229" t="s">
        <v>33</v>
      </c>
      <c r="D538" s="148" t="s">
        <v>314</v>
      </c>
      <c r="E538" s="149">
        <v>898.45</v>
      </c>
      <c r="F538" s="57" t="s">
        <v>314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334</v>
      </c>
      <c r="C539" s="229" t="s">
        <v>33</v>
      </c>
      <c r="D539" s="177" t="s">
        <v>314</v>
      </c>
      <c r="E539" s="178">
        <v>1200</v>
      </c>
      <c r="F539" s="179" t="s">
        <v>314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335</v>
      </c>
      <c r="C540" s="229" t="s">
        <v>33</v>
      </c>
      <c r="D540" s="148" t="s">
        <v>314</v>
      </c>
      <c r="E540" s="145">
        <v>1217</v>
      </c>
      <c r="F540" s="193" t="s">
        <v>314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336</v>
      </c>
      <c r="C541" s="229" t="s">
        <v>33</v>
      </c>
      <c r="D541" s="148" t="s">
        <v>314</v>
      </c>
      <c r="E541" s="149">
        <v>759.22</v>
      </c>
      <c r="F541" s="54" t="s">
        <v>314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79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65</v>
      </c>
      <c r="B564" s="183" t="s">
        <v>81</v>
      </c>
      <c r="C564" s="69" t="s">
        <v>82</v>
      </c>
      <c r="D564" s="70" t="s">
        <v>83</v>
      </c>
      <c r="E564" s="72" t="s">
        <v>84</v>
      </c>
      <c r="F564" s="192" t="s">
        <v>85</v>
      </c>
      <c r="G564" s="74" t="s">
        <v>86</v>
      </c>
      <c r="H564" s="75" t="s">
        <v>87</v>
      </c>
      <c r="I564" s="184" t="s">
        <v>88</v>
      </c>
      <c r="J564" s="78" t="s">
        <v>89</v>
      </c>
    </row>
    <row r="565" spans="1:10" ht="15" customHeight="1">
      <c r="A565" s="44">
        <v>1</v>
      </c>
      <c r="B565" s="245" t="s">
        <v>337</v>
      </c>
      <c r="C565" s="229" t="s">
        <v>36</v>
      </c>
      <c r="D565" s="51" t="s">
        <v>97</v>
      </c>
      <c r="E565" s="46">
        <v>304.64</v>
      </c>
      <c r="F565" s="193" t="s">
        <v>97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338</v>
      </c>
      <c r="C566" s="229" t="s">
        <v>36</v>
      </c>
      <c r="D566" s="51" t="s">
        <v>97</v>
      </c>
      <c r="E566" s="58">
        <v>3356</v>
      </c>
      <c r="F566" s="200" t="s">
        <v>97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339</v>
      </c>
      <c r="C567" s="229" t="s">
        <v>36</v>
      </c>
      <c r="D567" s="51" t="s">
        <v>97</v>
      </c>
      <c r="E567" s="58">
        <v>304.64</v>
      </c>
      <c r="F567" s="200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340</v>
      </c>
      <c r="C568" s="229" t="s">
        <v>36</v>
      </c>
      <c r="D568" s="51" t="s">
        <v>97</v>
      </c>
      <c r="E568" s="46">
        <v>304.64</v>
      </c>
      <c r="F568" s="193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341</v>
      </c>
      <c r="C569" s="229" t="s">
        <v>36</v>
      </c>
      <c r="D569" s="51" t="s">
        <v>97</v>
      </c>
      <c r="E569" s="58">
        <v>304.64</v>
      </c>
      <c r="F569" s="200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342</v>
      </c>
      <c r="C570" s="229" t="s">
        <v>36</v>
      </c>
      <c r="D570" s="51" t="s">
        <v>97</v>
      </c>
      <c r="E570" s="46">
        <v>304.64</v>
      </c>
      <c r="F570" s="193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343</v>
      </c>
      <c r="C571" s="229" t="s">
        <v>36</v>
      </c>
      <c r="D571" s="51" t="s">
        <v>97</v>
      </c>
      <c r="E571" s="58">
        <v>304.64</v>
      </c>
      <c r="F571" s="200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345</v>
      </c>
      <c r="C573" s="229" t="s">
        <v>36</v>
      </c>
      <c r="D573" s="51" t="s">
        <v>97</v>
      </c>
      <c r="E573" s="46">
        <v>304.64</v>
      </c>
      <c r="F573" s="193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346</v>
      </c>
      <c r="C574" s="229" t="s">
        <v>36</v>
      </c>
      <c r="D574" s="51" t="s">
        <v>97</v>
      </c>
      <c r="E574" s="58">
        <v>304.64</v>
      </c>
      <c r="F574" s="200" t="s">
        <v>97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352</v>
      </c>
      <c r="C580" s="229" t="s">
        <v>36</v>
      </c>
      <c r="D580" s="51" t="s">
        <v>97</v>
      </c>
      <c r="E580" s="46">
        <v>2400</v>
      </c>
      <c r="F580" s="193" t="s">
        <v>97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200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357</v>
      </c>
      <c r="C585" s="229" t="s">
        <v>36</v>
      </c>
      <c r="D585" s="51" t="s">
        <v>97</v>
      </c>
      <c r="E585" s="46">
        <v>304.64</v>
      </c>
      <c r="F585" s="193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358</v>
      </c>
      <c r="C586" s="229" t="s">
        <v>36</v>
      </c>
      <c r="D586" s="51" t="s">
        <v>97</v>
      </c>
      <c r="E586" s="58">
        <v>304.64</v>
      </c>
      <c r="F586" s="200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366</v>
      </c>
      <c r="C594" s="229" t="s">
        <v>36</v>
      </c>
      <c r="D594" s="51" t="s">
        <v>97</v>
      </c>
      <c r="E594" s="46">
        <v>304.64</v>
      </c>
      <c r="F594" s="193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367</v>
      </c>
      <c r="C595" s="229" t="s">
        <v>36</v>
      </c>
      <c r="D595" s="51" t="s">
        <v>97</v>
      </c>
      <c r="E595" s="58">
        <v>304.64</v>
      </c>
      <c r="F595" s="200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368</v>
      </c>
      <c r="C596" s="229" t="s">
        <v>36</v>
      </c>
      <c r="D596" s="51" t="s">
        <v>97</v>
      </c>
      <c r="E596" s="46">
        <v>304.64</v>
      </c>
      <c r="F596" s="193" t="s">
        <v>97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379</v>
      </c>
      <c r="C607" s="229" t="s">
        <v>36</v>
      </c>
      <c r="D607" s="51" t="s">
        <v>97</v>
      </c>
      <c r="E607" s="46">
        <v>3356</v>
      </c>
      <c r="F607" s="193" t="s">
        <v>97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380</v>
      </c>
      <c r="C608" s="229" t="s">
        <v>36</v>
      </c>
      <c r="D608" s="51" t="s">
        <v>97</v>
      </c>
      <c r="E608" s="46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381</v>
      </c>
      <c r="C609" s="229" t="s">
        <v>36</v>
      </c>
      <c r="D609" s="51" t="s">
        <v>97</v>
      </c>
      <c r="E609" s="58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383</v>
      </c>
      <c r="C611" s="229" t="s">
        <v>36</v>
      </c>
      <c r="D611" s="51" t="s">
        <v>97</v>
      </c>
      <c r="E611" s="46">
        <v>1537.48</v>
      </c>
      <c r="F611" s="193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384</v>
      </c>
      <c r="C612" s="229" t="s">
        <v>36</v>
      </c>
      <c r="D612" s="51" t="s">
        <v>97</v>
      </c>
      <c r="E612" s="58">
        <v>1537.48</v>
      </c>
      <c r="F612" s="200" t="s">
        <v>97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385</v>
      </c>
      <c r="C613" s="229" t="s">
        <v>36</v>
      </c>
      <c r="D613" s="51" t="s">
        <v>97</v>
      </c>
      <c r="E613" s="58">
        <v>2727.48</v>
      </c>
      <c r="F613" s="193" t="s">
        <v>97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386</v>
      </c>
      <c r="C614" s="229" t="s">
        <v>36</v>
      </c>
      <c r="D614" s="51" t="s">
        <v>97</v>
      </c>
      <c r="E614" s="58">
        <v>1537.48</v>
      </c>
      <c r="F614" s="200" t="s">
        <v>97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388</v>
      </c>
      <c r="C616" s="229" t="s">
        <v>36</v>
      </c>
      <c r="D616" s="51" t="s">
        <v>97</v>
      </c>
      <c r="E616" s="58">
        <v>11057</v>
      </c>
      <c r="F616" s="200" t="s">
        <v>97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389</v>
      </c>
      <c r="C617" s="229" t="s">
        <v>36</v>
      </c>
      <c r="D617" s="51" t="s">
        <v>97</v>
      </c>
      <c r="E617" s="58">
        <v>375</v>
      </c>
      <c r="F617" s="200" t="s">
        <v>97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390</v>
      </c>
      <c r="C618" s="229" t="s">
        <v>36</v>
      </c>
      <c r="D618" s="51" t="s">
        <v>97</v>
      </c>
      <c r="E618" s="58">
        <v>1006.6666666666666</v>
      </c>
      <c r="F618" s="200" t="s">
        <v>97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392</v>
      </c>
      <c r="C620" s="229" t="s">
        <v>36</v>
      </c>
      <c r="D620" s="51" t="s">
        <v>97</v>
      </c>
      <c r="E620" s="58">
        <v>375</v>
      </c>
      <c r="F620" s="200" t="s">
        <v>97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396</v>
      </c>
      <c r="C624" s="229" t="s">
        <v>36</v>
      </c>
      <c r="D624" s="51" t="s">
        <v>97</v>
      </c>
      <c r="E624" s="58">
        <v>177.31</v>
      </c>
      <c r="F624" s="200" t="s">
        <v>97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397</v>
      </c>
      <c r="C625" s="229" t="s">
        <v>36</v>
      </c>
      <c r="D625" s="51" t="s">
        <v>97</v>
      </c>
      <c r="E625" s="46">
        <v>1280.44</v>
      </c>
      <c r="F625" s="193" t="s">
        <v>257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398</v>
      </c>
      <c r="C626" s="229" t="s">
        <v>36</v>
      </c>
      <c r="D626" s="51" t="s">
        <v>97</v>
      </c>
      <c r="E626" s="58">
        <v>1280.44</v>
      </c>
      <c r="F626" s="193" t="s">
        <v>97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401</v>
      </c>
      <c r="C629" s="229" t="s">
        <v>36</v>
      </c>
      <c r="D629" s="51" t="s">
        <v>97</v>
      </c>
      <c r="E629" s="46">
        <v>1280.44</v>
      </c>
      <c r="F629" s="193" t="s">
        <v>257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402</v>
      </c>
      <c r="C630" s="229" t="s">
        <v>36</v>
      </c>
      <c r="D630" s="51" t="s">
        <v>97</v>
      </c>
      <c r="E630" s="58">
        <v>1280.44</v>
      </c>
      <c r="F630" s="193" t="s">
        <v>97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403</v>
      </c>
      <c r="C631" s="229" t="s">
        <v>36</v>
      </c>
      <c r="D631" s="51" t="s">
        <v>97</v>
      </c>
      <c r="E631" s="46">
        <v>1280.44</v>
      </c>
      <c r="F631" s="193" t="s">
        <v>257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405</v>
      </c>
      <c r="C633" s="229" t="s">
        <v>36</v>
      </c>
      <c r="D633" s="51" t="s">
        <v>97</v>
      </c>
      <c r="E633" s="58">
        <v>14750</v>
      </c>
      <c r="F633" s="200" t="s">
        <v>97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407</v>
      </c>
      <c r="C635" s="229" t="s">
        <v>36</v>
      </c>
      <c r="D635" s="51" t="s">
        <v>97</v>
      </c>
      <c r="E635" s="58">
        <v>4799.2700000000004</v>
      </c>
      <c r="F635" s="200" t="s">
        <v>97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409</v>
      </c>
      <c r="C637" s="229" t="s">
        <v>36</v>
      </c>
      <c r="D637" s="51" t="s">
        <v>97</v>
      </c>
      <c r="E637" s="58">
        <v>1000</v>
      </c>
      <c r="F637" s="200" t="s">
        <v>97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421</v>
      </c>
      <c r="C649" s="229" t="s">
        <v>36</v>
      </c>
      <c r="D649" s="51" t="s">
        <v>97</v>
      </c>
      <c r="E649" s="58">
        <v>6957.9299999999994</v>
      </c>
      <c r="F649" s="200" t="s">
        <v>97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423</v>
      </c>
      <c r="C651" s="229" t="s">
        <v>36</v>
      </c>
      <c r="D651" s="51" t="s">
        <v>97</v>
      </c>
      <c r="E651" s="46">
        <v>3700</v>
      </c>
      <c r="F651" s="193" t="s">
        <v>97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428</v>
      </c>
      <c r="C656" s="229" t="s">
        <v>36</v>
      </c>
      <c r="D656" s="51" t="s">
        <v>97</v>
      </c>
      <c r="E656" s="58">
        <v>1200</v>
      </c>
      <c r="F656" s="200" t="s">
        <v>97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431</v>
      </c>
      <c r="C659" s="229" t="s">
        <v>36</v>
      </c>
      <c r="D659" s="51" t="s">
        <v>97</v>
      </c>
      <c r="E659" s="58">
        <v>873.94</v>
      </c>
      <c r="F659" s="200" t="s">
        <v>97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432</v>
      </c>
      <c r="C660" s="229" t="s">
        <v>36</v>
      </c>
      <c r="D660" s="51" t="s">
        <v>97</v>
      </c>
      <c r="E660" s="58">
        <v>1173.3399999999999</v>
      </c>
      <c r="F660" s="200" t="s">
        <v>97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436</v>
      </c>
      <c r="C664" s="229" t="s">
        <v>36</v>
      </c>
      <c r="D664" s="51" t="s">
        <v>97</v>
      </c>
      <c r="E664" s="58">
        <v>998.41</v>
      </c>
      <c r="F664" s="200" t="s">
        <v>97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437</v>
      </c>
      <c r="C665" s="229" t="s">
        <v>36</v>
      </c>
      <c r="D665" s="51" t="s">
        <v>97</v>
      </c>
      <c r="E665" s="58">
        <v>1173.3399999999999</v>
      </c>
      <c r="F665" s="200" t="s">
        <v>97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439</v>
      </c>
      <c r="C667" s="229" t="s">
        <v>36</v>
      </c>
      <c r="D667" s="51" t="s">
        <v>97</v>
      </c>
      <c r="E667" s="58">
        <v>998.41</v>
      </c>
      <c r="F667" s="200" t="s">
        <v>97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440</v>
      </c>
      <c r="C668" s="229" t="s">
        <v>36</v>
      </c>
      <c r="D668" s="51" t="s">
        <v>97</v>
      </c>
      <c r="E668" s="58">
        <v>1173.3399999999999</v>
      </c>
      <c r="F668" s="200" t="s">
        <v>97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442</v>
      </c>
      <c r="C670" s="229" t="s">
        <v>36</v>
      </c>
      <c r="D670" s="51" t="s">
        <v>97</v>
      </c>
      <c r="E670" s="58">
        <v>998.41</v>
      </c>
      <c r="F670" s="200" t="s">
        <v>97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443</v>
      </c>
      <c r="C671" s="229" t="s">
        <v>36</v>
      </c>
      <c r="D671" s="51" t="s">
        <v>97</v>
      </c>
      <c r="E671" s="58">
        <v>1018.64</v>
      </c>
      <c r="F671" s="200" t="s">
        <v>97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445</v>
      </c>
      <c r="C673" s="229" t="s">
        <v>36</v>
      </c>
      <c r="D673" s="51" t="s">
        <v>97</v>
      </c>
      <c r="E673" s="58">
        <v>1173.3399999999999</v>
      </c>
      <c r="F673" s="200" t="s">
        <v>97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447</v>
      </c>
      <c r="C675" s="229" t="s">
        <v>36</v>
      </c>
      <c r="D675" s="51" t="s">
        <v>97</v>
      </c>
      <c r="E675" s="58">
        <v>1018.64</v>
      </c>
      <c r="F675" s="200" t="s">
        <v>97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448</v>
      </c>
      <c r="C676" s="229" t="s">
        <v>36</v>
      </c>
      <c r="D676" s="51" t="s">
        <v>97</v>
      </c>
      <c r="E676" s="58">
        <v>2746.52</v>
      </c>
      <c r="F676" s="200" t="s">
        <v>97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457</v>
      </c>
      <c r="C685" s="229" t="s">
        <v>36</v>
      </c>
      <c r="D685" s="51" t="s">
        <v>97</v>
      </c>
      <c r="E685" s="58">
        <v>1173.3399999999999</v>
      </c>
      <c r="F685" s="200" t="s">
        <v>97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458</v>
      </c>
      <c r="C686" s="229" t="s">
        <v>36</v>
      </c>
      <c r="D686" s="51" t="s">
        <v>97</v>
      </c>
      <c r="E686" s="58">
        <v>2563</v>
      </c>
      <c r="F686" s="193" t="s">
        <v>97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460</v>
      </c>
      <c r="C688" s="229" t="s">
        <v>36</v>
      </c>
      <c r="D688" s="51" t="s">
        <v>97</v>
      </c>
      <c r="E688" s="46">
        <v>2364.5299999999997</v>
      </c>
      <c r="F688" s="193" t="s">
        <v>97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461</v>
      </c>
      <c r="C689" s="229" t="s">
        <v>36</v>
      </c>
      <c r="D689" s="51" t="s">
        <v>97</v>
      </c>
      <c r="E689" s="46">
        <v>2563</v>
      </c>
      <c r="F689" s="193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463</v>
      </c>
      <c r="C691" s="229" t="s">
        <v>36</v>
      </c>
      <c r="D691" s="51" t="s">
        <v>97</v>
      </c>
      <c r="E691" s="58">
        <v>2563</v>
      </c>
      <c r="F691" s="200" t="s">
        <v>97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465</v>
      </c>
      <c r="C693" s="229" t="s">
        <v>36</v>
      </c>
      <c r="D693" s="51" t="s">
        <v>97</v>
      </c>
      <c r="E693" s="46">
        <v>2440.69</v>
      </c>
      <c r="F693" s="193" t="s">
        <v>97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470</v>
      </c>
      <c r="C698" s="229" t="s">
        <v>36</v>
      </c>
      <c r="D698" s="51" t="s">
        <v>97</v>
      </c>
      <c r="E698" s="58">
        <v>873.94</v>
      </c>
      <c r="F698" s="200" t="s">
        <v>97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473</v>
      </c>
      <c r="C701" s="229" t="s">
        <v>36</v>
      </c>
      <c r="D701" s="51" t="s">
        <v>97</v>
      </c>
      <c r="E701" s="58">
        <v>1547</v>
      </c>
      <c r="F701" s="200" t="s">
        <v>97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475</v>
      </c>
      <c r="C703" s="229" t="s">
        <v>36</v>
      </c>
      <c r="D703" s="51" t="s">
        <v>97</v>
      </c>
      <c r="E703" s="58">
        <v>1850</v>
      </c>
      <c r="F703" s="200" t="s">
        <v>97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483</v>
      </c>
      <c r="C711" s="229" t="s">
        <v>36</v>
      </c>
      <c r="D711" s="51" t="s">
        <v>97</v>
      </c>
      <c r="E711" s="58">
        <v>4799.2700000000004</v>
      </c>
      <c r="F711" s="200" t="s">
        <v>97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484</v>
      </c>
      <c r="C712" s="229" t="s">
        <v>36</v>
      </c>
      <c r="D712" s="51" t="s">
        <v>97</v>
      </c>
      <c r="E712" s="58">
        <v>1000</v>
      </c>
      <c r="F712" s="200" t="s">
        <v>97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488</v>
      </c>
      <c r="C716" s="229" t="s">
        <v>36</v>
      </c>
      <c r="D716" s="51" t="s">
        <v>97</v>
      </c>
      <c r="E716" s="58">
        <v>8973.7900000000009</v>
      </c>
      <c r="F716" s="200" t="s">
        <v>97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496</v>
      </c>
      <c r="C724" s="229" t="s">
        <v>36</v>
      </c>
      <c r="D724" s="51" t="s">
        <v>97</v>
      </c>
      <c r="E724" s="58">
        <v>3844.89</v>
      </c>
      <c r="F724" s="200" t="s">
        <v>97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501</v>
      </c>
      <c r="C729" s="229" t="s">
        <v>36</v>
      </c>
      <c r="D729" s="51" t="s">
        <v>97</v>
      </c>
      <c r="E729" s="58">
        <v>1661.24</v>
      </c>
      <c r="F729" s="200" t="s">
        <v>97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507</v>
      </c>
      <c r="C735" s="229" t="s">
        <v>36</v>
      </c>
      <c r="D735" s="51" t="s">
        <v>97</v>
      </c>
      <c r="E735" s="58">
        <v>690.75</v>
      </c>
      <c r="F735" s="200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509</v>
      </c>
      <c r="C737" s="229" t="s">
        <v>36</v>
      </c>
      <c r="D737" s="51" t="s">
        <v>97</v>
      </c>
      <c r="E737" s="46">
        <v>690.75</v>
      </c>
      <c r="F737" s="193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513</v>
      </c>
      <c r="C741" s="229" t="s">
        <v>36</v>
      </c>
      <c r="D741" s="51" t="s">
        <v>97</v>
      </c>
      <c r="E741" s="58">
        <v>690.75</v>
      </c>
      <c r="F741" s="200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515</v>
      </c>
      <c r="C743" s="229" t="s">
        <v>36</v>
      </c>
      <c r="D743" s="51" t="s">
        <v>97</v>
      </c>
      <c r="E743" s="46">
        <v>690.75</v>
      </c>
      <c r="F743" s="193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518</v>
      </c>
      <c r="C746" s="229" t="s">
        <v>36</v>
      </c>
      <c r="D746" s="51" t="s">
        <v>97</v>
      </c>
      <c r="E746" s="58">
        <v>690.75</v>
      </c>
      <c r="F746" s="200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519</v>
      </c>
      <c r="C747" s="229" t="s">
        <v>36</v>
      </c>
      <c r="D747" s="51" t="s">
        <v>97</v>
      </c>
      <c r="E747" s="46">
        <v>690.75</v>
      </c>
      <c r="F747" s="193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523</v>
      </c>
      <c r="C751" s="229" t="s">
        <v>36</v>
      </c>
      <c r="D751" s="51" t="s">
        <v>97</v>
      </c>
      <c r="E751" s="58">
        <v>690.75</v>
      </c>
      <c r="F751" s="200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524</v>
      </c>
      <c r="C752" s="229" t="s">
        <v>36</v>
      </c>
      <c r="D752" s="51" t="s">
        <v>97</v>
      </c>
      <c r="E752" s="46">
        <v>690.75</v>
      </c>
      <c r="F752" s="193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526</v>
      </c>
      <c r="C754" s="229" t="s">
        <v>36</v>
      </c>
      <c r="D754" s="51" t="s">
        <v>97</v>
      </c>
      <c r="E754" s="58">
        <v>690.75</v>
      </c>
      <c r="F754" s="200" t="s">
        <v>97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547</v>
      </c>
      <c r="C775" s="229" t="s">
        <v>36</v>
      </c>
      <c r="D775" s="51" t="s">
        <v>97</v>
      </c>
      <c r="E775" s="58">
        <v>3850</v>
      </c>
      <c r="F775" s="200" t="s">
        <v>97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550</v>
      </c>
      <c r="C778" s="229" t="s">
        <v>36</v>
      </c>
      <c r="D778" s="51" t="s">
        <v>97</v>
      </c>
      <c r="E778" s="58">
        <v>8973.7900000000009</v>
      </c>
      <c r="F778" s="200" t="s">
        <v>97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552</v>
      </c>
      <c r="C780" s="229" t="s">
        <v>36</v>
      </c>
      <c r="D780" s="51" t="s">
        <v>97</v>
      </c>
      <c r="E780" s="58">
        <v>1661.24</v>
      </c>
      <c r="F780" s="200" t="s">
        <v>97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553</v>
      </c>
      <c r="C781" s="229" t="s">
        <v>36</v>
      </c>
      <c r="D781" s="51" t="s">
        <v>97</v>
      </c>
      <c r="E781" s="58">
        <v>690.75</v>
      </c>
      <c r="F781" s="200" t="s">
        <v>97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554</v>
      </c>
      <c r="C782" s="229" t="s">
        <v>36</v>
      </c>
      <c r="D782" s="51" t="s">
        <v>97</v>
      </c>
      <c r="E782" s="59">
        <v>1505.04</v>
      </c>
      <c r="F782" s="193" t="s">
        <v>97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555</v>
      </c>
      <c r="C783" s="229" t="s">
        <v>36</v>
      </c>
      <c r="D783" s="51" t="s">
        <v>97</v>
      </c>
      <c r="E783" s="59">
        <v>3628.57</v>
      </c>
      <c r="F783" s="193" t="s">
        <v>97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556</v>
      </c>
      <c r="C784" s="229" t="s">
        <v>36</v>
      </c>
      <c r="D784" s="51" t="s">
        <v>97</v>
      </c>
      <c r="E784" s="59">
        <v>1505.04</v>
      </c>
      <c r="F784" s="193" t="s">
        <v>97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559</v>
      </c>
      <c r="C787" s="229" t="s">
        <v>36</v>
      </c>
      <c r="D787" s="51" t="s">
        <v>97</v>
      </c>
      <c r="E787" s="58">
        <v>2898.84</v>
      </c>
      <c r="F787" s="200" t="s">
        <v>97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561</v>
      </c>
      <c r="C789" s="229" t="s">
        <v>36</v>
      </c>
      <c r="D789" s="51" t="s">
        <v>97</v>
      </c>
      <c r="E789" s="58">
        <v>833</v>
      </c>
      <c r="F789" s="200" t="s">
        <v>97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565</v>
      </c>
      <c r="C793" s="229" t="s">
        <v>36</v>
      </c>
      <c r="D793" s="51" t="s">
        <v>97</v>
      </c>
      <c r="E793" s="58">
        <v>1266.6666666666667</v>
      </c>
      <c r="F793" s="200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566</v>
      </c>
      <c r="C794" s="229" t="s">
        <v>36</v>
      </c>
      <c r="D794" s="51" t="s">
        <v>97</v>
      </c>
      <c r="E794" s="46">
        <v>1266.6666666666667</v>
      </c>
      <c r="F794" s="193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573</v>
      </c>
      <c r="C801" s="229" t="s">
        <v>36</v>
      </c>
      <c r="D801" s="51" t="s">
        <v>97</v>
      </c>
      <c r="E801" s="58">
        <v>1266.6666666666667</v>
      </c>
      <c r="F801" s="200" t="s">
        <v>97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587</v>
      </c>
      <c r="C815" s="229" t="s">
        <v>36</v>
      </c>
      <c r="D815" s="51" t="s">
        <v>97</v>
      </c>
      <c r="E815" s="58">
        <v>455.66624999999999</v>
      </c>
      <c r="F815" s="200" t="s">
        <v>97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588</v>
      </c>
      <c r="C816" s="229" t="s">
        <v>36</v>
      </c>
      <c r="D816" s="51" t="s">
        <v>97</v>
      </c>
      <c r="E816" s="46">
        <v>3356</v>
      </c>
      <c r="F816" s="193" t="s">
        <v>97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590</v>
      </c>
      <c r="C818" s="229" t="s">
        <v>36</v>
      </c>
      <c r="D818" s="51" t="s">
        <v>97</v>
      </c>
      <c r="E818" s="58">
        <v>1900</v>
      </c>
      <c r="F818" s="200" t="s">
        <v>97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591</v>
      </c>
      <c r="C819" s="229" t="s">
        <v>36</v>
      </c>
      <c r="D819" s="51" t="s">
        <v>97</v>
      </c>
      <c r="E819" s="58">
        <v>23075</v>
      </c>
      <c r="F819" s="200" t="s">
        <v>97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592</v>
      </c>
      <c r="C820" s="229" t="s">
        <v>36</v>
      </c>
      <c r="D820" s="51" t="s">
        <v>97</v>
      </c>
      <c r="E820" s="58">
        <v>23075.289999999997</v>
      </c>
      <c r="F820" s="193" t="s">
        <v>97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594</v>
      </c>
      <c r="C822" s="229" t="s">
        <v>36</v>
      </c>
      <c r="D822" s="51" t="s">
        <v>97</v>
      </c>
      <c r="E822" s="58">
        <v>1018.64</v>
      </c>
      <c r="F822" s="200" t="s">
        <v>97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598</v>
      </c>
      <c r="C826" s="229" t="s">
        <v>36</v>
      </c>
      <c r="D826" s="51" t="s">
        <v>97</v>
      </c>
      <c r="E826" s="46">
        <v>3356</v>
      </c>
      <c r="F826" s="193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599</v>
      </c>
      <c r="C827" s="229" t="s">
        <v>36</v>
      </c>
      <c r="D827" s="51" t="s">
        <v>97</v>
      </c>
      <c r="E827" s="58">
        <v>3356</v>
      </c>
      <c r="F827" s="200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602</v>
      </c>
      <c r="C830" s="229" t="s">
        <v>36</v>
      </c>
      <c r="D830" s="51" t="s">
        <v>97</v>
      </c>
      <c r="E830" s="46">
        <v>3356</v>
      </c>
      <c r="F830" s="193" t="s">
        <v>97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603</v>
      </c>
      <c r="C831" s="229" t="s">
        <v>36</v>
      </c>
      <c r="D831" s="51" t="s">
        <v>97</v>
      </c>
      <c r="E831" s="58">
        <v>198</v>
      </c>
      <c r="F831" s="200" t="s">
        <v>97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604</v>
      </c>
      <c r="C832" s="229" t="s">
        <v>36</v>
      </c>
      <c r="D832" s="51" t="s">
        <v>97</v>
      </c>
      <c r="E832" s="58">
        <v>3356</v>
      </c>
      <c r="F832" s="200" t="s">
        <v>97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605</v>
      </c>
      <c r="C833" s="229" t="s">
        <v>36</v>
      </c>
      <c r="D833" s="51" t="s">
        <v>97</v>
      </c>
      <c r="E833" s="58">
        <v>198</v>
      </c>
      <c r="F833" s="200" t="s">
        <v>97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607</v>
      </c>
      <c r="C835" s="229" t="s">
        <v>36</v>
      </c>
      <c r="D835" s="51" t="s">
        <v>97</v>
      </c>
      <c r="E835" s="58">
        <v>3356</v>
      </c>
      <c r="F835" s="200" t="s">
        <v>97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608</v>
      </c>
      <c r="C836" s="229" t="s">
        <v>36</v>
      </c>
      <c r="D836" s="51" t="s">
        <v>97</v>
      </c>
      <c r="E836" s="46">
        <v>198</v>
      </c>
      <c r="F836" s="193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612</v>
      </c>
      <c r="C840" s="229" t="s">
        <v>36</v>
      </c>
      <c r="D840" s="51" t="s">
        <v>97</v>
      </c>
      <c r="E840" s="58">
        <v>198</v>
      </c>
      <c r="F840" s="200" t="s">
        <v>97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613</v>
      </c>
      <c r="C841" s="229" t="s">
        <v>36</v>
      </c>
      <c r="D841" s="51" t="s">
        <v>97</v>
      </c>
      <c r="E841" s="58">
        <v>3356</v>
      </c>
      <c r="F841" s="200" t="s">
        <v>97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614</v>
      </c>
      <c r="C842" s="229" t="s">
        <v>36</v>
      </c>
      <c r="D842" s="51" t="s">
        <v>97</v>
      </c>
      <c r="E842" s="58">
        <v>1100</v>
      </c>
      <c r="F842" s="200" t="s">
        <v>97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615</v>
      </c>
      <c r="C843" s="229" t="s">
        <v>36</v>
      </c>
      <c r="D843" s="51" t="s">
        <v>97</v>
      </c>
      <c r="E843" s="58">
        <v>1350</v>
      </c>
      <c r="F843" s="200" t="s">
        <v>97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616</v>
      </c>
      <c r="C844" s="229" t="s">
        <v>36</v>
      </c>
      <c r="D844" s="51" t="s">
        <v>97</v>
      </c>
      <c r="E844" s="58">
        <v>925</v>
      </c>
      <c r="F844" s="200" t="s">
        <v>97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617</v>
      </c>
      <c r="C845" s="229" t="s">
        <v>36</v>
      </c>
      <c r="D845" s="51" t="s">
        <v>97</v>
      </c>
      <c r="E845" s="46">
        <v>3373</v>
      </c>
      <c r="F845" s="193" t="s">
        <v>97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618</v>
      </c>
      <c r="C846" s="229" t="s">
        <v>36</v>
      </c>
      <c r="D846" s="51" t="s">
        <v>97</v>
      </c>
      <c r="E846" s="59">
        <v>1275.68</v>
      </c>
      <c r="F846" s="193" t="s">
        <v>97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619</v>
      </c>
      <c r="C847" s="229" t="s">
        <v>36</v>
      </c>
      <c r="D847" s="51" t="s">
        <v>97</v>
      </c>
      <c r="E847" s="58">
        <v>3373</v>
      </c>
      <c r="F847" s="200" t="s">
        <v>97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620</v>
      </c>
      <c r="C848" s="229" t="s">
        <v>36</v>
      </c>
      <c r="D848" s="51" t="s">
        <v>97</v>
      </c>
      <c r="E848" s="59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621</v>
      </c>
      <c r="C849" s="229" t="s">
        <v>36</v>
      </c>
      <c r="D849" s="51" t="s">
        <v>97</v>
      </c>
      <c r="E849" s="46">
        <v>1275.68</v>
      </c>
      <c r="F849" s="193" t="s">
        <v>97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622</v>
      </c>
      <c r="C850" s="229" t="s">
        <v>36</v>
      </c>
      <c r="D850" s="51" t="s">
        <v>97</v>
      </c>
      <c r="E850" s="58">
        <v>2746.52</v>
      </c>
      <c r="F850" s="200" t="s">
        <v>97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623</v>
      </c>
      <c r="C851" s="229" t="s">
        <v>36</v>
      </c>
      <c r="D851" s="51" t="s">
        <v>97</v>
      </c>
      <c r="E851" s="46">
        <v>1275.68</v>
      </c>
      <c r="F851" s="193" t="s">
        <v>97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624</v>
      </c>
      <c r="C852" s="229" t="s">
        <v>36</v>
      </c>
      <c r="D852" s="51" t="s">
        <v>97</v>
      </c>
      <c r="E852" s="46">
        <v>1225.7</v>
      </c>
      <c r="F852" s="193" t="s">
        <v>97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625</v>
      </c>
      <c r="C853" s="229" t="s">
        <v>36</v>
      </c>
      <c r="D853" s="51" t="s">
        <v>97</v>
      </c>
      <c r="E853" s="46">
        <v>3881.78</v>
      </c>
      <c r="F853" s="193" t="s">
        <v>97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626</v>
      </c>
      <c r="C854" s="229" t="s">
        <v>36</v>
      </c>
      <c r="D854" s="51" t="s">
        <v>97</v>
      </c>
      <c r="E854" s="46">
        <v>1275.68</v>
      </c>
      <c r="F854" s="193" t="s">
        <v>97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627</v>
      </c>
      <c r="C855" s="229" t="s">
        <v>36</v>
      </c>
      <c r="D855" s="51" t="s">
        <v>97</v>
      </c>
      <c r="E855" s="46">
        <v>3881.78</v>
      </c>
      <c r="F855" s="193" t="s">
        <v>97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628</v>
      </c>
      <c r="C856" s="229" t="s">
        <v>36</v>
      </c>
      <c r="D856" s="51" t="s">
        <v>97</v>
      </c>
      <c r="E856" s="58">
        <v>1225.7</v>
      </c>
      <c r="F856" s="200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629</v>
      </c>
      <c r="C857" s="229" t="s">
        <v>36</v>
      </c>
      <c r="D857" s="51" t="s">
        <v>97</v>
      </c>
      <c r="E857" s="46">
        <v>1225.7</v>
      </c>
      <c r="F857" s="193" t="s">
        <v>97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630</v>
      </c>
      <c r="C858" s="229" t="s">
        <v>36</v>
      </c>
      <c r="D858" s="51" t="s">
        <v>97</v>
      </c>
      <c r="E858" s="46">
        <v>2400</v>
      </c>
      <c r="F858" s="193" t="s">
        <v>97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631</v>
      </c>
      <c r="C859" s="229" t="s">
        <v>36</v>
      </c>
      <c r="D859" s="51" t="s">
        <v>97</v>
      </c>
      <c r="E859" s="46">
        <v>1275.68</v>
      </c>
      <c r="F859" s="193" t="s">
        <v>97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632</v>
      </c>
      <c r="C860" s="229" t="s">
        <v>36</v>
      </c>
      <c r="D860" s="51" t="s">
        <v>97</v>
      </c>
      <c r="E860" s="46">
        <v>1225.7</v>
      </c>
      <c r="F860" s="193" t="s">
        <v>97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633</v>
      </c>
      <c r="C861" s="229" t="s">
        <v>36</v>
      </c>
      <c r="D861" s="51" t="s">
        <v>97</v>
      </c>
      <c r="E861" s="46">
        <v>1275.68</v>
      </c>
      <c r="F861" s="193" t="s">
        <v>97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634</v>
      </c>
      <c r="C862" s="229" t="s">
        <v>36</v>
      </c>
      <c r="D862" s="51" t="s">
        <v>97</v>
      </c>
      <c r="E862" s="46">
        <v>2400</v>
      </c>
      <c r="F862" s="193" t="s">
        <v>97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638</v>
      </c>
      <c r="C866" s="229" t="s">
        <v>36</v>
      </c>
      <c r="D866" s="51" t="s">
        <v>97</v>
      </c>
      <c r="E866" s="58">
        <v>873.94</v>
      </c>
      <c r="F866" s="200" t="s">
        <v>97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639</v>
      </c>
      <c r="C867" s="229" t="s">
        <v>36</v>
      </c>
      <c r="D867" s="51" t="s">
        <v>97</v>
      </c>
      <c r="E867" s="46">
        <v>131.97</v>
      </c>
      <c r="F867" s="193" t="s">
        <v>97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647</v>
      </c>
      <c r="C875" s="229" t="s">
        <v>36</v>
      </c>
      <c r="D875" s="51" t="s">
        <v>97</v>
      </c>
      <c r="E875" s="58">
        <v>5450</v>
      </c>
      <c r="F875" s="200" t="s">
        <v>97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649</v>
      </c>
      <c r="C877" s="229" t="s">
        <v>36</v>
      </c>
      <c r="D877" s="51" t="s">
        <v>97</v>
      </c>
      <c r="E877" s="46">
        <v>131.97</v>
      </c>
      <c r="F877" s="193" t="s">
        <v>97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650</v>
      </c>
      <c r="C878" s="229" t="s">
        <v>36</v>
      </c>
      <c r="D878" s="51" t="s">
        <v>97</v>
      </c>
      <c r="E878" s="46">
        <v>249.9</v>
      </c>
      <c r="F878" s="193" t="s">
        <v>257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227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652</v>
      </c>
      <c r="C880" s="229" t="s">
        <v>36</v>
      </c>
      <c r="D880" s="51" t="s">
        <v>97</v>
      </c>
      <c r="E880" s="46">
        <v>131.97</v>
      </c>
      <c r="F880" s="193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653</v>
      </c>
      <c r="C881" s="229" t="s">
        <v>36</v>
      </c>
      <c r="D881" s="51" t="s">
        <v>97</v>
      </c>
      <c r="E881" s="58">
        <v>131.97</v>
      </c>
      <c r="F881" s="200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193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200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663</v>
      </c>
      <c r="C891" s="229" t="s">
        <v>36</v>
      </c>
      <c r="D891" s="51" t="s">
        <v>97</v>
      </c>
      <c r="E891" s="46">
        <v>131.97</v>
      </c>
      <c r="F891" s="193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664</v>
      </c>
      <c r="C892" s="229" t="s">
        <v>36</v>
      </c>
      <c r="D892" s="51" t="s">
        <v>97</v>
      </c>
      <c r="E892" s="58">
        <v>131.97</v>
      </c>
      <c r="F892" s="200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668</v>
      </c>
      <c r="C896" s="229" t="s">
        <v>36</v>
      </c>
      <c r="D896" s="51" t="s">
        <v>97</v>
      </c>
      <c r="E896" s="46">
        <v>131.97</v>
      </c>
      <c r="F896" s="193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669</v>
      </c>
      <c r="C897" s="229" t="s">
        <v>36</v>
      </c>
      <c r="D897" s="51" t="s">
        <v>97</v>
      </c>
      <c r="E897" s="58">
        <v>131.97</v>
      </c>
      <c r="F897" s="200" t="s">
        <v>97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670</v>
      </c>
      <c r="C898" s="229" t="s">
        <v>36</v>
      </c>
      <c r="D898" s="51" t="s">
        <v>97</v>
      </c>
      <c r="E898" s="58">
        <v>6957.9299999999994</v>
      </c>
      <c r="F898" s="200" t="s">
        <v>97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674</v>
      </c>
      <c r="C902" s="229" t="s">
        <v>36</v>
      </c>
      <c r="D902" s="51" t="s">
        <v>97</v>
      </c>
      <c r="E902" s="58">
        <v>2563</v>
      </c>
      <c r="F902" s="200" t="s">
        <v>97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682</v>
      </c>
      <c r="C910" s="229" t="s">
        <v>36</v>
      </c>
      <c r="D910" s="51" t="s">
        <v>97</v>
      </c>
      <c r="E910" s="58">
        <v>2885.5</v>
      </c>
      <c r="F910" s="200" t="s">
        <v>97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684</v>
      </c>
      <c r="C912" s="229" t="s">
        <v>36</v>
      </c>
      <c r="D912" s="51" t="s">
        <v>97</v>
      </c>
      <c r="E912" s="58">
        <v>2785.5</v>
      </c>
      <c r="F912" s="200" t="s">
        <v>97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685</v>
      </c>
      <c r="C913" s="229" t="s">
        <v>36</v>
      </c>
      <c r="D913" s="51" t="s">
        <v>97</v>
      </c>
      <c r="E913" s="58">
        <v>1</v>
      </c>
      <c r="F913" s="200" t="s">
        <v>97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688</v>
      </c>
      <c r="C916" s="229" t="s">
        <v>36</v>
      </c>
      <c r="D916" s="51" t="s">
        <v>97</v>
      </c>
      <c r="E916" s="58">
        <v>1200</v>
      </c>
      <c r="F916" s="200" t="s">
        <v>97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693</v>
      </c>
      <c r="C921" s="229" t="s">
        <v>36</v>
      </c>
      <c r="D921" s="51" t="s">
        <v>97</v>
      </c>
      <c r="E921" s="58">
        <v>500</v>
      </c>
      <c r="F921" s="200" t="s">
        <v>97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707</v>
      </c>
      <c r="C935" s="229" t="s">
        <v>36</v>
      </c>
      <c r="D935" s="51" t="s">
        <v>97</v>
      </c>
      <c r="E935" s="58">
        <v>114.24</v>
      </c>
      <c r="F935" s="200" t="s">
        <v>97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708</v>
      </c>
      <c r="C936" s="229" t="s">
        <v>36</v>
      </c>
      <c r="D936" s="51" t="s">
        <v>97</v>
      </c>
      <c r="E936" s="58">
        <v>1800</v>
      </c>
      <c r="F936" s="200" t="s">
        <v>97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709</v>
      </c>
      <c r="C937" s="229" t="s">
        <v>36</v>
      </c>
      <c r="D937" s="51" t="s">
        <v>97</v>
      </c>
      <c r="E937" s="58">
        <v>546</v>
      </c>
      <c r="F937" s="200" t="s">
        <v>97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719</v>
      </c>
      <c r="C947" s="229" t="s">
        <v>36</v>
      </c>
      <c r="D947" s="51" t="s">
        <v>97</v>
      </c>
      <c r="E947" s="58">
        <v>114.24</v>
      </c>
      <c r="F947" s="200" t="s">
        <v>97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725</v>
      </c>
      <c r="C953" s="229" t="s">
        <v>36</v>
      </c>
      <c r="D953" s="51" t="s">
        <v>97</v>
      </c>
      <c r="E953" s="58">
        <v>1550</v>
      </c>
      <c r="F953" s="200" t="s">
        <v>97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726</v>
      </c>
      <c r="C954" s="229" t="s">
        <v>36</v>
      </c>
      <c r="D954" s="51" t="s">
        <v>97</v>
      </c>
      <c r="E954" s="58">
        <v>952</v>
      </c>
      <c r="F954" s="200" t="s">
        <v>97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727</v>
      </c>
      <c r="C955" s="229" t="s">
        <v>36</v>
      </c>
      <c r="D955" s="51" t="s">
        <v>97</v>
      </c>
      <c r="E955" s="58">
        <v>925</v>
      </c>
      <c r="F955" s="200" t="s">
        <v>97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728</v>
      </c>
      <c r="C956" s="229" t="s">
        <v>36</v>
      </c>
      <c r="D956" s="51" t="s">
        <v>97</v>
      </c>
      <c r="E956" s="58">
        <v>1100</v>
      </c>
      <c r="F956" s="200" t="s">
        <v>97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730</v>
      </c>
      <c r="C958" s="229" t="s">
        <v>36</v>
      </c>
      <c r="D958" s="51" t="s">
        <v>97</v>
      </c>
      <c r="E958" s="58">
        <v>1350</v>
      </c>
      <c r="F958" s="200" t="s">
        <v>97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732</v>
      </c>
      <c r="C960" s="229" t="s">
        <v>36</v>
      </c>
      <c r="D960" s="51" t="s">
        <v>97</v>
      </c>
      <c r="E960" s="46">
        <v>2727.48</v>
      </c>
      <c r="F960" s="193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735</v>
      </c>
      <c r="C963" s="229" t="s">
        <v>36</v>
      </c>
      <c r="D963" s="51" t="s">
        <v>97</v>
      </c>
      <c r="E963" s="58">
        <v>2727.48</v>
      </c>
      <c r="F963" s="200" t="s">
        <v>97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736</v>
      </c>
      <c r="C964" s="229" t="s">
        <v>36</v>
      </c>
      <c r="D964" s="51" t="s">
        <v>97</v>
      </c>
      <c r="E964" s="58">
        <v>3111.85</v>
      </c>
      <c r="F964" s="200" t="s">
        <v>97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737</v>
      </c>
      <c r="C965" s="229" t="s">
        <v>36</v>
      </c>
      <c r="D965" s="51" t="s">
        <v>97</v>
      </c>
      <c r="E965" s="46">
        <v>1550</v>
      </c>
      <c r="F965" s="193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739</v>
      </c>
      <c r="C967" s="229" t="s">
        <v>36</v>
      </c>
      <c r="D967" s="51" t="s">
        <v>97</v>
      </c>
      <c r="E967" s="58">
        <v>1550</v>
      </c>
      <c r="F967" s="200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740</v>
      </c>
      <c r="C968" s="229" t="s">
        <v>36</v>
      </c>
      <c r="D968" s="51" t="s">
        <v>97</v>
      </c>
      <c r="E968" s="46">
        <v>1550</v>
      </c>
      <c r="F968" s="193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741</v>
      </c>
      <c r="C969" s="229" t="s">
        <v>36</v>
      </c>
      <c r="D969" s="51" t="s">
        <v>97</v>
      </c>
      <c r="E969" s="58">
        <v>1550</v>
      </c>
      <c r="F969" s="200" t="s">
        <v>97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743</v>
      </c>
      <c r="C971" s="229" t="s">
        <v>36</v>
      </c>
      <c r="D971" s="51" t="s">
        <v>97</v>
      </c>
      <c r="E971" s="58">
        <v>3844</v>
      </c>
      <c r="F971" s="200" t="s">
        <v>97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749</v>
      </c>
      <c r="C977" s="229" t="s">
        <v>36</v>
      </c>
      <c r="D977" s="51" t="s">
        <v>97</v>
      </c>
      <c r="E977" s="58">
        <v>998.41</v>
      </c>
      <c r="F977" s="200" t="s">
        <v>97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751</v>
      </c>
      <c r="C979" s="229" t="s">
        <v>36</v>
      </c>
      <c r="D979" s="51" t="s">
        <v>97</v>
      </c>
      <c r="E979" s="58">
        <v>3844</v>
      </c>
      <c r="F979" s="200" t="s">
        <v>97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752</v>
      </c>
      <c r="C980" s="229" t="s">
        <v>36</v>
      </c>
      <c r="D980" s="51" t="s">
        <v>97</v>
      </c>
      <c r="E980" s="58">
        <v>998.41</v>
      </c>
      <c r="F980" s="200" t="s">
        <v>97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754</v>
      </c>
      <c r="C982" s="229" t="s">
        <v>36</v>
      </c>
      <c r="D982" s="51" t="s">
        <v>97</v>
      </c>
      <c r="E982" s="58">
        <v>3844</v>
      </c>
      <c r="F982" s="200" t="s">
        <v>97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755</v>
      </c>
      <c r="C983" s="229" t="s">
        <v>36</v>
      </c>
      <c r="D983" s="51" t="s">
        <v>97</v>
      </c>
      <c r="E983" s="58">
        <v>1173.3399999999999</v>
      </c>
      <c r="F983" s="200" t="s">
        <v>97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756</v>
      </c>
      <c r="C984" s="229" t="s">
        <v>36</v>
      </c>
      <c r="D984" s="51" t="s">
        <v>97</v>
      </c>
      <c r="E984" s="58">
        <v>3844</v>
      </c>
      <c r="F984" s="200" t="s">
        <v>97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757</v>
      </c>
      <c r="C985" s="229" t="s">
        <v>36</v>
      </c>
      <c r="D985" s="51" t="s">
        <v>97</v>
      </c>
      <c r="E985" s="58">
        <v>1200</v>
      </c>
      <c r="F985" s="200" t="s">
        <v>97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79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7.25">
      <c r="A1013" s="122" t="s">
        <v>65</v>
      </c>
      <c r="B1013" s="132" t="s">
        <v>81</v>
      </c>
      <c r="C1013" s="123" t="s">
        <v>82</v>
      </c>
      <c r="D1013" s="107" t="s">
        <v>83</v>
      </c>
      <c r="E1013" s="72" t="s">
        <v>84</v>
      </c>
      <c r="F1013" s="192" t="s">
        <v>85</v>
      </c>
      <c r="G1013" s="74" t="s">
        <v>86</v>
      </c>
      <c r="H1013" s="75" t="s">
        <v>87</v>
      </c>
      <c r="I1013" s="75" t="s">
        <v>88</v>
      </c>
      <c r="J1013" s="77" t="s">
        <v>89</v>
      </c>
    </row>
    <row r="1014" spans="1:10">
      <c r="A1014" s="44">
        <v>1</v>
      </c>
      <c r="B1014" s="173" t="s">
        <v>758</v>
      </c>
      <c r="C1014" s="164" t="s">
        <v>46</v>
      </c>
      <c r="D1014" s="51" t="s">
        <v>227</v>
      </c>
      <c r="E1014" s="46">
        <v>8770.3333333333339</v>
      </c>
      <c r="F1014" s="193" t="s">
        <v>230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759</v>
      </c>
      <c r="C1015" s="164" t="s">
        <v>46</v>
      </c>
      <c r="D1015" s="51" t="s">
        <v>227</v>
      </c>
      <c r="E1015" s="46">
        <v>17830</v>
      </c>
      <c r="F1015" s="193" t="s">
        <v>230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760</v>
      </c>
      <c r="C1016" s="164" t="s">
        <v>46</v>
      </c>
      <c r="D1016" s="51" t="s">
        <v>227</v>
      </c>
      <c r="E1016" s="46">
        <v>28016</v>
      </c>
      <c r="F1016" s="193" t="s">
        <v>230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761</v>
      </c>
      <c r="C1017" s="164" t="s">
        <v>46</v>
      </c>
      <c r="D1017" s="51" t="s">
        <v>227</v>
      </c>
      <c r="E1017" s="46">
        <v>18321</v>
      </c>
      <c r="F1017" s="193" t="s">
        <v>230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762</v>
      </c>
      <c r="C1018" s="164" t="s">
        <v>46</v>
      </c>
      <c r="D1018" s="51" t="s">
        <v>226</v>
      </c>
      <c r="E1018" s="46">
        <v>28016</v>
      </c>
      <c r="F1018" s="193" t="s">
        <v>230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763</v>
      </c>
      <c r="C1019" s="164" t="s">
        <v>46</v>
      </c>
      <c r="D1019" s="51" t="s">
        <v>226</v>
      </c>
      <c r="E1019" s="46">
        <v>10317</v>
      </c>
      <c r="F1019" s="193" t="s">
        <v>230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764</v>
      </c>
      <c r="C1020" s="164" t="s">
        <v>46</v>
      </c>
      <c r="D1020" s="51" t="s">
        <v>227</v>
      </c>
      <c r="E1020" s="46">
        <v>10200</v>
      </c>
      <c r="F1020" s="193" t="s">
        <v>230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765</v>
      </c>
      <c r="C1021" s="164" t="s">
        <v>46</v>
      </c>
      <c r="D1021" s="51" t="s">
        <v>227</v>
      </c>
      <c r="E1021" s="46">
        <v>39999.47</v>
      </c>
      <c r="F1021" s="193" t="s">
        <v>230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766</v>
      </c>
      <c r="C1022" s="164" t="s">
        <v>46</v>
      </c>
      <c r="D1022" s="51" t="s">
        <v>226</v>
      </c>
      <c r="E1022" s="46">
        <v>10200</v>
      </c>
      <c r="F1022" s="193" t="s">
        <v>230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767</v>
      </c>
      <c r="C1023" s="164" t="s">
        <v>46</v>
      </c>
      <c r="D1023" s="51" t="s">
        <v>230</v>
      </c>
      <c r="E1023" s="46">
        <v>28550</v>
      </c>
      <c r="F1023" s="193" t="s">
        <v>230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768</v>
      </c>
      <c r="C1024" s="164" t="s">
        <v>46</v>
      </c>
      <c r="D1024" s="155" t="s">
        <v>227</v>
      </c>
      <c r="E1024" s="156">
        <v>34999.089999999997</v>
      </c>
      <c r="F1024" s="193" t="s">
        <v>230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769</v>
      </c>
      <c r="C1025" s="164" t="s">
        <v>46</v>
      </c>
      <c r="D1025" s="155" t="s">
        <v>227</v>
      </c>
      <c r="E1025" s="156">
        <v>24999.52</v>
      </c>
      <c r="F1025" s="193" t="s">
        <v>230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770</v>
      </c>
      <c r="C1026" s="164" t="s">
        <v>46</v>
      </c>
      <c r="D1026" s="155" t="s">
        <v>227</v>
      </c>
      <c r="E1026" s="156">
        <v>13269</v>
      </c>
      <c r="F1026" s="193" t="s">
        <v>230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771</v>
      </c>
      <c r="C1027" s="164" t="s">
        <v>46</v>
      </c>
      <c r="D1027" s="155" t="s">
        <v>227</v>
      </c>
      <c r="E1027" s="156">
        <v>20059.829999999998</v>
      </c>
      <c r="F1027" s="193" t="s">
        <v>230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772</v>
      </c>
      <c r="C1028" s="164" t="s">
        <v>46</v>
      </c>
      <c r="D1028" s="155" t="s">
        <v>227</v>
      </c>
      <c r="E1028" s="156">
        <v>31945</v>
      </c>
      <c r="F1028" s="193" t="s">
        <v>230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773</v>
      </c>
      <c r="C1029" s="164" t="s">
        <v>46</v>
      </c>
      <c r="D1029" s="155" t="s">
        <v>227</v>
      </c>
      <c r="E1029" s="156">
        <v>59308.5</v>
      </c>
      <c r="F1029" s="193" t="s">
        <v>230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774</v>
      </c>
      <c r="C1030" s="164" t="s">
        <v>46</v>
      </c>
      <c r="D1030" s="155" t="s">
        <v>227</v>
      </c>
      <c r="E1030" s="156">
        <v>22911.759999999998</v>
      </c>
      <c r="F1030" s="193" t="s">
        <v>230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775</v>
      </c>
      <c r="C1031" s="164" t="s">
        <v>46</v>
      </c>
      <c r="D1031" s="155" t="s">
        <v>227</v>
      </c>
      <c r="E1031" s="156">
        <v>39358.5</v>
      </c>
      <c r="F1031" s="193" t="s">
        <v>230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776</v>
      </c>
      <c r="C1032" s="164" t="s">
        <v>46</v>
      </c>
      <c r="D1032" s="155" t="s">
        <v>227</v>
      </c>
      <c r="E1032" s="156">
        <v>34666.660000000003</v>
      </c>
      <c r="F1032" s="193" t="s">
        <v>230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777</v>
      </c>
      <c r="C1033" s="164" t="s">
        <v>46</v>
      </c>
      <c r="D1033" s="155" t="s">
        <v>230</v>
      </c>
      <c r="E1033" s="156">
        <v>3550</v>
      </c>
      <c r="F1033" s="193" t="s">
        <v>230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778</v>
      </c>
      <c r="C1034" s="164" t="s">
        <v>46</v>
      </c>
      <c r="D1034" s="155" t="s">
        <v>227</v>
      </c>
      <c r="E1034" s="156">
        <v>6970</v>
      </c>
      <c r="F1034" s="193" t="s">
        <v>230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779</v>
      </c>
      <c r="C1035" s="164" t="s">
        <v>46</v>
      </c>
      <c r="D1035" s="155" t="s">
        <v>227</v>
      </c>
      <c r="E1035" s="156">
        <v>9500</v>
      </c>
      <c r="F1035" s="193" t="s">
        <v>230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780</v>
      </c>
      <c r="C1036" s="164" t="s">
        <v>46</v>
      </c>
      <c r="D1036" s="155" t="s">
        <v>227</v>
      </c>
      <c r="E1036" s="156">
        <v>4098</v>
      </c>
      <c r="F1036" s="193" t="s">
        <v>230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781</v>
      </c>
      <c r="C1037" s="164" t="s">
        <v>46</v>
      </c>
      <c r="D1037" s="155" t="s">
        <v>227</v>
      </c>
      <c r="E1037" s="156">
        <v>8770.3333333333339</v>
      </c>
      <c r="F1037" s="193" t="s">
        <v>230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782</v>
      </c>
      <c r="C1038" s="164" t="s">
        <v>46</v>
      </c>
      <c r="D1038" s="155" t="s">
        <v>227</v>
      </c>
      <c r="E1038" s="156">
        <v>44000</v>
      </c>
      <c r="F1038" s="193" t="s">
        <v>230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783</v>
      </c>
      <c r="C1039" s="164" t="s">
        <v>46</v>
      </c>
      <c r="D1039" s="155" t="s">
        <v>226</v>
      </c>
      <c r="E1039" s="156">
        <v>18500</v>
      </c>
      <c r="F1039" s="193" t="s">
        <v>230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784</v>
      </c>
      <c r="C1040" s="164" t="s">
        <v>46</v>
      </c>
      <c r="D1040" s="155" t="s">
        <v>226</v>
      </c>
      <c r="E1040" s="156">
        <v>39100</v>
      </c>
      <c r="F1040" s="193" t="s">
        <v>230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785</v>
      </c>
      <c r="C1041" s="164" t="s">
        <v>46</v>
      </c>
      <c r="D1041" s="51" t="s">
        <v>226</v>
      </c>
      <c r="E1041" s="46">
        <v>11950</v>
      </c>
      <c r="F1041" s="193" t="s">
        <v>230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786</v>
      </c>
      <c r="C1042" s="164" t="s">
        <v>46</v>
      </c>
      <c r="D1042" s="51" t="s">
        <v>227</v>
      </c>
      <c r="E1042" s="46">
        <v>5194</v>
      </c>
      <c r="F1042" s="193" t="s">
        <v>230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787</v>
      </c>
      <c r="C1043" s="164" t="s">
        <v>46</v>
      </c>
      <c r="D1043" s="155" t="s">
        <v>226</v>
      </c>
      <c r="E1043" s="156">
        <v>39358.5</v>
      </c>
      <c r="F1043" s="193" t="s">
        <v>230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788</v>
      </c>
      <c r="C1044" s="164" t="s">
        <v>46</v>
      </c>
      <c r="D1044" s="51" t="s">
        <v>226</v>
      </c>
      <c r="E1044" s="46">
        <v>31945</v>
      </c>
      <c r="F1044" s="193" t="s">
        <v>230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789</v>
      </c>
      <c r="C1045" s="164" t="s">
        <v>46</v>
      </c>
      <c r="D1045" s="51" t="s">
        <v>226</v>
      </c>
      <c r="E1045" s="46">
        <v>59308.5</v>
      </c>
      <c r="F1045" s="193" t="s">
        <v>230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790</v>
      </c>
      <c r="C1046" s="164" t="s">
        <v>46</v>
      </c>
      <c r="D1046" s="51" t="s">
        <v>227</v>
      </c>
      <c r="E1046" s="46">
        <v>0</v>
      </c>
      <c r="F1046" s="193" t="s">
        <v>230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5"/>
      <c r="D1067" s="444"/>
      <c r="E1067"/>
      <c r="F1067" s="194"/>
      <c r="H1067"/>
      <c r="I1067"/>
    </row>
    <row r="1068" spans="1:10" ht="21.75" thickBot="1">
      <c r="A1068" s="133" t="s">
        <v>79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65</v>
      </c>
      <c r="B1069" s="219" t="s">
        <v>81</v>
      </c>
      <c r="C1069" s="69" t="s">
        <v>82</v>
      </c>
      <c r="D1069" s="70" t="s">
        <v>83</v>
      </c>
      <c r="E1069" s="72" t="s">
        <v>84</v>
      </c>
      <c r="F1069" s="192" t="s">
        <v>85</v>
      </c>
      <c r="G1069" s="74" t="s">
        <v>86</v>
      </c>
      <c r="H1069" s="75" t="s">
        <v>87</v>
      </c>
      <c r="I1069" s="75" t="s">
        <v>88</v>
      </c>
      <c r="J1069" s="77" t="s">
        <v>89</v>
      </c>
    </row>
    <row r="1070" spans="1:10" ht="30">
      <c r="A1070" s="86">
        <v>1</v>
      </c>
      <c r="B1070" s="213" t="s">
        <v>791</v>
      </c>
      <c r="C1070" s="229" t="s">
        <v>48</v>
      </c>
      <c r="D1070" s="51" t="s">
        <v>224</v>
      </c>
      <c r="E1070" s="46">
        <v>49000</v>
      </c>
      <c r="F1070" s="193" t="s">
        <v>224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792</v>
      </c>
      <c r="C1071" s="229" t="s">
        <v>48</v>
      </c>
      <c r="D1071" s="51" t="s">
        <v>159</v>
      </c>
      <c r="E1071" s="46">
        <v>14150</v>
      </c>
      <c r="F1071" s="193" t="s">
        <v>159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793</v>
      </c>
      <c r="C1072" s="229" t="s">
        <v>48</v>
      </c>
      <c r="D1072" s="51" t="s">
        <v>159</v>
      </c>
      <c r="E1072" s="46">
        <v>16000</v>
      </c>
      <c r="F1072" s="193" t="s">
        <v>159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794</v>
      </c>
      <c r="C1073" s="229" t="s">
        <v>48</v>
      </c>
      <c r="D1073" s="51" t="s">
        <v>159</v>
      </c>
      <c r="E1073" s="46">
        <v>18633.3</v>
      </c>
      <c r="F1073" s="193" t="s">
        <v>159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795</v>
      </c>
      <c r="C1074" s="229" t="s">
        <v>48</v>
      </c>
      <c r="D1074" s="51" t="s">
        <v>159</v>
      </c>
      <c r="E1074" s="46">
        <v>8550</v>
      </c>
      <c r="F1074" s="193" t="s">
        <v>159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796</v>
      </c>
      <c r="C1075" s="229" t="s">
        <v>48</v>
      </c>
      <c r="D1075" s="51" t="s">
        <v>159</v>
      </c>
      <c r="E1075" s="46">
        <v>14000</v>
      </c>
      <c r="F1075" s="193" t="s">
        <v>159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797</v>
      </c>
      <c r="C1076" s="229" t="s">
        <v>48</v>
      </c>
      <c r="D1076" s="51" t="s">
        <v>159</v>
      </c>
      <c r="E1076" s="46">
        <v>24800</v>
      </c>
      <c r="F1076" s="193" t="s">
        <v>159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79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7.25">
      <c r="A1109" s="84" t="s">
        <v>65</v>
      </c>
      <c r="B1109" s="212" t="s">
        <v>81</v>
      </c>
      <c r="C1109" s="208" t="s">
        <v>82</v>
      </c>
      <c r="D1109" s="209" t="s">
        <v>83</v>
      </c>
      <c r="E1109" s="72" t="s">
        <v>84</v>
      </c>
      <c r="F1109" s="192" t="s">
        <v>85</v>
      </c>
      <c r="G1109" s="74" t="s">
        <v>86</v>
      </c>
      <c r="H1109" s="75" t="s">
        <v>87</v>
      </c>
      <c r="I1109" s="75" t="s">
        <v>88</v>
      </c>
      <c r="J1109" s="77" t="s">
        <v>89</v>
      </c>
    </row>
    <row r="1110" spans="1:10" ht="30">
      <c r="A1110" s="86">
        <v>1</v>
      </c>
      <c r="B1110" s="213" t="s">
        <v>798</v>
      </c>
      <c r="C1110" s="40" t="s">
        <v>799</v>
      </c>
      <c r="D1110" s="51" t="s">
        <v>97</v>
      </c>
      <c r="E1110" s="46">
        <v>88750</v>
      </c>
      <c r="F1110" s="193" t="s">
        <v>97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800</v>
      </c>
      <c r="C1111" s="40" t="s">
        <v>799</v>
      </c>
      <c r="D1111" s="51" t="s">
        <v>97</v>
      </c>
      <c r="E1111" s="46">
        <v>18000</v>
      </c>
      <c r="F1111" s="193" t="s">
        <v>97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801</v>
      </c>
      <c r="C1112" s="40" t="s">
        <v>799</v>
      </c>
      <c r="D1112" s="51" t="s">
        <v>97</v>
      </c>
      <c r="E1112" s="46">
        <v>48900</v>
      </c>
      <c r="F1112" s="193" t="s">
        <v>97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802</v>
      </c>
      <c r="C1113" s="40" t="s">
        <v>799</v>
      </c>
      <c r="D1113" s="51" t="s">
        <v>97</v>
      </c>
      <c r="E1113" s="46">
        <v>5150</v>
      </c>
      <c r="F1113" s="193" t="s">
        <v>97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803</v>
      </c>
      <c r="C1114" s="40" t="s">
        <v>799</v>
      </c>
      <c r="D1114" s="51" t="s">
        <v>97</v>
      </c>
      <c r="E1114" s="46">
        <v>6400</v>
      </c>
      <c r="F1114" s="193" t="s">
        <v>97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804</v>
      </c>
      <c r="C1115" s="40" t="s">
        <v>799</v>
      </c>
      <c r="D1115" s="51" t="s">
        <v>159</v>
      </c>
      <c r="E1115" s="46">
        <v>61500</v>
      </c>
      <c r="F1115" s="193" t="s">
        <v>159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805</v>
      </c>
      <c r="C1116" s="40" t="s">
        <v>799</v>
      </c>
      <c r="D1116" s="51" t="s">
        <v>97</v>
      </c>
      <c r="E1116" s="46">
        <v>48683.375</v>
      </c>
      <c r="F1116" s="193" t="s">
        <v>97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806</v>
      </c>
      <c r="C1117" s="40" t="s">
        <v>799</v>
      </c>
      <c r="D1117" s="51" t="s">
        <v>97</v>
      </c>
      <c r="E1117" s="46">
        <v>44533.333333333336</v>
      </c>
      <c r="F1117" s="193" t="s">
        <v>97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807</v>
      </c>
      <c r="C1118" s="40" t="s">
        <v>799</v>
      </c>
      <c r="D1118" s="51" t="s">
        <v>97</v>
      </c>
      <c r="E1118" s="46">
        <v>30900</v>
      </c>
      <c r="F1118" s="193" t="s">
        <v>97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808</v>
      </c>
      <c r="C1119" s="40" t="s">
        <v>799</v>
      </c>
      <c r="D1119" s="51" t="s">
        <v>809</v>
      </c>
      <c r="E1119" s="46">
        <v>44500</v>
      </c>
      <c r="F1119" s="193" t="s">
        <v>97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810</v>
      </c>
      <c r="C1120" s="40" t="s">
        <v>799</v>
      </c>
      <c r="D1120" s="51" t="s">
        <v>97</v>
      </c>
      <c r="E1120" s="46">
        <v>22370</v>
      </c>
      <c r="F1120" s="193" t="s">
        <v>97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811</v>
      </c>
      <c r="C1121" s="40" t="s">
        <v>799</v>
      </c>
      <c r="D1121" s="51" t="s">
        <v>97</v>
      </c>
      <c r="E1121" s="46">
        <v>184100</v>
      </c>
      <c r="F1121" s="193" t="s">
        <v>97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812</v>
      </c>
      <c r="C1122" s="40" t="s">
        <v>799</v>
      </c>
      <c r="D1122" s="51" t="s">
        <v>97</v>
      </c>
      <c r="E1122" s="46">
        <v>6333.3374999999996</v>
      </c>
      <c r="F1122" s="193" t="s">
        <v>97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813</v>
      </c>
      <c r="C1123" s="40" t="s">
        <v>799</v>
      </c>
      <c r="D1123" s="51" t="s">
        <v>97</v>
      </c>
      <c r="E1123" s="46">
        <v>17266.599999999999</v>
      </c>
      <c r="F1123" s="193" t="s">
        <v>97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814</v>
      </c>
      <c r="C1124" s="40" t="s">
        <v>799</v>
      </c>
      <c r="D1124" s="51" t="s">
        <v>97</v>
      </c>
      <c r="E1124" s="46">
        <v>6796.7</v>
      </c>
      <c r="F1124" s="193" t="s">
        <v>97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815</v>
      </c>
      <c r="C1125" s="40" t="s">
        <v>799</v>
      </c>
      <c r="D1125" s="51" t="s">
        <v>97</v>
      </c>
      <c r="E1125" s="46">
        <v>182666.66666666666</v>
      </c>
      <c r="F1125" s="193" t="s">
        <v>97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816</v>
      </c>
      <c r="C1126" s="40" t="s">
        <v>799</v>
      </c>
      <c r="D1126" s="51" t="s">
        <v>809</v>
      </c>
      <c r="E1126" s="46">
        <v>2500</v>
      </c>
      <c r="F1126" s="193" t="s">
        <v>97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817</v>
      </c>
      <c r="C1127" s="40" t="s">
        <v>799</v>
      </c>
      <c r="D1127" s="51" t="s">
        <v>97</v>
      </c>
      <c r="E1127" s="46">
        <v>46996.6</v>
      </c>
      <c r="F1127" s="193" t="s">
        <v>97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817</v>
      </c>
      <c r="C1128" s="40" t="s">
        <v>799</v>
      </c>
      <c r="D1128" s="51" t="s">
        <v>97</v>
      </c>
      <c r="E1128" s="46">
        <v>48330</v>
      </c>
      <c r="F1128" s="193" t="s">
        <v>97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818</v>
      </c>
      <c r="C1129" s="40" t="s">
        <v>799</v>
      </c>
      <c r="D1129" s="51" t="s">
        <v>819</v>
      </c>
      <c r="E1129" s="46">
        <v>10166.700000000001</v>
      </c>
      <c r="F1129" s="193" t="s">
        <v>819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820</v>
      </c>
      <c r="C1130" s="40" t="s">
        <v>799</v>
      </c>
      <c r="D1130" s="51" t="s">
        <v>97</v>
      </c>
      <c r="E1130" s="46">
        <v>104388.75</v>
      </c>
      <c r="F1130" s="193" t="s">
        <v>97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821</v>
      </c>
      <c r="C1131" s="40" t="s">
        <v>799</v>
      </c>
      <c r="D1131" s="51" t="s">
        <v>97</v>
      </c>
      <c r="E1131" s="46">
        <v>79760</v>
      </c>
      <c r="F1131" s="193" t="s">
        <v>97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822</v>
      </c>
      <c r="C1132" s="40" t="s">
        <v>799</v>
      </c>
      <c r="D1132" s="51" t="s">
        <v>191</v>
      </c>
      <c r="E1132" s="46">
        <v>62000</v>
      </c>
      <c r="F1132" s="193" t="s">
        <v>191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823</v>
      </c>
      <c r="C1133" s="40" t="s">
        <v>799</v>
      </c>
      <c r="D1133" s="51" t="s">
        <v>97</v>
      </c>
      <c r="E1133" s="46">
        <v>152500</v>
      </c>
      <c r="F1133" s="193" t="s">
        <v>97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824</v>
      </c>
      <c r="C1134" s="40" t="s">
        <v>799</v>
      </c>
      <c r="D1134" s="211" t="s">
        <v>97</v>
      </c>
      <c r="E1134" s="46">
        <v>432050</v>
      </c>
      <c r="F1134" s="193" t="s">
        <v>97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79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7.25">
      <c r="A1156" s="76" t="s">
        <v>65</v>
      </c>
      <c r="B1156" s="137" t="s">
        <v>81</v>
      </c>
      <c r="C1156" s="123" t="s">
        <v>82</v>
      </c>
      <c r="D1156" s="107" t="s">
        <v>83</v>
      </c>
      <c r="E1156" s="72" t="s">
        <v>84</v>
      </c>
      <c r="F1156" s="192" t="s">
        <v>85</v>
      </c>
      <c r="G1156" s="74" t="s">
        <v>86</v>
      </c>
      <c r="H1156" s="75" t="s">
        <v>87</v>
      </c>
      <c r="I1156" s="75" t="s">
        <v>88</v>
      </c>
      <c r="J1156" s="85" t="s">
        <v>89</v>
      </c>
    </row>
    <row r="1157" spans="1:10">
      <c r="A1157" s="44">
        <v>1</v>
      </c>
      <c r="B1157" s="43" t="s">
        <v>825</v>
      </c>
      <c r="C1157" s="40" t="s">
        <v>826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827</v>
      </c>
      <c r="C1158" s="40" t="s">
        <v>826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828</v>
      </c>
      <c r="C1159" s="40" t="s">
        <v>826</v>
      </c>
      <c r="D1159" s="51" t="s">
        <v>97</v>
      </c>
      <c r="E1159" s="46">
        <v>343.33</v>
      </c>
      <c r="F1159" s="51" t="s">
        <v>97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829</v>
      </c>
      <c r="C1160" s="40" t="s">
        <v>826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830</v>
      </c>
      <c r="C1161" s="40" t="s">
        <v>826</v>
      </c>
      <c r="D1161" s="51" t="s">
        <v>97</v>
      </c>
      <c r="E1161" s="46">
        <v>343.33</v>
      </c>
      <c r="F1161" s="51" t="s">
        <v>97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831</v>
      </c>
      <c r="C1162" s="40" t="s">
        <v>826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832</v>
      </c>
      <c r="C1163" s="40" t="s">
        <v>826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833</v>
      </c>
      <c r="C1164" s="40" t="s">
        <v>826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834</v>
      </c>
      <c r="C1165" s="40" t="s">
        <v>826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835</v>
      </c>
      <c r="C1166" s="40" t="s">
        <v>826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836</v>
      </c>
      <c r="C1167" s="40" t="s">
        <v>826</v>
      </c>
      <c r="D1167" s="51" t="s">
        <v>97</v>
      </c>
      <c r="E1167" s="46">
        <v>343.33</v>
      </c>
      <c r="F1167" s="51" t="s">
        <v>97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837</v>
      </c>
      <c r="C1168" s="40" t="s">
        <v>826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838</v>
      </c>
      <c r="C1169" s="40" t="s">
        <v>826</v>
      </c>
      <c r="D1169" s="51" t="s">
        <v>97</v>
      </c>
      <c r="E1169" s="46">
        <v>343.33</v>
      </c>
      <c r="F1169" s="51" t="s">
        <v>97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839</v>
      </c>
      <c r="C1170" s="40" t="s">
        <v>826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840</v>
      </c>
      <c r="C1171" s="40" t="s">
        <v>826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841</v>
      </c>
      <c r="C1172" s="40" t="s">
        <v>826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842</v>
      </c>
      <c r="C1173" s="40" t="s">
        <v>826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843</v>
      </c>
      <c r="C1174" s="40" t="s">
        <v>826</v>
      </c>
      <c r="D1174" s="51" t="s">
        <v>97</v>
      </c>
      <c r="E1174" s="46">
        <v>343.33</v>
      </c>
      <c r="F1174" s="51" t="s">
        <v>97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844</v>
      </c>
      <c r="C1175" s="40" t="s">
        <v>826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845</v>
      </c>
      <c r="C1176" s="40" t="s">
        <v>826</v>
      </c>
      <c r="D1176" s="51" t="s">
        <v>97</v>
      </c>
      <c r="E1176" s="46">
        <v>343.33</v>
      </c>
      <c r="F1176" s="51" t="s">
        <v>97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846</v>
      </c>
      <c r="C1177" s="40" t="s">
        <v>826</v>
      </c>
      <c r="D1177" s="51" t="s">
        <v>97</v>
      </c>
      <c r="E1177" s="46">
        <v>308.33</v>
      </c>
      <c r="F1177" s="51" t="s">
        <v>97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847</v>
      </c>
      <c r="C1178" s="40" t="s">
        <v>826</v>
      </c>
      <c r="D1178" s="51" t="s">
        <v>848</v>
      </c>
      <c r="E1178" s="46">
        <v>42631</v>
      </c>
      <c r="F1178" s="193" t="s">
        <v>848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849</v>
      </c>
      <c r="C1179" s="40" t="s">
        <v>826</v>
      </c>
      <c r="D1179" s="51" t="s">
        <v>850</v>
      </c>
      <c r="E1179" s="46">
        <v>6081.3</v>
      </c>
      <c r="F1179" s="193" t="s">
        <v>850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851</v>
      </c>
      <c r="C1180" s="40" t="s">
        <v>826</v>
      </c>
      <c r="D1180" s="51" t="s">
        <v>852</v>
      </c>
      <c r="E1180" s="46">
        <v>19776</v>
      </c>
      <c r="F1180" s="193" t="s">
        <v>852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853</v>
      </c>
      <c r="C1181" s="40" t="s">
        <v>826</v>
      </c>
      <c r="D1181" s="51" t="s">
        <v>850</v>
      </c>
      <c r="E1181" s="46">
        <v>16133.3</v>
      </c>
      <c r="F1181" s="193" t="s">
        <v>850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854</v>
      </c>
      <c r="C1182" s="40" t="s">
        <v>826</v>
      </c>
      <c r="D1182" s="51" t="s">
        <v>855</v>
      </c>
      <c r="E1182" s="46">
        <v>17300</v>
      </c>
      <c r="F1182" s="193" t="s">
        <v>855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856</v>
      </c>
      <c r="C1183" s="40" t="s">
        <v>826</v>
      </c>
      <c r="D1183" s="51" t="s">
        <v>857</v>
      </c>
      <c r="E1183" s="46">
        <v>1583.1533333333334</v>
      </c>
      <c r="F1183" s="193" t="s">
        <v>857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858</v>
      </c>
      <c r="C1184" s="40" t="s">
        <v>826</v>
      </c>
      <c r="D1184" s="51" t="s">
        <v>226</v>
      </c>
      <c r="E1184" s="46">
        <v>4180</v>
      </c>
      <c r="F1184" s="193" t="s">
        <v>226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859</v>
      </c>
      <c r="C1185" s="40" t="s">
        <v>826</v>
      </c>
      <c r="D1185" s="51" t="s">
        <v>97</v>
      </c>
      <c r="E1185" s="46">
        <v>9522.5084745762706</v>
      </c>
      <c r="F1185" s="193" t="s">
        <v>97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860</v>
      </c>
      <c r="C1186" s="40" t="s">
        <v>826</v>
      </c>
      <c r="D1186" s="101" t="s">
        <v>227</v>
      </c>
      <c r="E1186" s="46">
        <v>0</v>
      </c>
      <c r="F1186" s="193" t="s">
        <v>227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861</v>
      </c>
      <c r="C1187" s="40" t="s">
        <v>826</v>
      </c>
      <c r="D1187" s="51" t="s">
        <v>97</v>
      </c>
      <c r="E1187" s="46">
        <v>4000</v>
      </c>
      <c r="F1187" s="193" t="s">
        <v>97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862</v>
      </c>
      <c r="C1188" s="40" t="s">
        <v>826</v>
      </c>
      <c r="D1188" s="51" t="s">
        <v>97</v>
      </c>
      <c r="E1188" s="46">
        <v>51000</v>
      </c>
      <c r="F1188" s="193" t="s">
        <v>97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863</v>
      </c>
      <c r="C1189" s="40" t="s">
        <v>826</v>
      </c>
      <c r="D1189" s="51" t="s">
        <v>97</v>
      </c>
      <c r="E1189" s="46">
        <v>1600</v>
      </c>
      <c r="F1189" s="193" t="s">
        <v>97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864</v>
      </c>
      <c r="C1190" s="40" t="s">
        <v>826</v>
      </c>
      <c r="D1190" s="51" t="s">
        <v>97</v>
      </c>
      <c r="E1190" s="46">
        <v>1233.6600000000001</v>
      </c>
      <c r="F1190" s="193" t="s">
        <v>97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865</v>
      </c>
      <c r="C1191" s="40" t="s">
        <v>826</v>
      </c>
      <c r="D1191" s="51" t="s">
        <v>97</v>
      </c>
      <c r="E1191" s="46">
        <v>500</v>
      </c>
      <c r="F1191" s="193" t="s">
        <v>97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866</v>
      </c>
      <c r="C1192" s="40" t="s">
        <v>826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867</v>
      </c>
      <c r="C1193" s="40" t="s">
        <v>826</v>
      </c>
      <c r="D1193" s="51" t="s">
        <v>97</v>
      </c>
      <c r="E1193" s="46">
        <v>5900</v>
      </c>
      <c r="F1193" s="193" t="s">
        <v>97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868</v>
      </c>
      <c r="C1194" s="40" t="s">
        <v>826</v>
      </c>
      <c r="D1194" s="51" t="s">
        <v>97</v>
      </c>
      <c r="E1194" s="46">
        <v>288766.66666666669</v>
      </c>
      <c r="F1194" s="193" t="s">
        <v>97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869</v>
      </c>
      <c r="C1195" s="40" t="s">
        <v>826</v>
      </c>
      <c r="D1195" s="51" t="s">
        <v>870</v>
      </c>
      <c r="E1195" s="46">
        <v>23233.4</v>
      </c>
      <c r="F1195" s="193" t="s">
        <v>870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871</v>
      </c>
      <c r="C1196" s="40" t="s">
        <v>826</v>
      </c>
      <c r="D1196" s="51" t="s">
        <v>97</v>
      </c>
      <c r="E1196" s="46">
        <v>219.5</v>
      </c>
      <c r="F1196" s="193" t="s">
        <v>97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872</v>
      </c>
      <c r="C1197" s="40" t="s">
        <v>826</v>
      </c>
      <c r="D1197" s="51" t="s">
        <v>97</v>
      </c>
      <c r="E1197" s="46">
        <v>907</v>
      </c>
      <c r="F1197" s="193" t="s">
        <v>97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873</v>
      </c>
      <c r="C1198" s="40" t="s">
        <v>826</v>
      </c>
      <c r="D1198" s="51" t="s">
        <v>97</v>
      </c>
      <c r="E1198" s="46">
        <v>5333.34</v>
      </c>
      <c r="F1198" s="193" t="s">
        <v>97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874</v>
      </c>
      <c r="C1199" s="40" t="s">
        <v>826</v>
      </c>
      <c r="D1199" s="51" t="s">
        <v>224</v>
      </c>
      <c r="E1199" s="46">
        <v>867804</v>
      </c>
      <c r="F1199" s="193" t="s">
        <v>224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875</v>
      </c>
      <c r="C1200" s="40" t="s">
        <v>826</v>
      </c>
      <c r="D1200" s="51" t="s">
        <v>224</v>
      </c>
      <c r="E1200" s="46">
        <v>1097662</v>
      </c>
      <c r="F1200" s="193" t="s">
        <v>224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876</v>
      </c>
      <c r="C1201" s="40" t="s">
        <v>826</v>
      </c>
      <c r="D1201" s="61" t="s">
        <v>848</v>
      </c>
      <c r="E1201" s="65">
        <v>74866.666666666672</v>
      </c>
      <c r="F1201" s="196" t="s">
        <v>848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877</v>
      </c>
      <c r="C1202" s="165" t="s">
        <v>826</v>
      </c>
      <c r="D1202" s="171" t="s">
        <v>878</v>
      </c>
      <c r="E1202" s="65">
        <v>74866.666666666672</v>
      </c>
      <c r="F1202" s="196" t="s">
        <v>878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879</v>
      </c>
      <c r="C1203" s="165" t="s">
        <v>826</v>
      </c>
      <c r="D1203" s="171" t="s">
        <v>97</v>
      </c>
      <c r="E1203" s="65">
        <v>19073</v>
      </c>
      <c r="F1203" s="196" t="s">
        <v>97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880</v>
      </c>
      <c r="C1204" s="165" t="s">
        <v>826</v>
      </c>
      <c r="D1204" s="171" t="s">
        <v>97</v>
      </c>
      <c r="E1204" s="65">
        <v>866.66499999999996</v>
      </c>
      <c r="F1204" s="196" t="s">
        <v>97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881</v>
      </c>
      <c r="C1205" s="165" t="s">
        <v>826</v>
      </c>
      <c r="D1205" s="171" t="s">
        <v>857</v>
      </c>
      <c r="E1205" s="65">
        <v>513.33285714285716</v>
      </c>
      <c r="F1205" s="196" t="s">
        <v>857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882</v>
      </c>
      <c r="C1206" s="165" t="s">
        <v>826</v>
      </c>
      <c r="D1206" s="171" t="s">
        <v>97</v>
      </c>
      <c r="E1206" s="65">
        <v>19000</v>
      </c>
      <c r="F1206" s="196" t="s">
        <v>97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883</v>
      </c>
      <c r="C1207" s="165" t="s">
        <v>826</v>
      </c>
      <c r="D1207" s="171" t="s">
        <v>97</v>
      </c>
      <c r="E1207" s="65">
        <v>3800</v>
      </c>
      <c r="F1207" s="196" t="s">
        <v>97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884</v>
      </c>
      <c r="C1208" s="40" t="s">
        <v>826</v>
      </c>
      <c r="D1208" s="60" t="s">
        <v>159</v>
      </c>
      <c r="E1208" s="46">
        <v>3200</v>
      </c>
      <c r="F1208" s="193" t="s">
        <v>159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885</v>
      </c>
      <c r="C1209" s="229" t="s">
        <v>826</v>
      </c>
      <c r="D1209" s="90" t="s">
        <v>201</v>
      </c>
      <c r="E1209" s="170">
        <v>7200</v>
      </c>
      <c r="F1209" s="198" t="s">
        <v>848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886</v>
      </c>
      <c r="C1210" s="229" t="s">
        <v>826</v>
      </c>
      <c r="D1210" s="90" t="s">
        <v>97</v>
      </c>
      <c r="E1210" s="170">
        <v>6013.33</v>
      </c>
      <c r="F1210" s="198" t="s">
        <v>97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887</v>
      </c>
      <c r="C1211" s="231" t="s">
        <v>826</v>
      </c>
      <c r="D1211" s="235" t="s">
        <v>97</v>
      </c>
      <c r="E1211" s="232">
        <v>1101.5</v>
      </c>
      <c r="F1211" s="199" t="s">
        <v>97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888</v>
      </c>
      <c r="C1212" s="231" t="s">
        <v>826</v>
      </c>
      <c r="D1212" s="267" t="s">
        <v>97</v>
      </c>
      <c r="E1212" s="232">
        <v>11100</v>
      </c>
      <c r="F1212" s="199" t="s">
        <v>97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79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7.25">
      <c r="A1256" s="138" t="s">
        <v>65</v>
      </c>
      <c r="B1256" s="71" t="s">
        <v>81</v>
      </c>
      <c r="C1256" s="123" t="s">
        <v>82</v>
      </c>
      <c r="D1256" s="139" t="s">
        <v>83</v>
      </c>
      <c r="E1256" s="62" t="s">
        <v>84</v>
      </c>
      <c r="F1256" s="201" t="s">
        <v>85</v>
      </c>
      <c r="G1256" s="63" t="s">
        <v>86</v>
      </c>
      <c r="H1256" s="64" t="s">
        <v>87</v>
      </c>
      <c r="I1256" s="64" t="s">
        <v>88</v>
      </c>
      <c r="J1256" s="67" t="s">
        <v>89</v>
      </c>
    </row>
    <row r="1257" spans="1:10">
      <c r="A1257" s="44">
        <v>1</v>
      </c>
      <c r="B1257" s="45" t="s">
        <v>889</v>
      </c>
      <c r="C1257" s="229" t="s">
        <v>44</v>
      </c>
      <c r="D1257" s="249" t="s">
        <v>890</v>
      </c>
      <c r="E1257" s="46">
        <v>35093.533333333333</v>
      </c>
      <c r="F1257" s="193" t="s">
        <v>890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891</v>
      </c>
      <c r="C1258" s="229" t="s">
        <v>44</v>
      </c>
      <c r="D1258" s="60" t="s">
        <v>97</v>
      </c>
      <c r="E1258" s="46">
        <v>3146.625</v>
      </c>
      <c r="F1258" s="193" t="s">
        <v>97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892</v>
      </c>
      <c r="C1259" s="229" t="s">
        <v>44</v>
      </c>
      <c r="D1259" s="51" t="s">
        <v>97</v>
      </c>
      <c r="E1259" s="46">
        <v>8731.5333333333328</v>
      </c>
      <c r="F1259" s="193" t="s">
        <v>97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893</v>
      </c>
      <c r="C1260" s="229" t="s">
        <v>44</v>
      </c>
      <c r="D1260" s="51" t="s">
        <v>97</v>
      </c>
      <c r="E1260" s="46">
        <v>5376.625</v>
      </c>
      <c r="F1260" s="193" t="s">
        <v>97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894</v>
      </c>
      <c r="C1261" s="229" t="s">
        <v>44</v>
      </c>
      <c r="D1261" s="51" t="s">
        <v>97</v>
      </c>
      <c r="E1261" s="46">
        <v>7039.5</v>
      </c>
      <c r="F1261" s="193" t="s">
        <v>97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895</v>
      </c>
      <c r="C1262" s="229" t="s">
        <v>44</v>
      </c>
      <c r="D1262" s="51" t="s">
        <v>97</v>
      </c>
      <c r="E1262" s="46">
        <v>13260</v>
      </c>
      <c r="F1262" s="193" t="s">
        <v>97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896</v>
      </c>
      <c r="C1263" s="229" t="s">
        <v>44</v>
      </c>
      <c r="D1263" s="51" t="s">
        <v>97</v>
      </c>
      <c r="E1263" s="46">
        <v>5136.2</v>
      </c>
      <c r="F1263" s="193" t="s">
        <v>97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897</v>
      </c>
      <c r="C1264" s="229" t="s">
        <v>44</v>
      </c>
      <c r="D1264" s="51" t="s">
        <v>97</v>
      </c>
      <c r="E1264" s="46">
        <v>5628.6</v>
      </c>
      <c r="F1264" s="193" t="s">
        <v>97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898</v>
      </c>
      <c r="C1265" s="229" t="s">
        <v>44</v>
      </c>
      <c r="D1265" s="51" t="s">
        <v>97</v>
      </c>
      <c r="E1265" s="49">
        <v>7204.6</v>
      </c>
      <c r="F1265" s="193" t="s">
        <v>97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899</v>
      </c>
      <c r="C1266" s="229" t="s">
        <v>44</v>
      </c>
      <c r="D1266" s="51" t="s">
        <v>97</v>
      </c>
      <c r="E1266" s="49">
        <v>12510</v>
      </c>
      <c r="F1266" s="193" t="s">
        <v>97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900</v>
      </c>
      <c r="C1267" s="229" t="s">
        <v>44</v>
      </c>
      <c r="D1267" s="51" t="s">
        <v>97</v>
      </c>
      <c r="E1267" s="49">
        <v>8789</v>
      </c>
      <c r="F1267" s="193" t="s">
        <v>97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901</v>
      </c>
      <c r="C1268" s="229" t="s">
        <v>44</v>
      </c>
      <c r="D1268" s="51" t="s">
        <v>97</v>
      </c>
      <c r="E1268" s="49">
        <v>20643.5</v>
      </c>
      <c r="F1268" s="193" t="s">
        <v>97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902</v>
      </c>
      <c r="C1269" s="229" t="s">
        <v>44</v>
      </c>
      <c r="D1269" s="51" t="s">
        <v>97</v>
      </c>
      <c r="E1269" s="49">
        <v>2006</v>
      </c>
      <c r="F1269" s="193" t="s">
        <v>97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903</v>
      </c>
      <c r="C1270" s="229" t="s">
        <v>44</v>
      </c>
      <c r="D1270" s="51" t="s">
        <v>97</v>
      </c>
      <c r="E1270" s="49">
        <v>36293.5</v>
      </c>
      <c r="F1270" s="193" t="s">
        <v>97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904</v>
      </c>
      <c r="C1271" s="229" t="s">
        <v>44</v>
      </c>
      <c r="D1271" s="51" t="s">
        <v>97</v>
      </c>
      <c r="E1271" s="49">
        <v>9613.3333333333339</v>
      </c>
      <c r="F1271" s="193" t="s">
        <v>97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905</v>
      </c>
      <c r="C1272" s="229" t="s">
        <v>44</v>
      </c>
      <c r="D1272" s="51" t="s">
        <v>97</v>
      </c>
      <c r="E1272" s="49">
        <v>76295</v>
      </c>
      <c r="F1272" s="193" t="s">
        <v>97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906</v>
      </c>
      <c r="C1273" s="229" t="s">
        <v>44</v>
      </c>
      <c r="D1273" s="51" t="s">
        <v>97</v>
      </c>
      <c r="E1273" s="49">
        <v>3326.46</v>
      </c>
      <c r="F1273" s="193" t="s">
        <v>97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907</v>
      </c>
      <c r="C1274" s="229" t="s">
        <v>44</v>
      </c>
      <c r="D1274" s="51" t="s">
        <v>97</v>
      </c>
      <c r="E1274" s="49">
        <v>61667.5</v>
      </c>
      <c r="F1274" s="193" t="s">
        <v>97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908</v>
      </c>
      <c r="C1275" s="229" t="s">
        <v>44</v>
      </c>
      <c r="D1275" s="51" t="s">
        <v>97</v>
      </c>
      <c r="E1275" s="46">
        <v>720750</v>
      </c>
      <c r="F1275" s="193" t="s">
        <v>97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909</v>
      </c>
      <c r="C1276" s="229" t="s">
        <v>44</v>
      </c>
      <c r="D1276" s="51" t="s">
        <v>857</v>
      </c>
      <c r="E1276" s="46">
        <v>3215</v>
      </c>
      <c r="F1276" s="193" t="s">
        <v>857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910</v>
      </c>
      <c r="C1277" s="229" t="s">
        <v>44</v>
      </c>
      <c r="D1277" s="51" t="s">
        <v>857</v>
      </c>
      <c r="E1277" s="46">
        <v>8300</v>
      </c>
      <c r="F1277" s="193" t="s">
        <v>857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911</v>
      </c>
      <c r="C1278" s="229" t="s">
        <v>44</v>
      </c>
      <c r="D1278" s="51" t="s">
        <v>857</v>
      </c>
      <c r="E1278" s="46">
        <v>3276</v>
      </c>
      <c r="F1278" s="193" t="s">
        <v>857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912</v>
      </c>
      <c r="C1279" s="229" t="s">
        <v>44</v>
      </c>
      <c r="D1279" s="51" t="s">
        <v>97</v>
      </c>
      <c r="E1279" s="46">
        <v>34700</v>
      </c>
      <c r="F1279" s="193" t="s">
        <v>97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913</v>
      </c>
      <c r="C1280" s="229" t="s">
        <v>44</v>
      </c>
      <c r="D1280" s="51" t="s">
        <v>97</v>
      </c>
      <c r="E1280" s="46">
        <v>16695</v>
      </c>
      <c r="F1280" s="193" t="s">
        <v>97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914</v>
      </c>
      <c r="C1281" s="229" t="s">
        <v>44</v>
      </c>
      <c r="D1281" s="51" t="s">
        <v>97</v>
      </c>
      <c r="E1281" s="46">
        <v>20585</v>
      </c>
      <c r="F1281" s="193" t="s">
        <v>97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915</v>
      </c>
      <c r="C1282" s="229" t="s">
        <v>44</v>
      </c>
      <c r="D1282" s="51" t="s">
        <v>97</v>
      </c>
      <c r="E1282" s="46">
        <v>2912.52</v>
      </c>
      <c r="F1282" s="193" t="s">
        <v>97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916</v>
      </c>
      <c r="C1283" s="229" t="s">
        <v>44</v>
      </c>
      <c r="D1283" s="51" t="s">
        <v>97</v>
      </c>
      <c r="E1283" s="46">
        <v>18486</v>
      </c>
      <c r="F1283" s="193" t="s">
        <v>97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917</v>
      </c>
      <c r="C1284" s="229" t="s">
        <v>44</v>
      </c>
      <c r="D1284" s="51" t="s">
        <v>97</v>
      </c>
      <c r="E1284" s="46">
        <v>18895</v>
      </c>
      <c r="F1284" s="193" t="s">
        <v>97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918</v>
      </c>
      <c r="C1285" s="229" t="s">
        <v>44</v>
      </c>
      <c r="D1285" s="51" t="s">
        <v>97</v>
      </c>
      <c r="E1285" s="46">
        <v>35150</v>
      </c>
      <c r="F1285" s="193" t="s">
        <v>97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919</v>
      </c>
      <c r="C1286" s="229" t="s">
        <v>44</v>
      </c>
      <c r="D1286" s="51" t="s">
        <v>857</v>
      </c>
      <c r="E1286" s="46">
        <v>3145</v>
      </c>
      <c r="F1286" s="193" t="s">
        <v>230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920</v>
      </c>
      <c r="C1287" s="229" t="s">
        <v>44</v>
      </c>
      <c r="D1287" s="51" t="s">
        <v>97</v>
      </c>
      <c r="E1287" s="46">
        <v>8470</v>
      </c>
      <c r="F1287" s="193" t="s">
        <v>97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921</v>
      </c>
      <c r="C1288" s="229" t="s">
        <v>44</v>
      </c>
      <c r="D1288" s="51" t="s">
        <v>97</v>
      </c>
      <c r="E1288" s="46">
        <v>2480</v>
      </c>
      <c r="F1288" s="193" t="s">
        <v>97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922</v>
      </c>
      <c r="C1289" s="229" t="s">
        <v>44</v>
      </c>
      <c r="D1289" s="51" t="s">
        <v>97</v>
      </c>
      <c r="E1289" s="46">
        <v>100620</v>
      </c>
      <c r="F1289" s="193" t="s">
        <v>97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923</v>
      </c>
      <c r="C1290" s="229" t="s">
        <v>44</v>
      </c>
      <c r="D1290" s="51" t="s">
        <v>97</v>
      </c>
      <c r="E1290" s="46">
        <v>50245</v>
      </c>
      <c r="F1290" s="193" t="s">
        <v>97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924</v>
      </c>
      <c r="C1291" s="229" t="s">
        <v>44</v>
      </c>
      <c r="D1291" s="51" t="s">
        <v>201</v>
      </c>
      <c r="E1291" s="46">
        <v>98275.666666666672</v>
      </c>
      <c r="F1291" s="193" t="s">
        <v>201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925</v>
      </c>
      <c r="C1292" s="229" t="s">
        <v>44</v>
      </c>
      <c r="D1292" s="51" t="s">
        <v>97</v>
      </c>
      <c r="E1292" s="46">
        <v>33709</v>
      </c>
      <c r="F1292" s="193" t="s">
        <v>97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926</v>
      </c>
      <c r="C1293" s="229" t="s">
        <v>44</v>
      </c>
      <c r="D1293" s="51" t="s">
        <v>97</v>
      </c>
      <c r="E1293" s="46">
        <v>103948</v>
      </c>
      <c r="F1293" s="193" t="s">
        <v>97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927</v>
      </c>
      <c r="C1294" s="229" t="s">
        <v>44</v>
      </c>
      <c r="D1294" s="51" t="s">
        <v>97</v>
      </c>
      <c r="E1294" s="46">
        <v>32370</v>
      </c>
      <c r="F1294" s="193" t="s">
        <v>97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928</v>
      </c>
      <c r="C1295" s="229" t="s">
        <v>44</v>
      </c>
      <c r="D1295" s="51" t="s">
        <v>97</v>
      </c>
      <c r="E1295" s="46">
        <v>110153</v>
      </c>
      <c r="F1295" s="193" t="s">
        <v>97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929</v>
      </c>
      <c r="C1296" s="229" t="s">
        <v>44</v>
      </c>
      <c r="D1296" s="51" t="s">
        <v>97</v>
      </c>
      <c r="E1296" s="46">
        <v>49830</v>
      </c>
      <c r="F1296" s="193" t="s">
        <v>97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930</v>
      </c>
      <c r="C1297" s="229" t="s">
        <v>44</v>
      </c>
      <c r="D1297" s="51" t="s">
        <v>97</v>
      </c>
      <c r="E1297" s="46">
        <v>45846.5</v>
      </c>
      <c r="F1297" s="193" t="s">
        <v>97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931</v>
      </c>
      <c r="C1298" s="229" t="s">
        <v>44</v>
      </c>
      <c r="D1298" s="51" t="s">
        <v>97</v>
      </c>
      <c r="E1298" s="46">
        <v>12830</v>
      </c>
      <c r="F1298" s="193" t="s">
        <v>97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932</v>
      </c>
      <c r="C1299" s="229" t="s">
        <v>44</v>
      </c>
      <c r="D1299" s="51" t="s">
        <v>97</v>
      </c>
      <c r="E1299" s="46">
        <v>38888.571428571428</v>
      </c>
      <c r="F1299" s="193" t="s">
        <v>97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933</v>
      </c>
      <c r="C1300" s="229" t="s">
        <v>44</v>
      </c>
      <c r="D1300" s="51" t="s">
        <v>224</v>
      </c>
      <c r="E1300" s="46">
        <v>90973.666666666672</v>
      </c>
      <c r="F1300" s="193" t="s">
        <v>230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934</v>
      </c>
      <c r="C1301" s="229" t="s">
        <v>44</v>
      </c>
      <c r="D1301" s="51" t="s">
        <v>97</v>
      </c>
      <c r="E1301" s="46">
        <v>22475</v>
      </c>
      <c r="F1301" s="193" t="s">
        <v>97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935</v>
      </c>
      <c r="C1302" s="229" t="s">
        <v>44</v>
      </c>
      <c r="D1302" s="51" t="s">
        <v>97</v>
      </c>
      <c r="E1302" s="46">
        <v>95966.7</v>
      </c>
      <c r="F1302" s="193" t="s">
        <v>97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936</v>
      </c>
      <c r="C1303" s="229" t="s">
        <v>44</v>
      </c>
      <c r="D1303" s="51" t="s">
        <v>97</v>
      </c>
      <c r="E1303" s="46">
        <v>22654</v>
      </c>
      <c r="F1303" s="193" t="s">
        <v>97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937</v>
      </c>
      <c r="C1304" s="229" t="s">
        <v>44</v>
      </c>
      <c r="D1304" s="51" t="s">
        <v>97</v>
      </c>
      <c r="E1304" s="46">
        <v>73154</v>
      </c>
      <c r="F1304" s="193" t="s">
        <v>97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938</v>
      </c>
      <c r="C1305" s="229" t="s">
        <v>44</v>
      </c>
      <c r="D1305" s="51" t="s">
        <v>97</v>
      </c>
      <c r="E1305" s="46">
        <v>22053.571428571428</v>
      </c>
      <c r="F1305" s="193" t="s">
        <v>97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939</v>
      </c>
      <c r="C1306" s="229" t="s">
        <v>44</v>
      </c>
      <c r="D1306" s="51" t="s">
        <v>97</v>
      </c>
      <c r="E1306" s="46">
        <v>132350</v>
      </c>
      <c r="F1306" s="193" t="s">
        <v>97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940</v>
      </c>
      <c r="C1307" s="229" t="s">
        <v>44</v>
      </c>
      <c r="D1307" s="51" t="s">
        <v>97</v>
      </c>
      <c r="E1307" s="46">
        <v>22518.5</v>
      </c>
      <c r="F1307" s="193" t="s">
        <v>97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941</v>
      </c>
      <c r="C1308" s="229" t="s">
        <v>44</v>
      </c>
      <c r="D1308" s="51" t="s">
        <v>97</v>
      </c>
      <c r="E1308" s="46">
        <v>2242.6</v>
      </c>
      <c r="F1308" s="193" t="s">
        <v>97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942</v>
      </c>
      <c r="C1309" s="229" t="s">
        <v>44</v>
      </c>
      <c r="D1309" s="51" t="s">
        <v>97</v>
      </c>
      <c r="E1309" s="46">
        <v>1875.65</v>
      </c>
      <c r="F1309" s="193" t="s">
        <v>97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943</v>
      </c>
      <c r="C1310" s="229" t="s">
        <v>44</v>
      </c>
      <c r="D1310" s="51" t="s">
        <v>193</v>
      </c>
      <c r="E1310" s="46">
        <v>3130</v>
      </c>
      <c r="F1310" s="193" t="s">
        <v>193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944</v>
      </c>
      <c r="C1311" s="229" t="s">
        <v>44</v>
      </c>
      <c r="D1311" s="51" t="s">
        <v>193</v>
      </c>
      <c r="E1311" s="46">
        <v>5010</v>
      </c>
      <c r="F1311" s="193" t="s">
        <v>193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945</v>
      </c>
      <c r="C1312" s="229" t="s">
        <v>44</v>
      </c>
      <c r="D1312" s="51" t="s">
        <v>97</v>
      </c>
      <c r="E1312" s="46">
        <v>37950</v>
      </c>
      <c r="F1312" s="193" t="s">
        <v>97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946</v>
      </c>
      <c r="C1313" s="229" t="s">
        <v>44</v>
      </c>
      <c r="D1313" s="51" t="s">
        <v>947</v>
      </c>
      <c r="E1313" s="46">
        <v>17375</v>
      </c>
      <c r="F1313" s="193" t="s">
        <v>947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948</v>
      </c>
      <c r="C1314" s="229" t="s">
        <v>44</v>
      </c>
      <c r="D1314" s="51" t="s">
        <v>226</v>
      </c>
      <c r="E1314" s="46">
        <v>107770</v>
      </c>
      <c r="F1314" s="193" t="s">
        <v>226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949</v>
      </c>
      <c r="C1315" s="229" t="s">
        <v>44</v>
      </c>
      <c r="D1315" s="51" t="s">
        <v>97</v>
      </c>
      <c r="E1315" s="46">
        <v>2670.7666666666669</v>
      </c>
      <c r="F1315" s="193" t="s">
        <v>97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950</v>
      </c>
      <c r="C1316" s="229" t="s">
        <v>44</v>
      </c>
      <c r="D1316" s="51" t="s">
        <v>193</v>
      </c>
      <c r="E1316" s="46">
        <v>21800</v>
      </c>
      <c r="F1316" s="193" t="s">
        <v>193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951</v>
      </c>
      <c r="C1317" s="229" t="s">
        <v>44</v>
      </c>
      <c r="D1317" s="51" t="s">
        <v>857</v>
      </c>
      <c r="E1317" s="46">
        <v>9196.3666666666668</v>
      </c>
      <c r="F1317" s="193" t="s">
        <v>230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952</v>
      </c>
      <c r="C1318" s="229" t="s">
        <v>44</v>
      </c>
      <c r="D1318" s="51" t="s">
        <v>857</v>
      </c>
      <c r="E1318" s="46">
        <v>9275</v>
      </c>
      <c r="F1318" s="193" t="s">
        <v>857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953</v>
      </c>
      <c r="C1319" s="229" t="s">
        <v>44</v>
      </c>
      <c r="D1319" s="51" t="s">
        <v>97</v>
      </c>
      <c r="E1319" s="46">
        <v>46106.7</v>
      </c>
      <c r="F1319" s="193" t="s">
        <v>97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954</v>
      </c>
      <c r="C1320" s="229" t="s">
        <v>44</v>
      </c>
      <c r="D1320" s="51" t="s">
        <v>226</v>
      </c>
      <c r="E1320" s="46">
        <v>38155</v>
      </c>
      <c r="F1320" s="193" t="s">
        <v>226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955</v>
      </c>
      <c r="C1321" s="229" t="s">
        <v>44</v>
      </c>
      <c r="D1321" s="51" t="s">
        <v>857</v>
      </c>
      <c r="E1321" s="46">
        <v>189.5</v>
      </c>
      <c r="F1321" s="193" t="s">
        <v>857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956</v>
      </c>
      <c r="C1322" s="229" t="s">
        <v>44</v>
      </c>
      <c r="D1322" s="51" t="s">
        <v>97</v>
      </c>
      <c r="E1322" s="46">
        <v>13585</v>
      </c>
      <c r="F1322" s="193" t="s">
        <v>97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957</v>
      </c>
      <c r="C1323" s="229" t="s">
        <v>44</v>
      </c>
      <c r="D1323" s="51" t="s">
        <v>958</v>
      </c>
      <c r="E1323" s="46">
        <v>5850</v>
      </c>
      <c r="F1323" s="193" t="s">
        <v>958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959</v>
      </c>
      <c r="C1324" s="229" t="s">
        <v>44</v>
      </c>
      <c r="D1324" s="51" t="s">
        <v>97</v>
      </c>
      <c r="E1324" s="46">
        <v>25650</v>
      </c>
      <c r="F1324" s="193" t="s">
        <v>97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960</v>
      </c>
      <c r="C1325" s="229" t="s">
        <v>44</v>
      </c>
      <c r="D1325" s="51" t="s">
        <v>97</v>
      </c>
      <c r="E1325" s="46">
        <v>2760</v>
      </c>
      <c r="F1325" s="193" t="s">
        <v>97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961</v>
      </c>
      <c r="C1326" s="229" t="s">
        <v>44</v>
      </c>
      <c r="D1326" s="51" t="s">
        <v>97</v>
      </c>
      <c r="E1326" s="46">
        <v>109000</v>
      </c>
      <c r="F1326" s="193" t="s">
        <v>97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962</v>
      </c>
      <c r="C1327" s="229" t="s">
        <v>44</v>
      </c>
      <c r="D1327" s="51" t="s">
        <v>97</v>
      </c>
      <c r="E1327" s="46">
        <v>758.33233532934105</v>
      </c>
      <c r="F1327" s="193" t="s">
        <v>97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963</v>
      </c>
      <c r="C1328" s="229" t="s">
        <v>44</v>
      </c>
      <c r="D1328" s="51" t="s">
        <v>97</v>
      </c>
      <c r="E1328" s="46">
        <v>2233.3000000000002</v>
      </c>
      <c r="F1328" s="193" t="s">
        <v>97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964</v>
      </c>
      <c r="C1329" s="229" t="s">
        <v>44</v>
      </c>
      <c r="D1329" s="51" t="s">
        <v>97</v>
      </c>
      <c r="E1329" s="46">
        <v>17680</v>
      </c>
      <c r="F1329" s="193" t="s">
        <v>97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965</v>
      </c>
      <c r="C1330" s="229" t="s">
        <v>44</v>
      </c>
      <c r="D1330" s="51" t="s">
        <v>97</v>
      </c>
      <c r="E1330" s="46">
        <v>16710</v>
      </c>
      <c r="F1330" s="193" t="s">
        <v>97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966</v>
      </c>
      <c r="C1331" s="229" t="s">
        <v>44</v>
      </c>
      <c r="D1331" s="51" t="s">
        <v>97</v>
      </c>
      <c r="E1331" s="46">
        <v>4120</v>
      </c>
      <c r="F1331" s="193" t="s">
        <v>97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967</v>
      </c>
      <c r="C1332" s="229" t="s">
        <v>44</v>
      </c>
      <c r="D1332" s="51" t="s">
        <v>201</v>
      </c>
      <c r="E1332" s="46">
        <v>45500</v>
      </c>
      <c r="F1332" s="193" t="s">
        <v>201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968</v>
      </c>
      <c r="C1333" s="229" t="s">
        <v>44</v>
      </c>
      <c r="D1333" s="51" t="s">
        <v>201</v>
      </c>
      <c r="E1333" s="46">
        <v>44156.666666666664</v>
      </c>
      <c r="F1333" s="193" t="s">
        <v>201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969</v>
      </c>
      <c r="C1334" s="229" t="s">
        <v>44</v>
      </c>
      <c r="D1334" s="51" t="s">
        <v>201</v>
      </c>
      <c r="E1334" s="46">
        <v>43333.333333333336</v>
      </c>
      <c r="F1334" s="193" t="s">
        <v>201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970</v>
      </c>
      <c r="C1335" s="229" t="s">
        <v>44</v>
      </c>
      <c r="D1335" s="51" t="s">
        <v>97</v>
      </c>
      <c r="E1335" s="46">
        <v>2860</v>
      </c>
      <c r="F1335" s="193" t="s">
        <v>97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971</v>
      </c>
      <c r="C1336" s="229" t="s">
        <v>44</v>
      </c>
      <c r="D1336" s="51" t="s">
        <v>97</v>
      </c>
      <c r="E1336" s="46">
        <v>212420</v>
      </c>
      <c r="F1336" s="193" t="s">
        <v>97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972</v>
      </c>
      <c r="C1337" s="229" t="s">
        <v>44</v>
      </c>
      <c r="D1337" s="90" t="s">
        <v>97</v>
      </c>
      <c r="E1337" s="170">
        <v>245960</v>
      </c>
      <c r="F1337" s="198" t="s">
        <v>97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973</v>
      </c>
      <c r="C1338" s="229" t="s">
        <v>44</v>
      </c>
      <c r="D1338" s="51" t="s">
        <v>97</v>
      </c>
      <c r="E1338" s="46">
        <v>1270000</v>
      </c>
      <c r="F1338" s="193" t="s">
        <v>97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974</v>
      </c>
      <c r="C1339" s="40" t="s">
        <v>826</v>
      </c>
      <c r="D1339" s="51" t="s">
        <v>857</v>
      </c>
      <c r="E1339" s="46">
        <v>1583.1533333333334</v>
      </c>
      <c r="F1339" s="193" t="s">
        <v>857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79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7.25">
      <c r="A1350" s="96" t="s">
        <v>65</v>
      </c>
      <c r="B1350" s="143" t="s">
        <v>81</v>
      </c>
      <c r="C1350" s="106" t="s">
        <v>82</v>
      </c>
      <c r="D1350" s="107" t="s">
        <v>83</v>
      </c>
      <c r="E1350" s="95" t="s">
        <v>84</v>
      </c>
      <c r="F1350" s="202" t="s">
        <v>85</v>
      </c>
      <c r="G1350" s="108" t="s">
        <v>86</v>
      </c>
      <c r="H1350" s="109" t="s">
        <v>87</v>
      </c>
      <c r="I1350" s="109" t="s">
        <v>88</v>
      </c>
      <c r="J1350" s="110" t="s">
        <v>89</v>
      </c>
    </row>
    <row r="1351" spans="1:10">
      <c r="A1351" s="86">
        <v>1</v>
      </c>
      <c r="B1351" s="105" t="s">
        <v>975</v>
      </c>
      <c r="C1351" s="104" t="s">
        <v>976</v>
      </c>
      <c r="D1351" s="100" t="s">
        <v>91</v>
      </c>
      <c r="E1351" s="98"/>
      <c r="F1351" s="203" t="s">
        <v>91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977</v>
      </c>
      <c r="C1352" s="104" t="s">
        <v>976</v>
      </c>
      <c r="D1352" s="97" t="s">
        <v>91</v>
      </c>
      <c r="E1352" s="98"/>
      <c r="F1352" s="204" t="s">
        <v>91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978</v>
      </c>
      <c r="C1353" s="104" t="s">
        <v>976</v>
      </c>
      <c r="D1353" s="97" t="s">
        <v>979</v>
      </c>
      <c r="E1353" s="98"/>
      <c r="F1353" s="204" t="s">
        <v>979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980</v>
      </c>
      <c r="C1354" s="104" t="s">
        <v>976</v>
      </c>
      <c r="D1354" s="100" t="s">
        <v>91</v>
      </c>
      <c r="E1354" s="98"/>
      <c r="F1354" s="203" t="s">
        <v>91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981</v>
      </c>
      <c r="C1355" s="104" t="s">
        <v>976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982</v>
      </c>
      <c r="C1356" s="104" t="s">
        <v>976</v>
      </c>
      <c r="D1356" s="97" t="s">
        <v>91</v>
      </c>
      <c r="E1356" s="98"/>
      <c r="F1356" s="204" t="s">
        <v>91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983</v>
      </c>
      <c r="C1357" s="104" t="s">
        <v>976</v>
      </c>
      <c r="D1357" s="100" t="s">
        <v>91</v>
      </c>
      <c r="E1357" s="98"/>
      <c r="F1357" s="203" t="s">
        <v>91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984</v>
      </c>
      <c r="C1358" s="104" t="s">
        <v>976</v>
      </c>
      <c r="D1358" s="100" t="s">
        <v>92</v>
      </c>
      <c r="E1358" s="98"/>
      <c r="F1358" s="203" t="s">
        <v>92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985</v>
      </c>
      <c r="C1359" s="104" t="s">
        <v>976</v>
      </c>
      <c r="D1359" s="97" t="s">
        <v>986</v>
      </c>
      <c r="E1359" s="98"/>
      <c r="F1359" s="204" t="s">
        <v>986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987</v>
      </c>
      <c r="C1360" s="104" t="s">
        <v>976</v>
      </c>
      <c r="D1360" s="100" t="s">
        <v>979</v>
      </c>
      <c r="E1360" s="98"/>
      <c r="F1360" s="203" t="s">
        <v>979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988</v>
      </c>
      <c r="C1361" s="104" t="s">
        <v>976</v>
      </c>
      <c r="D1361" s="100" t="s">
        <v>91</v>
      </c>
      <c r="E1361" s="98"/>
      <c r="F1361" s="203" t="s">
        <v>91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989</v>
      </c>
      <c r="C1362" s="104" t="s">
        <v>976</v>
      </c>
      <c r="D1362" s="97" t="s">
        <v>979</v>
      </c>
      <c r="E1362" s="98"/>
      <c r="F1362" s="204" t="s">
        <v>979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990</v>
      </c>
      <c r="C1363" s="104" t="s">
        <v>976</v>
      </c>
      <c r="D1363" s="100" t="s">
        <v>92</v>
      </c>
      <c r="E1363" s="98"/>
      <c r="F1363" s="203" t="s">
        <v>92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991</v>
      </c>
      <c r="C1364" s="104" t="s">
        <v>976</v>
      </c>
      <c r="D1364" s="100" t="s">
        <v>91</v>
      </c>
      <c r="E1364" s="98"/>
      <c r="F1364" s="203" t="s">
        <v>91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992</v>
      </c>
      <c r="C1365" s="104" t="s">
        <v>976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993</v>
      </c>
      <c r="C1366" s="104" t="s">
        <v>976</v>
      </c>
      <c r="D1366" s="97" t="s">
        <v>91</v>
      </c>
      <c r="E1366" s="98"/>
      <c r="F1366" s="204" t="s">
        <v>91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994</v>
      </c>
      <c r="C1367" s="104" t="s">
        <v>976</v>
      </c>
      <c r="D1367" s="97" t="s">
        <v>986</v>
      </c>
      <c r="E1367" s="98"/>
      <c r="F1367" s="204" t="s">
        <v>986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995</v>
      </c>
      <c r="C1368" s="104" t="s">
        <v>976</v>
      </c>
      <c r="D1368" s="97" t="s">
        <v>91</v>
      </c>
      <c r="E1368" s="98"/>
      <c r="F1368" s="204" t="s">
        <v>91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996</v>
      </c>
      <c r="C1369" s="104" t="s">
        <v>976</v>
      </c>
      <c r="D1369" s="97" t="s">
        <v>986</v>
      </c>
      <c r="E1369" s="98"/>
      <c r="F1369" s="204" t="s">
        <v>986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997</v>
      </c>
      <c r="C1370" s="104" t="s">
        <v>976</v>
      </c>
      <c r="D1370" s="97" t="s">
        <v>819</v>
      </c>
      <c r="E1370" s="98"/>
      <c r="F1370" s="204" t="s">
        <v>819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998</v>
      </c>
      <c r="C1371" s="104" t="s">
        <v>976</v>
      </c>
      <c r="D1371" s="97" t="s">
        <v>986</v>
      </c>
      <c r="E1371" s="98"/>
      <c r="F1371" s="204" t="s">
        <v>986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999</v>
      </c>
      <c r="C1372" s="104" t="s">
        <v>976</v>
      </c>
      <c r="D1372" s="97" t="s">
        <v>92</v>
      </c>
      <c r="E1372" s="98"/>
      <c r="F1372" s="204" t="s">
        <v>92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1000</v>
      </c>
      <c r="C1373" s="104" t="s">
        <v>976</v>
      </c>
      <c r="D1373" s="97" t="s">
        <v>819</v>
      </c>
      <c r="E1373" s="98"/>
      <c r="F1373" s="204" t="s">
        <v>819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1001</v>
      </c>
      <c r="C1374" s="104" t="s">
        <v>976</v>
      </c>
      <c r="D1374" s="100" t="s">
        <v>986</v>
      </c>
      <c r="E1374" s="98"/>
      <c r="F1374" s="203" t="s">
        <v>986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1002</v>
      </c>
      <c r="C1375" s="104" t="s">
        <v>976</v>
      </c>
      <c r="D1375" s="100" t="s">
        <v>986</v>
      </c>
      <c r="E1375" s="98"/>
      <c r="F1375" s="203" t="s">
        <v>986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1003</v>
      </c>
      <c r="C1376" s="104" t="s">
        <v>976</v>
      </c>
      <c r="D1376" s="97" t="s">
        <v>986</v>
      </c>
      <c r="E1376" s="98"/>
      <c r="F1376" s="204" t="s">
        <v>986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1004</v>
      </c>
      <c r="C1377" s="104" t="s">
        <v>976</v>
      </c>
      <c r="D1377" s="97" t="s">
        <v>986</v>
      </c>
      <c r="E1377" s="98"/>
      <c r="F1377" s="204" t="s">
        <v>986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1005</v>
      </c>
      <c r="C1378" s="104" t="s">
        <v>976</v>
      </c>
      <c r="D1378" s="100" t="s">
        <v>986</v>
      </c>
      <c r="E1378" s="98"/>
      <c r="F1378" s="203" t="s">
        <v>986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1006</v>
      </c>
      <c r="C1379" s="104" t="s">
        <v>976</v>
      </c>
      <c r="D1379" s="97" t="s">
        <v>819</v>
      </c>
      <c r="E1379" s="98"/>
      <c r="F1379" s="204" t="s">
        <v>819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1007</v>
      </c>
      <c r="C1380" s="104" t="s">
        <v>976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1008</v>
      </c>
      <c r="C1381" s="104" t="s">
        <v>976</v>
      </c>
      <c r="D1381" s="97" t="s">
        <v>91</v>
      </c>
      <c r="E1381" s="98"/>
      <c r="F1381" s="204" t="s">
        <v>91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1009</v>
      </c>
      <c r="C1382" s="104" t="s">
        <v>976</v>
      </c>
      <c r="D1382" s="97" t="s">
        <v>979</v>
      </c>
      <c r="E1382" s="98"/>
      <c r="F1382" s="204" t="s">
        <v>979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1010</v>
      </c>
      <c r="C1383" s="104" t="s">
        <v>976</v>
      </c>
      <c r="D1383" s="100" t="s">
        <v>91</v>
      </c>
      <c r="E1383" s="98"/>
      <c r="F1383" s="203" t="s">
        <v>91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1011</v>
      </c>
      <c r="C1384" s="104" t="s">
        <v>976</v>
      </c>
      <c r="D1384" s="97" t="s">
        <v>92</v>
      </c>
      <c r="E1384" s="98"/>
      <c r="F1384" s="204" t="s">
        <v>92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1012</v>
      </c>
      <c r="C1385" s="104" t="s">
        <v>976</v>
      </c>
      <c r="D1385" s="100" t="s">
        <v>91</v>
      </c>
      <c r="E1385" s="98"/>
      <c r="F1385" s="203" t="s">
        <v>91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1013</v>
      </c>
      <c r="C1386" s="104" t="s">
        <v>976</v>
      </c>
      <c r="D1386" s="100" t="s">
        <v>986</v>
      </c>
      <c r="E1386" s="98"/>
      <c r="F1386" s="203" t="s">
        <v>986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1014</v>
      </c>
      <c r="C1387" s="104" t="s">
        <v>976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1015</v>
      </c>
      <c r="C1388" s="104" t="s">
        <v>976</v>
      </c>
      <c r="D1388" s="97" t="s">
        <v>91</v>
      </c>
      <c r="E1388" s="98"/>
      <c r="F1388" s="204" t="s">
        <v>91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1016</v>
      </c>
      <c r="C1389" s="104" t="s">
        <v>976</v>
      </c>
      <c r="D1389" s="97" t="s">
        <v>92</v>
      </c>
      <c r="E1389" s="98"/>
      <c r="F1389" s="204" t="s">
        <v>92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1017</v>
      </c>
      <c r="C1390" s="104" t="s">
        <v>976</v>
      </c>
      <c r="D1390" s="100" t="s">
        <v>986</v>
      </c>
      <c r="E1390" s="98"/>
      <c r="F1390" s="203" t="s">
        <v>986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1018</v>
      </c>
      <c r="C1391" s="104" t="s">
        <v>976</v>
      </c>
      <c r="D1391" s="100" t="s">
        <v>819</v>
      </c>
      <c r="E1391" s="98"/>
      <c r="F1391" s="203" t="s">
        <v>819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1019</v>
      </c>
      <c r="C1392" s="104" t="s">
        <v>976</v>
      </c>
      <c r="D1392" s="100" t="s">
        <v>1020</v>
      </c>
      <c r="E1392" s="98"/>
      <c r="F1392" s="203" t="s">
        <v>1020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1021</v>
      </c>
      <c r="C1393" s="104" t="s">
        <v>976</v>
      </c>
      <c r="D1393" s="97" t="s">
        <v>91</v>
      </c>
      <c r="E1393" s="98"/>
      <c r="F1393" s="204" t="s">
        <v>91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1022</v>
      </c>
      <c r="C1394" s="104" t="s">
        <v>976</v>
      </c>
      <c r="D1394" s="100" t="s">
        <v>819</v>
      </c>
      <c r="E1394" s="98"/>
      <c r="F1394" s="203" t="s">
        <v>819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1023</v>
      </c>
      <c r="C1395" s="104" t="s">
        <v>976</v>
      </c>
      <c r="D1395" s="97" t="s">
        <v>819</v>
      </c>
      <c r="E1395" s="98"/>
      <c r="F1395" s="204" t="s">
        <v>819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1024</v>
      </c>
      <c r="C1396" s="104" t="s">
        <v>976</v>
      </c>
      <c r="D1396" s="100" t="s">
        <v>92</v>
      </c>
      <c r="E1396" s="98"/>
      <c r="F1396" s="203" t="s">
        <v>92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1025</v>
      </c>
      <c r="C1397" s="104" t="s">
        <v>976</v>
      </c>
      <c r="D1397" s="97" t="s">
        <v>91</v>
      </c>
      <c r="E1397" s="98"/>
      <c r="F1397" s="204" t="s">
        <v>91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1026</v>
      </c>
      <c r="C1398" s="104" t="s">
        <v>976</v>
      </c>
      <c r="D1398" s="97" t="s">
        <v>809</v>
      </c>
      <c r="E1398" s="166">
        <v>205766.7</v>
      </c>
      <c r="F1398" s="204" t="s">
        <v>809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1027</v>
      </c>
      <c r="C1399" s="104" t="s">
        <v>976</v>
      </c>
      <c r="D1399" s="97" t="s">
        <v>819</v>
      </c>
      <c r="E1399" s="98"/>
      <c r="F1399" s="204" t="s">
        <v>819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1028</v>
      </c>
      <c r="C1400" s="104" t="s">
        <v>976</v>
      </c>
      <c r="D1400" s="100" t="s">
        <v>91</v>
      </c>
      <c r="E1400" s="98"/>
      <c r="F1400" s="203" t="s">
        <v>91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1029</v>
      </c>
      <c r="C1401" s="104" t="s">
        <v>976</v>
      </c>
      <c r="D1401" s="97" t="s">
        <v>986</v>
      </c>
      <c r="E1401" s="98"/>
      <c r="F1401" s="204" t="s">
        <v>986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1030</v>
      </c>
      <c r="C1402" s="104" t="s">
        <v>976</v>
      </c>
      <c r="D1402" s="100" t="s">
        <v>986</v>
      </c>
      <c r="E1402" s="98"/>
      <c r="F1402" s="203" t="s">
        <v>986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1031</v>
      </c>
      <c r="C1403" s="104" t="s">
        <v>976</v>
      </c>
      <c r="D1403" s="97" t="s">
        <v>986</v>
      </c>
      <c r="E1403" s="98"/>
      <c r="F1403" s="204" t="s">
        <v>986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1032</v>
      </c>
      <c r="C1404" s="104" t="s">
        <v>976</v>
      </c>
      <c r="D1404" s="97" t="s">
        <v>91</v>
      </c>
      <c r="E1404" s="98"/>
      <c r="F1404" s="204" t="s">
        <v>91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1033</v>
      </c>
      <c r="C1405" s="104" t="s">
        <v>976</v>
      </c>
      <c r="D1405" s="97" t="s">
        <v>986</v>
      </c>
      <c r="E1405" s="98"/>
      <c r="F1405" s="204" t="s">
        <v>986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1034</v>
      </c>
      <c r="C1406" s="104" t="s">
        <v>976</v>
      </c>
      <c r="D1406" s="97" t="s">
        <v>91</v>
      </c>
      <c r="E1406" s="98"/>
      <c r="F1406" s="204" t="s">
        <v>91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1035</v>
      </c>
      <c r="C1407" s="104" t="s">
        <v>976</v>
      </c>
      <c r="D1407" s="100" t="s">
        <v>986</v>
      </c>
      <c r="E1407" s="98"/>
      <c r="F1407" s="203" t="s">
        <v>986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1036</v>
      </c>
      <c r="C1408" s="104" t="s">
        <v>976</v>
      </c>
      <c r="D1408" s="100" t="s">
        <v>92</v>
      </c>
      <c r="E1408" s="98"/>
      <c r="F1408" s="203" t="s">
        <v>92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1037</v>
      </c>
      <c r="C1409" s="104" t="s">
        <v>976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1038</v>
      </c>
      <c r="C1410" s="104" t="s">
        <v>976</v>
      </c>
      <c r="D1410" s="100" t="s">
        <v>91</v>
      </c>
      <c r="E1410" s="98"/>
      <c r="F1410" s="203" t="s">
        <v>91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1039</v>
      </c>
      <c r="C1411" s="104" t="s">
        <v>976</v>
      </c>
      <c r="D1411" s="100" t="s">
        <v>92</v>
      </c>
      <c r="E1411" s="98"/>
      <c r="F1411" s="203" t="s">
        <v>92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1040</v>
      </c>
      <c r="C1412" s="104" t="s">
        <v>976</v>
      </c>
      <c r="D1412" s="97" t="s">
        <v>91</v>
      </c>
      <c r="E1412" s="98"/>
      <c r="F1412" s="204" t="s">
        <v>91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1041</v>
      </c>
      <c r="C1413" s="104" t="s">
        <v>976</v>
      </c>
      <c r="D1413" s="97" t="s">
        <v>979</v>
      </c>
      <c r="E1413" s="98"/>
      <c r="F1413" s="204" t="s">
        <v>979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1042</v>
      </c>
      <c r="C1414" s="104" t="s">
        <v>976</v>
      </c>
      <c r="D1414" s="97" t="s">
        <v>979</v>
      </c>
      <c r="E1414" s="98"/>
      <c r="F1414" s="204" t="s">
        <v>979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1043</v>
      </c>
      <c r="C1415" s="104" t="s">
        <v>976</v>
      </c>
      <c r="D1415" s="100" t="s">
        <v>986</v>
      </c>
      <c r="E1415" s="98"/>
      <c r="F1415" s="203" t="s">
        <v>986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1044</v>
      </c>
      <c r="C1416" s="104" t="s">
        <v>976</v>
      </c>
      <c r="D1416" s="100" t="s">
        <v>91</v>
      </c>
      <c r="E1416" s="98"/>
      <c r="F1416" s="203" t="s">
        <v>91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1045</v>
      </c>
      <c r="C1417" s="104" t="s">
        <v>976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1046</v>
      </c>
      <c r="C1418" s="104" t="s">
        <v>976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1047</v>
      </c>
      <c r="C1419" s="104" t="s">
        <v>976</v>
      </c>
      <c r="D1419" s="100" t="s">
        <v>92</v>
      </c>
      <c r="E1419" s="98"/>
      <c r="F1419" s="203" t="s">
        <v>92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1048</v>
      </c>
      <c r="C1420" s="104" t="s">
        <v>976</v>
      </c>
      <c r="D1420" s="97" t="s">
        <v>92</v>
      </c>
      <c r="E1420" s="98"/>
      <c r="F1420" s="204" t="s">
        <v>92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1049</v>
      </c>
      <c r="C1421" s="104" t="s">
        <v>976</v>
      </c>
      <c r="D1421" s="100" t="s">
        <v>92</v>
      </c>
      <c r="E1421" s="98"/>
      <c r="F1421" s="203" t="s">
        <v>92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1050</v>
      </c>
      <c r="C1422" s="104" t="s">
        <v>976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1051</v>
      </c>
      <c r="C1423" s="104" t="s">
        <v>976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1052</v>
      </c>
      <c r="C1424" s="104" t="s">
        <v>976</v>
      </c>
      <c r="D1424" s="97" t="s">
        <v>92</v>
      </c>
      <c r="E1424" s="98"/>
      <c r="F1424" s="204" t="s">
        <v>92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1053</v>
      </c>
      <c r="C1425" s="104" t="s">
        <v>976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1054</v>
      </c>
      <c r="C1426" s="104" t="s">
        <v>976</v>
      </c>
      <c r="D1426" s="100" t="s">
        <v>92</v>
      </c>
      <c r="E1426" s="98"/>
      <c r="F1426" s="203" t="s">
        <v>92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1055</v>
      </c>
      <c r="C1427" s="104" t="s">
        <v>976</v>
      </c>
      <c r="D1427" s="100" t="s">
        <v>91</v>
      </c>
      <c r="E1427" s="98"/>
      <c r="F1427" s="203" t="s">
        <v>91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1056</v>
      </c>
      <c r="C1428" s="104" t="s">
        <v>976</v>
      </c>
      <c r="D1428" s="100" t="s">
        <v>92</v>
      </c>
      <c r="E1428" s="98"/>
      <c r="F1428" s="203" t="s">
        <v>92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1057</v>
      </c>
      <c r="C1429" s="104" t="s">
        <v>976</v>
      </c>
      <c r="D1429" s="100" t="s">
        <v>92</v>
      </c>
      <c r="E1429" s="98"/>
      <c r="F1429" s="203" t="s">
        <v>92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1058</v>
      </c>
      <c r="C1430" s="104" t="s">
        <v>976</v>
      </c>
      <c r="D1430" s="97" t="s">
        <v>92</v>
      </c>
      <c r="E1430" s="98"/>
      <c r="F1430" s="204" t="s">
        <v>92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1059</v>
      </c>
      <c r="C1431" s="104" t="s">
        <v>976</v>
      </c>
      <c r="D1431" s="100" t="s">
        <v>986</v>
      </c>
      <c r="E1431" s="98"/>
      <c r="F1431" s="203" t="s">
        <v>986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1060</v>
      </c>
      <c r="C1432" s="104" t="s">
        <v>976</v>
      </c>
      <c r="D1432" s="100" t="s">
        <v>92</v>
      </c>
      <c r="E1432" s="98"/>
      <c r="F1432" s="203" t="s">
        <v>92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1061</v>
      </c>
      <c r="C1433" s="104" t="s">
        <v>976</v>
      </c>
      <c r="D1433" s="97" t="s">
        <v>986</v>
      </c>
      <c r="E1433" s="98"/>
      <c r="F1433" s="204" t="s">
        <v>986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1062</v>
      </c>
      <c r="C1434" s="104" t="s">
        <v>976</v>
      </c>
      <c r="D1434" s="100" t="s">
        <v>986</v>
      </c>
      <c r="E1434" s="98"/>
      <c r="F1434" s="203" t="s">
        <v>986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1063</v>
      </c>
      <c r="C1435" s="104" t="s">
        <v>976</v>
      </c>
      <c r="D1435" s="100" t="s">
        <v>986</v>
      </c>
      <c r="E1435" s="98"/>
      <c r="F1435" s="203" t="s">
        <v>986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1064</v>
      </c>
      <c r="C1436" s="104" t="s">
        <v>976</v>
      </c>
      <c r="D1436" s="97" t="s">
        <v>92</v>
      </c>
      <c r="E1436" s="98"/>
      <c r="F1436" s="204" t="s">
        <v>92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20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2" t="s">
        <v>27</v>
      </c>
    </row>
    <row r="3" spans="1:13" outlineLevel="1">
      <c r="A3" s="3" t="s">
        <v>1076</v>
      </c>
      <c r="B3" s="5" t="s">
        <v>201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2" t="s">
        <v>33</v>
      </c>
    </row>
    <row r="4" spans="1:13" ht="30" outlineLevel="1">
      <c r="A4" s="2" t="s">
        <v>1081</v>
      </c>
      <c r="B4" s="5" t="s">
        <v>257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2" t="s">
        <v>36</v>
      </c>
    </row>
    <row r="5" spans="1:13" ht="30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799</v>
      </c>
    </row>
    <row r="6" spans="1:13" outlineLevel="1">
      <c r="A6" s="2" t="s">
        <v>276</v>
      </c>
      <c r="B6" s="5" t="s">
        <v>276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826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222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46</v>
      </c>
    </row>
    <row r="9" spans="1:13" outlineLevel="1">
      <c r="A9" s="2" t="s">
        <v>1105</v>
      </c>
      <c r="B9" s="5" t="s">
        <v>958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48</v>
      </c>
    </row>
    <row r="10" spans="1:13" outlineLevel="1">
      <c r="A10" s="2" t="s">
        <v>1109</v>
      </c>
      <c r="B10" s="5" t="s">
        <v>91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107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44</v>
      </c>
    </row>
    <row r="12" spans="1:13" outlineLevel="1">
      <c r="A12" s="3" t="s">
        <v>1118</v>
      </c>
      <c r="B12" s="5" t="s">
        <v>819</v>
      </c>
      <c r="F12" s="3"/>
      <c r="H12" s="30" t="s">
        <v>1119</v>
      </c>
      <c r="I12" s="31">
        <v>32184975</v>
      </c>
      <c r="M12" s="247" t="s">
        <v>976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986</v>
      </c>
      <c r="H14" s="27" t="s">
        <v>1123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224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979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227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92</v>
      </c>
      <c r="H21" s="24" t="s">
        <v>1139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193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159</v>
      </c>
      <c r="H24" s="24" t="s">
        <v>1144</v>
      </c>
      <c r="I24" s="25">
        <v>1128404319</v>
      </c>
    </row>
    <row r="25" spans="1:9" outlineLevel="1">
      <c r="A25" s="4" t="s">
        <v>857</v>
      </c>
      <c r="B25" s="5" t="s">
        <v>857</v>
      </c>
      <c r="H25" s="27" t="s">
        <v>1145</v>
      </c>
      <c r="I25" s="23">
        <v>1037584367</v>
      </c>
    </row>
    <row r="26" spans="1:9" outlineLevel="1">
      <c r="A26" t="s">
        <v>947</v>
      </c>
      <c r="B26" s="5" t="s">
        <v>947</v>
      </c>
      <c r="H26" s="28" t="s">
        <v>1146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97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2023-06-07T12:35:17Z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