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hinos\cinturon gym 002\"/>
    </mc:Choice>
  </mc:AlternateContent>
  <xr:revisionPtr revIDLastSave="0" documentId="13_ncr:1_{32D1BFF6-DFB1-409D-89B9-1FE3BF4E8D53}" xr6:coauthVersionLast="47" xr6:coauthVersionMax="47" xr10:uidLastSave="{00000000-0000-0000-0000-000000000000}"/>
  <bookViews>
    <workbookView xWindow="360" yWindow="192" windowWidth="12384" windowHeight="11172" activeTab="1" xr2:uid="{17517EC8-3DE0-4696-961A-37EE2759AFFE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3" i="2" l="1"/>
  <c r="I10" i="2"/>
  <c r="C12" i="2"/>
  <c r="E15" i="2" l="1"/>
  <c r="E16" i="2"/>
  <c r="E17" i="2"/>
  <c r="E18" i="2"/>
  <c r="E19" i="2"/>
  <c r="E20" i="2"/>
  <c r="E21" i="2"/>
  <c r="E22" i="2"/>
  <c r="E23" i="2"/>
  <c r="E24" i="2"/>
  <c r="E26" i="2"/>
  <c r="E27" i="2"/>
  <c r="E28" i="2"/>
  <c r="D13" i="2"/>
  <c r="D12" i="2"/>
  <c r="G64" i="1"/>
  <c r="H64" i="1" s="1"/>
  <c r="J64" i="1" s="1"/>
  <c r="G65" i="1"/>
  <c r="H65" i="1" s="1"/>
  <c r="J65" i="1" s="1"/>
  <c r="D19" i="2"/>
  <c r="D17" i="2"/>
  <c r="D15" i="2"/>
  <c r="D14" i="2"/>
  <c r="D10" i="2"/>
  <c r="D9" i="2"/>
  <c r="D18" i="2"/>
  <c r="D20" i="2"/>
  <c r="D21" i="2"/>
  <c r="D22" i="2"/>
  <c r="H17" i="2"/>
  <c r="H18" i="2"/>
  <c r="H19" i="2"/>
  <c r="H20" i="2"/>
  <c r="H21" i="2"/>
  <c r="H22" i="2"/>
  <c r="H23" i="2"/>
  <c r="H24" i="2"/>
  <c r="A14" i="2"/>
  <c r="A13" i="2"/>
  <c r="H62" i="1"/>
  <c r="J62" i="1" s="1"/>
  <c r="G57" i="1"/>
  <c r="H57" i="1" s="1"/>
  <c r="J57" i="1" s="1"/>
  <c r="G58" i="1"/>
  <c r="H58" i="1" s="1"/>
  <c r="J58" i="1" s="1"/>
  <c r="G59" i="1"/>
  <c r="H59" i="1" s="1"/>
  <c r="J59" i="1" s="1"/>
  <c r="G60" i="1"/>
  <c r="H60" i="1" s="1"/>
  <c r="J60" i="1" s="1"/>
  <c r="G61" i="1"/>
  <c r="H61" i="1" s="1"/>
  <c r="J61" i="1" s="1"/>
  <c r="G62" i="1"/>
  <c r="G63" i="1"/>
  <c r="H63" i="1" s="1"/>
  <c r="J63" i="1" s="1"/>
  <c r="G56" i="1"/>
  <c r="H56" i="1" s="1"/>
  <c r="J56" i="1" s="1"/>
  <c r="G42" i="1"/>
  <c r="I42" i="1" s="1"/>
  <c r="G43" i="1"/>
  <c r="I43" i="1" s="1"/>
  <c r="G44" i="1"/>
  <c r="I44" i="1" s="1"/>
  <c r="G45" i="1"/>
  <c r="I45" i="1" s="1"/>
  <c r="G46" i="1"/>
  <c r="I46" i="1" s="1"/>
  <c r="G47" i="1"/>
  <c r="I47" i="1" s="1"/>
  <c r="G48" i="1"/>
  <c r="I48" i="1" s="1"/>
  <c r="G49" i="1"/>
  <c r="I49" i="1" s="1"/>
  <c r="G50" i="1"/>
  <c r="I50" i="1" s="1"/>
  <c r="G51" i="1"/>
  <c r="I51" i="1" s="1"/>
  <c r="G41" i="1"/>
  <c r="G32" i="1"/>
  <c r="H32" i="1" s="1"/>
  <c r="J32" i="1" s="1"/>
  <c r="G33" i="1"/>
  <c r="H33" i="1" s="1"/>
  <c r="J33" i="1" s="1"/>
  <c r="G34" i="1"/>
  <c r="H34" i="1" s="1"/>
  <c r="J34" i="1" s="1"/>
  <c r="G35" i="1"/>
  <c r="H35" i="1" s="1"/>
  <c r="J35" i="1" s="1"/>
  <c r="G36" i="1"/>
  <c r="H36" i="1" s="1"/>
  <c r="J36" i="1" s="1"/>
  <c r="G19" i="1"/>
  <c r="H19" i="1" s="1"/>
  <c r="J19" i="1" s="1"/>
  <c r="G81" i="1"/>
  <c r="I81" i="1" s="1"/>
  <c r="G79" i="1"/>
  <c r="I79" i="1" s="1"/>
  <c r="G78" i="1"/>
  <c r="I78" i="1" s="1"/>
  <c r="G77" i="1"/>
  <c r="I77" i="1" s="1"/>
  <c r="G71" i="1"/>
  <c r="I71" i="1" s="1"/>
  <c r="G70" i="1"/>
  <c r="I70" i="1" s="1"/>
  <c r="G69" i="1"/>
  <c r="I69" i="1" s="1"/>
  <c r="G18" i="1"/>
  <c r="H18" i="1" s="1"/>
  <c r="J18" i="1" s="1"/>
  <c r="G17" i="1"/>
  <c r="H17" i="1" s="1"/>
  <c r="J17" i="1" s="1"/>
  <c r="G16" i="1"/>
  <c r="H16" i="1" s="1"/>
  <c r="J16" i="1" s="1"/>
  <c r="G15" i="1"/>
  <c r="H15" i="1" s="1"/>
  <c r="J15" i="1" s="1"/>
  <c r="G14" i="1"/>
  <c r="H14" i="1" s="1"/>
  <c r="J14" i="1" s="1"/>
  <c r="I83" i="1" l="1"/>
  <c r="C14" i="2" s="1"/>
  <c r="E14" i="2" s="1"/>
  <c r="I74" i="1"/>
  <c r="E13" i="2" s="1"/>
  <c r="F2" i="2" l="1"/>
  <c r="F3" i="2"/>
  <c r="F4" i="2"/>
  <c r="F5" i="2"/>
  <c r="F1" i="2"/>
  <c r="A12" i="2"/>
  <c r="E28" i="1"/>
  <c r="G25" i="1"/>
  <c r="H25" i="1" s="1"/>
  <c r="J25" i="1" s="1"/>
  <c r="J66" i="1" l="1"/>
  <c r="H28" i="2"/>
  <c r="D26" i="2"/>
  <c r="D25" i="2"/>
  <c r="D16" i="2"/>
  <c r="D11" i="2"/>
  <c r="I9" i="2"/>
  <c r="H12" i="2"/>
  <c r="H13" i="2"/>
  <c r="H14" i="2"/>
  <c r="H15" i="2"/>
  <c r="H16" i="2"/>
  <c r="H25" i="2"/>
  <c r="H26" i="2"/>
  <c r="H27" i="2"/>
  <c r="F28" i="1"/>
  <c r="A11" i="2"/>
  <c r="H11" i="2" s="1"/>
  <c r="G37" i="1"/>
  <c r="H37" i="1" s="1"/>
  <c r="J37" i="1" s="1"/>
  <c r="A10" i="2"/>
  <c r="H10" i="2" s="1"/>
  <c r="A9" i="2"/>
  <c r="H9" i="2" s="1"/>
  <c r="G31" i="1"/>
  <c r="H31" i="1" s="1"/>
  <c r="J31" i="1" s="1"/>
  <c r="G22" i="1"/>
  <c r="H22" i="1" s="1"/>
  <c r="J22" i="1" s="1"/>
  <c r="G23" i="1"/>
  <c r="H23" i="1" s="1"/>
  <c r="J23" i="1" s="1"/>
  <c r="G24" i="1"/>
  <c r="H24" i="1" s="1"/>
  <c r="J24" i="1" s="1"/>
  <c r="G26" i="1"/>
  <c r="H26" i="1" s="1"/>
  <c r="J26" i="1" s="1"/>
  <c r="G12" i="1"/>
  <c r="H12" i="1" s="1"/>
  <c r="J12" i="1" s="1"/>
  <c r="G11" i="1"/>
  <c r="H11" i="1" s="1"/>
  <c r="J11" i="1" s="1"/>
  <c r="G10" i="1"/>
  <c r="H10" i="1" s="1"/>
  <c r="J10" i="1" s="1"/>
  <c r="G13" i="1"/>
  <c r="H13" i="1" s="1"/>
  <c r="J13" i="1" s="1"/>
  <c r="G20" i="1"/>
  <c r="H20" i="1" s="1"/>
  <c r="J20" i="1" s="1"/>
  <c r="G21" i="1"/>
  <c r="H21" i="1" s="1"/>
  <c r="J21" i="1" s="1"/>
  <c r="G9" i="1"/>
  <c r="H9" i="1" s="1"/>
  <c r="J9" i="1" s="1"/>
  <c r="E12" i="2" l="1"/>
  <c r="J27" i="1"/>
  <c r="C9" i="2" s="1"/>
  <c r="E9" i="2" s="1"/>
  <c r="G28" i="1"/>
  <c r="H28" i="1" s="1"/>
  <c r="C25" i="2" s="1"/>
  <c r="E25" i="2" s="1"/>
  <c r="I41" i="1"/>
  <c r="J38" i="1"/>
  <c r="C10" i="2" s="1"/>
  <c r="E10" i="2" s="1"/>
  <c r="I53" i="1" l="1"/>
  <c r="C11" i="2" s="1"/>
  <c r="E11" i="2" s="1"/>
  <c r="E29" i="2" s="1"/>
  <c r="E30" i="2" s="1"/>
  <c r="E31" i="2" l="1"/>
  <c r="E32" i="2"/>
  <c r="E33" i="2" l="1"/>
</calcChain>
</file>

<file path=xl/sharedStrings.xml><?xml version="1.0" encoding="utf-8"?>
<sst xmlns="http://schemas.openxmlformats.org/spreadsheetml/2006/main" count="158" uniqueCount="77">
  <si>
    <t>Fecha:</t>
  </si>
  <si>
    <t>Tipo:</t>
  </si>
  <si>
    <t>Referencia:</t>
  </si>
  <si>
    <t>material</t>
  </si>
  <si>
    <t>numero del molde</t>
  </si>
  <si>
    <t>nombre del molde</t>
  </si>
  <si>
    <t>alto</t>
  </si>
  <si>
    <t>ancho</t>
  </si>
  <si>
    <t>dm_2</t>
  </si>
  <si>
    <t>% desperdicio</t>
  </si>
  <si>
    <t>Total</t>
  </si>
  <si>
    <t>cantidad</t>
  </si>
  <si>
    <t>alto x ancho = cm_2</t>
  </si>
  <si>
    <t>0 a 1.5</t>
  </si>
  <si>
    <t>1.51 a 3</t>
  </si>
  <si>
    <t>3.01 a 5</t>
  </si>
  <si>
    <t>mas de 5</t>
  </si>
  <si>
    <t>tiras de mas de 80 cm</t>
  </si>
  <si>
    <t>atlo x ancho=cm_2</t>
  </si>
  <si>
    <t>Maribel Gil
modelista</t>
  </si>
  <si>
    <t>cliente</t>
  </si>
  <si>
    <t>numero de ficha</t>
  </si>
  <si>
    <t>MATERIAL</t>
  </si>
  <si>
    <t>UNIDAD DE MEDIDA</t>
  </si>
  <si>
    <t>CANTIDAD</t>
  </si>
  <si>
    <t>VALOR UNITARIO</t>
  </si>
  <si>
    <t>cm</t>
  </si>
  <si>
    <t>total cuero en dm_2</t>
  </si>
  <si>
    <t>unid</t>
  </si>
  <si>
    <t>mano de obra</t>
  </si>
  <si>
    <t>metros</t>
  </si>
  <si>
    <t>gramos</t>
  </si>
  <si>
    <t>unidad de medida compra</t>
  </si>
  <si>
    <t>valor</t>
  </si>
  <si>
    <t>metro</t>
  </si>
  <si>
    <t>unidad</t>
  </si>
  <si>
    <t>cono</t>
  </si>
  <si>
    <t>galon</t>
  </si>
  <si>
    <t>pegante x 3000</t>
  </si>
  <si>
    <t>VALOR TOTAL $</t>
  </si>
  <si>
    <t>inversión</t>
  </si>
  <si>
    <t>costos fijos</t>
  </si>
  <si>
    <t>costos variables e indirectos</t>
  </si>
  <si>
    <t>empaque</t>
  </si>
  <si>
    <t>ganancia</t>
  </si>
  <si>
    <t>costo sugerido de venta</t>
  </si>
  <si>
    <t>punto de equilibrio</t>
  </si>
  <si>
    <t>minimo de productos que tengo que vender para cumplir con todas las obligaciones sin obtener ganancia</t>
  </si>
  <si>
    <t>tipo de maquina</t>
  </si>
  <si>
    <t xml:space="preserve">tipo de aguja </t>
  </si>
  <si>
    <t>numero de aguja</t>
  </si>
  <si>
    <t>calibre hilo</t>
  </si>
  <si>
    <t>color hilo</t>
  </si>
  <si>
    <t>corte</t>
  </si>
  <si>
    <t xml:space="preserve">armado </t>
  </si>
  <si>
    <t>costura</t>
  </si>
  <si>
    <t>prearme</t>
  </si>
  <si>
    <t>cortante</t>
  </si>
  <si>
    <t>perimetros para consumo de hilo en cm</t>
  </si>
  <si>
    <t>total FORRO en cm_2</t>
  </si>
  <si>
    <t>PENDIENTE FOTO</t>
  </si>
  <si>
    <t>hilo x 1500</t>
  </si>
  <si>
    <t>poste</t>
  </si>
  <si>
    <t>SENA</t>
  </si>
  <si>
    <t>celda de produccion</t>
  </si>
  <si>
    <t>cuero</t>
  </si>
  <si>
    <t>tira</t>
  </si>
  <si>
    <t>pasador</t>
  </si>
  <si>
    <t>forro cerdo</t>
  </si>
  <si>
    <t>salpa 0.8</t>
  </si>
  <si>
    <t>remache tubular #12</t>
  </si>
  <si>
    <t>cinturon Gym talla S</t>
  </si>
  <si>
    <t>faja</t>
  </si>
  <si>
    <t>hebilla coscoja doble hebijon de 1 1/2''</t>
  </si>
  <si>
    <t>beige</t>
  </si>
  <si>
    <t>yumbolon #10</t>
  </si>
  <si>
    <t>acolchado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</si>
</sst>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Kunstler Script"/>
      <family val="4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Border="1"/>
    <xf numFmtId="0" fontId="0" fillId="0" borderId="5" xfId="0" applyBorder="1"/>
    <xf numFmtId="2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Border="1" applyAlignment="1"/>
    <xf numFmtId="0" fontId="0" fillId="0" borderId="0" xfId="0" applyFill="1" applyBorder="1" applyAlignment="1">
      <alignment wrapText="1"/>
    </xf>
    <xf numFmtId="0" fontId="0" fillId="0" borderId="0" xfId="0" applyFill="1" applyBorder="1"/>
    <xf numFmtId="2" fontId="0" fillId="0" borderId="15" xfId="0" applyNumberFormat="1" applyBorder="1"/>
    <xf numFmtId="0" fontId="0" fillId="3" borderId="5" xfId="0" applyFill="1" applyBorder="1" applyAlignment="1">
      <alignment wrapText="1"/>
    </xf>
    <xf numFmtId="2" fontId="1" fillId="4" borderId="1" xfId="0" applyNumberFormat="1" applyFont="1" applyFill="1" applyBorder="1"/>
    <xf numFmtId="0" fontId="0" fillId="0" borderId="15" xfId="0" applyBorder="1"/>
    <xf numFmtId="0" fontId="0" fillId="5" borderId="5" xfId="0" applyFill="1" applyBorder="1" applyAlignment="1"/>
    <xf numFmtId="0" fontId="0" fillId="2" borderId="0" xfId="0" applyFill="1" applyAlignment="1">
      <alignment horizontal="center"/>
    </xf>
    <xf numFmtId="2" fontId="1" fillId="0" borderId="0" xfId="0" applyNumberFormat="1" applyFont="1" applyFill="1" applyBorder="1"/>
    <xf numFmtId="0" fontId="0" fillId="0" borderId="0" xfId="0" applyAlignment="1">
      <alignment horizontal="center" vertical="center"/>
    </xf>
    <xf numFmtId="1" fontId="0" fillId="0" borderId="5" xfId="0" applyNumberFormat="1" applyBorder="1"/>
    <xf numFmtId="0" fontId="1" fillId="3" borderId="5" xfId="0" applyFont="1" applyFill="1" applyBorder="1" applyAlignment="1">
      <alignment horizontal="center" vertical="center" wrapText="1"/>
    </xf>
    <xf numFmtId="9" fontId="0" fillId="0" borderId="5" xfId="0" applyNumberFormat="1" applyBorder="1"/>
    <xf numFmtId="1" fontId="0" fillId="3" borderId="5" xfId="0" applyNumberFormat="1" applyFill="1" applyBorder="1"/>
    <xf numFmtId="1" fontId="0" fillId="6" borderId="5" xfId="0" applyNumberFormat="1" applyFill="1" applyBorder="1"/>
    <xf numFmtId="0" fontId="0" fillId="6" borderId="5" xfId="0" applyFill="1" applyBorder="1"/>
    <xf numFmtId="0" fontId="0" fillId="7" borderId="0" xfId="0" applyFill="1"/>
    <xf numFmtId="0" fontId="0" fillId="0" borderId="5" xfId="0" applyBorder="1" applyAlignment="1">
      <alignment vertical="center"/>
    </xf>
    <xf numFmtId="0" fontId="0" fillId="0" borderId="14" xfId="0" applyBorder="1" applyAlignment="1"/>
    <xf numFmtId="0" fontId="0" fillId="0" borderId="16" xfId="0" applyBorder="1" applyAlignment="1"/>
    <xf numFmtId="0" fontId="0" fillId="0" borderId="28" xfId="0" applyFill="1" applyBorder="1"/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16" xfId="0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2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2" borderId="0" xfId="0" applyFill="1" applyAlignment="1">
      <alignment horizontal="center"/>
    </xf>
    <xf numFmtId="14" fontId="0" fillId="9" borderId="5" xfId="0" applyNumberFormat="1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1" fillId="9" borderId="14" xfId="0" applyFont="1" applyFill="1" applyBorder="1" applyAlignment="1">
      <alignment horizontal="left"/>
    </xf>
    <xf numFmtId="0" fontId="1" fillId="9" borderId="16" xfId="0" applyFont="1" applyFill="1" applyBorder="1" applyAlignment="1">
      <alignment horizontal="left"/>
    </xf>
    <xf numFmtId="0" fontId="1" fillId="9" borderId="17" xfId="0" applyFont="1" applyFill="1" applyBorder="1" applyAlignment="1">
      <alignment horizontal="left"/>
    </xf>
    <xf numFmtId="0" fontId="1" fillId="9" borderId="18" xfId="0" applyFont="1" applyFill="1" applyBorder="1" applyAlignment="1">
      <alignment horizontal="left"/>
    </xf>
    <xf numFmtId="0" fontId="1" fillId="9" borderId="20" xfId="0" applyFont="1" applyFill="1" applyBorder="1" applyAlignment="1">
      <alignment horizontal="left"/>
    </xf>
    <xf numFmtId="0" fontId="1" fillId="9" borderId="19" xfId="0" applyFont="1" applyFill="1" applyBorder="1" applyAlignment="1">
      <alignment horizontal="left"/>
    </xf>
    <xf numFmtId="0" fontId="2" fillId="9" borderId="7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0" fillId="9" borderId="20" xfId="0" applyFill="1" applyBorder="1" applyAlignment="1">
      <alignment horizontal="center"/>
    </xf>
    <xf numFmtId="0" fontId="0" fillId="9" borderId="19" xfId="0" applyFill="1" applyBorder="1" applyAlignment="1">
      <alignment horizontal="center"/>
    </xf>
    <xf numFmtId="0" fontId="1" fillId="9" borderId="25" xfId="0" applyFont="1" applyFill="1" applyBorder="1" applyAlignment="1">
      <alignment horizontal="left"/>
    </xf>
    <xf numFmtId="0" fontId="1" fillId="9" borderId="26" xfId="0" applyFont="1" applyFill="1" applyBorder="1" applyAlignment="1">
      <alignment horizontal="left"/>
    </xf>
    <xf numFmtId="0" fontId="1" fillId="9" borderId="27" xfId="0" applyFont="1" applyFill="1" applyBorder="1" applyAlignment="1">
      <alignment horizontal="left"/>
    </xf>
    <xf numFmtId="0" fontId="0" fillId="0" borderId="17" xfId="0" applyBorder="1" applyAlignment="1">
      <alignment horizontal="center"/>
    </xf>
    <xf numFmtId="0" fontId="0" fillId="8" borderId="5" xfId="0" applyFill="1" applyBorder="1" applyAlignment="1">
      <alignment horizontal="center" vertical="center" wrapText="1"/>
    </xf>
    <xf numFmtId="0" fontId="0" fillId="9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5E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194235</xdr:colOff>
      <xdr:row>0</xdr:row>
      <xdr:rowOff>22412</xdr:rowOff>
    </xdr:from>
    <xdr:to>
      <xdr:col>1</xdr:col>
      <xdr:colOff>524816</xdr:colOff>
      <xdr:row>4</xdr:row>
      <xdr:rowOff>164354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2ED5B44-BD8F-02CC-F1E9-523BAA2C1A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10" t="3993" r="6486" b="8935"/>
        <a:stretch/>
      </xdr:blipFill>
      <xdr:spPr>
        <a:xfrm>
          <a:off x="194235" y="22412"/>
          <a:ext cx="860993" cy="859118"/>
        </a:xfrm>
        <a:prstGeom prst="rect">
          <a:avLst/>
        </a:prstGeom>
      </xdr:spPr>
    </xdr:pic>
    <xdr:clientData/>
  </xdr:twoCellAnchor>
  <xdr:twoCellAnchor editAs="oneCell">
    <xdr:from>
      <xdr:col>11</xdr:col>
      <xdr:colOff>67235</xdr:colOff>
      <xdr:row>29</xdr:row>
      <xdr:rowOff>530411</xdr:rowOff>
    </xdr:from>
    <xdr:to>
      <xdr:col>14</xdr:col>
      <xdr:colOff>719667</xdr:colOff>
      <xdr:row>40</xdr:row>
      <xdr:rowOff>67235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A89DA71-CC57-1908-FAB9-B45A3D305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7059" y="6013823"/>
          <a:ext cx="3028079" cy="2271059"/>
        </a:xfrm>
        <a:prstGeom prst="rect">
          <a:avLst/>
        </a:prstGeom>
      </xdr:spPr>
    </xdr:pic>
    <xdr:clientData/>
  </xdr:twoCellAnchor>
  <xdr:twoCellAnchor editAs="oneCell">
    <xdr:from>
      <xdr:col>11</xdr:col>
      <xdr:colOff>54588</xdr:colOff>
      <xdr:row>18</xdr:row>
      <xdr:rowOff>127000</xdr:rowOff>
    </xdr:from>
    <xdr:to>
      <xdr:col>14</xdr:col>
      <xdr:colOff>739589</xdr:colOff>
      <xdr:row>29</xdr:row>
      <xdr:rowOff>420368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BF801FD4-9006-C750-090D-BF58BA766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4412" y="3608294"/>
          <a:ext cx="3060648" cy="2295486"/>
        </a:xfrm>
        <a:prstGeom prst="rect">
          <a:avLst/>
        </a:prstGeom>
      </xdr:spPr>
    </xdr:pic>
    <xdr:clientData/>
  </xdr:twoCellAnchor>
  <xdr:twoCellAnchor editAs="oneCell">
    <xdr:from>
      <xdr:col>11</xdr:col>
      <xdr:colOff>76805</xdr:colOff>
      <xdr:row>7</xdr:row>
      <xdr:rowOff>104589</xdr:rowOff>
    </xdr:from>
    <xdr:to>
      <xdr:col>14</xdr:col>
      <xdr:colOff>739196</xdr:colOff>
      <xdr:row>18</xdr:row>
      <xdr:rowOff>44824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E1A61F83-1B88-BA49-B0FF-15074ED7D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6629" y="1247589"/>
          <a:ext cx="3038038" cy="22785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412376</xdr:colOff>
      <xdr:row>0</xdr:row>
      <xdr:rowOff>17929</xdr:rowOff>
    </xdr:from>
    <xdr:to>
      <xdr:col>1</xdr:col>
      <xdr:colOff>260357</xdr:colOff>
      <xdr:row>4</xdr:row>
      <xdr:rowOff>159871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8004CDA-69FE-4507-B1B7-1861245557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10" t="3993" r="6486" b="8935"/>
        <a:stretch/>
      </xdr:blipFill>
      <xdr:spPr>
        <a:xfrm>
          <a:off x="412376" y="17929"/>
          <a:ext cx="860993" cy="8591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EB31-6D69-4623-B251-15D6F1AAEC6E}">
  <dimension ref="A1:O83"/>
  <sheetViews>
    <sheetView topLeftCell="A55" zoomScale="102" zoomScaleNormal="102" workbookViewId="0">
      <selection activeCell="A56" sqref="A56:F57"/>
    </sheetView>
  </sheetViews>
  <sheetFormatPr baseColWidth="10" defaultRowHeight="14.4" x14ac:dyDescent="0.3"/>
  <cols>
    <col min="1" max="1" width="7.77734375" customWidth="1"/>
    <col min="3" max="3" width="10.33203125" customWidth="1"/>
    <col min="4" max="4" width="8" customWidth="1"/>
    <col min="5" max="5" width="6.44140625" customWidth="1"/>
    <col min="6" max="6" width="7.33203125" customWidth="1"/>
    <col min="7" max="7" width="11" customWidth="1"/>
    <col min="8" max="8" width="7.88671875" customWidth="1"/>
    <col min="9" max="9" width="9.21875" customWidth="1"/>
  </cols>
  <sheetData>
    <row r="1" spans="1:15" x14ac:dyDescent="0.3">
      <c r="A1" s="42"/>
      <c r="B1" s="43"/>
      <c r="C1" s="67" t="s">
        <v>2</v>
      </c>
      <c r="D1" s="68"/>
      <c r="E1" s="69"/>
      <c r="F1" s="38">
        <v>2</v>
      </c>
      <c r="G1" s="38"/>
      <c r="H1" s="38"/>
      <c r="I1" s="57" t="s">
        <v>19</v>
      </c>
      <c r="J1" s="58"/>
      <c r="L1" s="4" t="s">
        <v>13</v>
      </c>
      <c r="M1" s="5">
        <v>5</v>
      </c>
      <c r="N1" s="6">
        <v>1.05</v>
      </c>
    </row>
    <row r="2" spans="1:15" x14ac:dyDescent="0.3">
      <c r="A2" s="44"/>
      <c r="B2" s="45"/>
      <c r="C2" s="51" t="s">
        <v>1</v>
      </c>
      <c r="D2" s="52"/>
      <c r="E2" s="53"/>
      <c r="F2" s="50" t="s">
        <v>71</v>
      </c>
      <c r="G2" s="50"/>
      <c r="H2" s="50"/>
      <c r="I2" s="59"/>
      <c r="J2" s="60"/>
      <c r="L2" s="7" t="s">
        <v>14</v>
      </c>
      <c r="M2" s="2">
        <v>10</v>
      </c>
      <c r="N2" s="8">
        <v>1.1000000000000001</v>
      </c>
    </row>
    <row r="3" spans="1:15" x14ac:dyDescent="0.3">
      <c r="A3" s="44"/>
      <c r="B3" s="45"/>
      <c r="C3" s="51" t="s">
        <v>0</v>
      </c>
      <c r="D3" s="52"/>
      <c r="E3" s="53"/>
      <c r="F3" s="49">
        <v>45000</v>
      </c>
      <c r="G3" s="50"/>
      <c r="H3" s="50"/>
      <c r="I3" s="59"/>
      <c r="J3" s="60"/>
      <c r="L3" s="7" t="s">
        <v>15</v>
      </c>
      <c r="M3" s="2">
        <v>15</v>
      </c>
      <c r="N3" s="8">
        <v>1.1499999999999999</v>
      </c>
    </row>
    <row r="4" spans="1:15" x14ac:dyDescent="0.3">
      <c r="A4" s="44"/>
      <c r="B4" s="45"/>
      <c r="C4" s="51" t="s">
        <v>20</v>
      </c>
      <c r="D4" s="52"/>
      <c r="E4" s="53"/>
      <c r="F4" s="39" t="s">
        <v>63</v>
      </c>
      <c r="G4" s="40"/>
      <c r="H4" s="41"/>
      <c r="I4" s="59"/>
      <c r="J4" s="60"/>
      <c r="L4" s="7" t="s">
        <v>16</v>
      </c>
      <c r="M4" s="2">
        <v>20</v>
      </c>
      <c r="N4" s="8">
        <v>1.2</v>
      </c>
    </row>
    <row r="5" spans="1:15" ht="15" thickBot="1" x14ac:dyDescent="0.35">
      <c r="A5" s="46"/>
      <c r="B5" s="47"/>
      <c r="C5" s="54" t="s">
        <v>21</v>
      </c>
      <c r="D5" s="55"/>
      <c r="E5" s="56"/>
      <c r="F5" s="64" t="s">
        <v>64</v>
      </c>
      <c r="G5" s="65"/>
      <c r="H5" s="66"/>
      <c r="I5" s="61"/>
      <c r="J5" s="62"/>
      <c r="L5" s="9" t="s">
        <v>17</v>
      </c>
      <c r="M5" s="10">
        <v>40</v>
      </c>
      <c r="N5" s="11">
        <v>1.4</v>
      </c>
    </row>
    <row r="6" spans="1:15" ht="4.2" customHeight="1" x14ac:dyDescent="0.3">
      <c r="A6" s="29"/>
      <c r="B6" s="29"/>
      <c r="C6" s="29"/>
      <c r="D6" s="29"/>
      <c r="E6" s="29"/>
      <c r="F6" s="29"/>
      <c r="G6" s="29"/>
      <c r="H6" s="29"/>
      <c r="I6" s="29"/>
      <c r="J6" s="29"/>
    </row>
    <row r="8" spans="1:15" ht="43.2" x14ac:dyDescent="0.3">
      <c r="A8" s="16" t="s">
        <v>3</v>
      </c>
      <c r="B8" s="16" t="s">
        <v>4</v>
      </c>
      <c r="C8" s="16" t="s">
        <v>5</v>
      </c>
      <c r="D8" s="16" t="s">
        <v>11</v>
      </c>
      <c r="E8" s="16" t="s">
        <v>6</v>
      </c>
      <c r="F8" s="16" t="s">
        <v>7</v>
      </c>
      <c r="G8" s="16" t="s">
        <v>12</v>
      </c>
      <c r="H8" s="16" t="s">
        <v>8</v>
      </c>
      <c r="I8" s="16" t="s">
        <v>9</v>
      </c>
      <c r="J8" s="16" t="s">
        <v>10</v>
      </c>
      <c r="K8" s="13"/>
      <c r="L8" s="48" t="s">
        <v>60</v>
      </c>
      <c r="M8" s="48"/>
      <c r="N8" s="48"/>
      <c r="O8" s="48"/>
    </row>
    <row r="9" spans="1:15" x14ac:dyDescent="0.3">
      <c r="A9" s="2" t="s">
        <v>65</v>
      </c>
      <c r="B9" s="2">
        <v>1</v>
      </c>
      <c r="C9" s="2" t="s">
        <v>66</v>
      </c>
      <c r="D9" s="2">
        <v>1</v>
      </c>
      <c r="E9" s="2">
        <v>97</v>
      </c>
      <c r="F9" s="2">
        <v>5</v>
      </c>
      <c r="G9" s="2">
        <f>E9*F9</f>
        <v>485</v>
      </c>
      <c r="H9" s="3">
        <f>G9/100</f>
        <v>4.8499999999999996</v>
      </c>
      <c r="I9" s="2">
        <v>1.4</v>
      </c>
      <c r="J9" s="3">
        <f>D9*H9*I9</f>
        <v>6.7899999999999991</v>
      </c>
      <c r="K9" s="1"/>
      <c r="L9" s="48"/>
      <c r="M9" s="48"/>
      <c r="N9" s="48"/>
      <c r="O9" s="48"/>
    </row>
    <row r="10" spans="1:15" x14ac:dyDescent="0.3">
      <c r="A10" s="2"/>
      <c r="B10" s="2">
        <v>2</v>
      </c>
      <c r="C10" s="2" t="s">
        <v>72</v>
      </c>
      <c r="D10" s="2">
        <v>1</v>
      </c>
      <c r="E10" s="2">
        <v>83</v>
      </c>
      <c r="F10" s="2">
        <v>12</v>
      </c>
      <c r="G10" s="2">
        <f>E10*F10</f>
        <v>996</v>
      </c>
      <c r="H10" s="3">
        <f t="shared" ref="H10:H26" si="0">G10/100</f>
        <v>9.9600000000000009</v>
      </c>
      <c r="I10" s="2">
        <v>1.4</v>
      </c>
      <c r="J10" s="3">
        <f t="shared" ref="J10:J26" si="1">D10*H10*I10</f>
        <v>13.944000000000001</v>
      </c>
      <c r="K10" s="1"/>
      <c r="L10" s="48"/>
      <c r="M10" s="48"/>
      <c r="N10" s="48"/>
      <c r="O10" s="48"/>
    </row>
    <row r="11" spans="1:15" x14ac:dyDescent="0.3">
      <c r="A11" s="2"/>
      <c r="B11" s="2">
        <v>3</v>
      </c>
      <c r="C11" s="2" t="s">
        <v>67</v>
      </c>
      <c r="D11" s="2">
        <v>2</v>
      </c>
      <c r="E11" s="2">
        <v>13</v>
      </c>
      <c r="F11" s="2">
        <v>1.5</v>
      </c>
      <c r="G11" s="2">
        <f>E11*F11</f>
        <v>19.5</v>
      </c>
      <c r="H11" s="3">
        <f t="shared" si="0"/>
        <v>0.19500000000000001</v>
      </c>
      <c r="I11" s="2">
        <v>1.05</v>
      </c>
      <c r="J11" s="3">
        <f t="shared" si="1"/>
        <v>0.40950000000000003</v>
      </c>
      <c r="K11" s="1"/>
      <c r="L11" s="48"/>
      <c r="M11" s="48"/>
      <c r="N11" s="48"/>
      <c r="O11" s="48"/>
    </row>
    <row r="12" spans="1:15" x14ac:dyDescent="0.3">
      <c r="A12" s="2"/>
      <c r="B12" s="2"/>
      <c r="C12" s="2"/>
      <c r="D12" s="2"/>
      <c r="E12" s="2"/>
      <c r="F12" s="2"/>
      <c r="G12" s="2">
        <f>E12*F12</f>
        <v>0</v>
      </c>
      <c r="H12" s="3">
        <f t="shared" si="0"/>
        <v>0</v>
      </c>
      <c r="I12" s="2">
        <v>0</v>
      </c>
      <c r="J12" s="3">
        <f t="shared" si="1"/>
        <v>0</v>
      </c>
      <c r="K12" s="1"/>
      <c r="L12" s="48"/>
      <c r="M12" s="48"/>
      <c r="N12" s="48"/>
      <c r="O12" s="48"/>
    </row>
    <row r="13" spans="1:15" x14ac:dyDescent="0.3">
      <c r="A13" s="2"/>
      <c r="B13" s="2"/>
      <c r="C13" s="2"/>
      <c r="D13" s="2"/>
      <c r="E13" s="2"/>
      <c r="F13" s="2"/>
      <c r="G13" s="2">
        <f t="shared" ref="G13:G26" si="2">E13*F13</f>
        <v>0</v>
      </c>
      <c r="H13" s="3">
        <f t="shared" si="0"/>
        <v>0</v>
      </c>
      <c r="I13" s="2">
        <v>0</v>
      </c>
      <c r="J13" s="3">
        <f t="shared" si="1"/>
        <v>0</v>
      </c>
      <c r="K13" s="1"/>
      <c r="L13" s="48"/>
      <c r="M13" s="48"/>
      <c r="N13" s="48"/>
      <c r="O13" s="48"/>
    </row>
    <row r="14" spans="1:15" x14ac:dyDescent="0.3">
      <c r="A14" s="2"/>
      <c r="B14" s="2"/>
      <c r="C14" s="2"/>
      <c r="D14" s="2"/>
      <c r="E14" s="2"/>
      <c r="F14" s="2"/>
      <c r="G14" s="2">
        <f t="shared" si="2"/>
        <v>0</v>
      </c>
      <c r="H14" s="3">
        <f t="shared" si="0"/>
        <v>0</v>
      </c>
      <c r="I14" s="2">
        <v>0</v>
      </c>
      <c r="J14" s="3">
        <f t="shared" si="1"/>
        <v>0</v>
      </c>
      <c r="K14" s="1"/>
      <c r="L14" s="48"/>
      <c r="M14" s="48"/>
      <c r="N14" s="48"/>
      <c r="O14" s="48"/>
    </row>
    <row r="15" spans="1:15" x14ac:dyDescent="0.3">
      <c r="A15" s="2"/>
      <c r="B15" s="2"/>
      <c r="C15" s="2"/>
      <c r="D15" s="2"/>
      <c r="E15" s="2"/>
      <c r="F15" s="2"/>
      <c r="G15" s="2">
        <f t="shared" si="2"/>
        <v>0</v>
      </c>
      <c r="H15" s="3">
        <f t="shared" si="0"/>
        <v>0</v>
      </c>
      <c r="I15" s="2">
        <v>0</v>
      </c>
      <c r="J15" s="3">
        <f t="shared" si="1"/>
        <v>0</v>
      </c>
      <c r="K15" s="1"/>
      <c r="L15" s="48"/>
      <c r="M15" s="48"/>
      <c r="N15" s="48"/>
      <c r="O15" s="48"/>
    </row>
    <row r="16" spans="1:15" x14ac:dyDescent="0.3">
      <c r="A16" s="2"/>
      <c r="B16" s="2"/>
      <c r="C16" s="2"/>
      <c r="D16" s="2"/>
      <c r="E16" s="2"/>
      <c r="F16" s="2"/>
      <c r="G16" s="2">
        <f t="shared" si="2"/>
        <v>0</v>
      </c>
      <c r="H16" s="3">
        <f t="shared" si="0"/>
        <v>0</v>
      </c>
      <c r="I16" s="2">
        <v>0</v>
      </c>
      <c r="J16" s="3">
        <f t="shared" si="1"/>
        <v>0</v>
      </c>
      <c r="K16" s="1"/>
      <c r="L16" s="48"/>
      <c r="M16" s="48"/>
      <c r="N16" s="48"/>
      <c r="O16" s="48"/>
    </row>
    <row r="17" spans="1:15" x14ac:dyDescent="0.3">
      <c r="A17" s="2"/>
      <c r="B17" s="2"/>
      <c r="C17" s="2"/>
      <c r="D17" s="2"/>
      <c r="E17" s="2"/>
      <c r="F17" s="2"/>
      <c r="G17" s="2">
        <f t="shared" si="2"/>
        <v>0</v>
      </c>
      <c r="H17" s="3">
        <f t="shared" si="0"/>
        <v>0</v>
      </c>
      <c r="I17" s="2">
        <v>0</v>
      </c>
      <c r="J17" s="3">
        <f t="shared" si="1"/>
        <v>0</v>
      </c>
      <c r="K17" s="1"/>
      <c r="L17" s="48"/>
      <c r="M17" s="48"/>
      <c r="N17" s="48"/>
      <c r="O17" s="48"/>
    </row>
    <row r="18" spans="1:15" x14ac:dyDescent="0.3">
      <c r="A18" s="2"/>
      <c r="B18" s="2"/>
      <c r="C18" s="2"/>
      <c r="D18" s="2"/>
      <c r="E18" s="2"/>
      <c r="F18" s="2"/>
      <c r="G18" s="2">
        <f t="shared" si="2"/>
        <v>0</v>
      </c>
      <c r="H18" s="3">
        <f t="shared" si="0"/>
        <v>0</v>
      </c>
      <c r="I18" s="2">
        <v>0</v>
      </c>
      <c r="J18" s="3">
        <f t="shared" si="1"/>
        <v>0</v>
      </c>
      <c r="K18" s="1"/>
      <c r="L18" s="48"/>
      <c r="M18" s="48"/>
      <c r="N18" s="48"/>
      <c r="O18" s="48"/>
    </row>
    <row r="19" spans="1:15" x14ac:dyDescent="0.3">
      <c r="A19" s="2"/>
      <c r="B19" s="2"/>
      <c r="C19" s="2"/>
      <c r="D19" s="2"/>
      <c r="E19" s="2"/>
      <c r="F19" s="2"/>
      <c r="G19" s="2">
        <f t="shared" si="2"/>
        <v>0</v>
      </c>
      <c r="H19" s="3">
        <f t="shared" si="0"/>
        <v>0</v>
      </c>
      <c r="I19" s="2">
        <v>0</v>
      </c>
      <c r="J19" s="3">
        <f t="shared" si="1"/>
        <v>0</v>
      </c>
      <c r="K19" s="1"/>
      <c r="L19" s="48"/>
      <c r="M19" s="48"/>
      <c r="N19" s="48"/>
      <c r="O19" s="48"/>
    </row>
    <row r="20" spans="1:15" x14ac:dyDescent="0.3">
      <c r="A20" s="2"/>
      <c r="B20" s="2"/>
      <c r="C20" s="2"/>
      <c r="D20" s="2"/>
      <c r="E20" s="2"/>
      <c r="F20" s="2"/>
      <c r="G20" s="2">
        <f t="shared" si="2"/>
        <v>0</v>
      </c>
      <c r="H20" s="3">
        <f t="shared" si="0"/>
        <v>0</v>
      </c>
      <c r="I20" s="2">
        <v>0</v>
      </c>
      <c r="J20" s="3">
        <f t="shared" si="1"/>
        <v>0</v>
      </c>
      <c r="K20" s="1"/>
      <c r="L20" s="48"/>
      <c r="M20" s="48"/>
      <c r="N20" s="48"/>
      <c r="O20" s="48"/>
    </row>
    <row r="21" spans="1:15" x14ac:dyDescent="0.3">
      <c r="A21" s="2"/>
      <c r="B21" s="2"/>
      <c r="C21" s="2"/>
      <c r="D21" s="2"/>
      <c r="E21" s="2"/>
      <c r="F21" s="2"/>
      <c r="G21" s="2">
        <f t="shared" si="2"/>
        <v>0</v>
      </c>
      <c r="H21" s="3">
        <f t="shared" si="0"/>
        <v>0</v>
      </c>
      <c r="I21" s="2">
        <v>0</v>
      </c>
      <c r="J21" s="3">
        <f t="shared" si="1"/>
        <v>0</v>
      </c>
      <c r="K21" s="1"/>
      <c r="L21" s="48"/>
      <c r="M21" s="48"/>
      <c r="N21" s="48"/>
      <c r="O21" s="48"/>
    </row>
    <row r="22" spans="1:15" x14ac:dyDescent="0.3">
      <c r="A22" s="2"/>
      <c r="B22" s="2"/>
      <c r="C22" s="2"/>
      <c r="D22" s="2"/>
      <c r="E22" s="2"/>
      <c r="F22" s="2"/>
      <c r="G22" s="2">
        <f t="shared" si="2"/>
        <v>0</v>
      </c>
      <c r="H22" s="3">
        <f t="shared" si="0"/>
        <v>0</v>
      </c>
      <c r="I22" s="2">
        <v>0</v>
      </c>
      <c r="J22" s="3">
        <f t="shared" si="1"/>
        <v>0</v>
      </c>
      <c r="K22" s="1"/>
      <c r="L22" s="48"/>
      <c r="M22" s="48"/>
      <c r="N22" s="48"/>
      <c r="O22" s="48"/>
    </row>
    <row r="23" spans="1:15" x14ac:dyDescent="0.3">
      <c r="A23" s="2"/>
      <c r="B23" s="2"/>
      <c r="C23" s="2"/>
      <c r="D23" s="2"/>
      <c r="E23" s="2"/>
      <c r="F23" s="2"/>
      <c r="G23" s="2">
        <f t="shared" si="2"/>
        <v>0</v>
      </c>
      <c r="H23" s="3">
        <f t="shared" si="0"/>
        <v>0</v>
      </c>
      <c r="I23" s="2">
        <v>0</v>
      </c>
      <c r="J23" s="3">
        <f t="shared" si="1"/>
        <v>0</v>
      </c>
      <c r="K23" s="1"/>
      <c r="L23" s="48"/>
      <c r="M23" s="48"/>
      <c r="N23" s="48"/>
      <c r="O23" s="48"/>
    </row>
    <row r="24" spans="1:15" x14ac:dyDescent="0.3">
      <c r="A24" s="2"/>
      <c r="B24" s="2"/>
      <c r="C24" s="2"/>
      <c r="D24" s="2"/>
      <c r="E24" s="2"/>
      <c r="F24" s="2"/>
      <c r="G24" s="2">
        <f t="shared" si="2"/>
        <v>0</v>
      </c>
      <c r="H24" s="3">
        <f t="shared" si="0"/>
        <v>0</v>
      </c>
      <c r="I24" s="2">
        <v>0</v>
      </c>
      <c r="J24" s="3">
        <f t="shared" si="1"/>
        <v>0</v>
      </c>
      <c r="K24" s="1"/>
      <c r="L24" s="48"/>
      <c r="M24" s="48"/>
      <c r="N24" s="48"/>
      <c r="O24" s="48"/>
    </row>
    <row r="25" spans="1:15" x14ac:dyDescent="0.3">
      <c r="A25" s="2"/>
      <c r="B25" s="2"/>
      <c r="C25" s="2"/>
      <c r="D25" s="2"/>
      <c r="E25" s="2"/>
      <c r="F25" s="2"/>
      <c r="G25" s="2">
        <f t="shared" si="2"/>
        <v>0</v>
      </c>
      <c r="H25" s="3">
        <f t="shared" si="0"/>
        <v>0</v>
      </c>
      <c r="I25" s="2">
        <v>0</v>
      </c>
      <c r="J25" s="15">
        <f t="shared" si="1"/>
        <v>0</v>
      </c>
      <c r="K25" s="1"/>
      <c r="L25" s="48"/>
      <c r="M25" s="48"/>
      <c r="N25" s="48"/>
      <c r="O25" s="48"/>
    </row>
    <row r="26" spans="1:15" ht="15" thickBot="1" x14ac:dyDescent="0.35">
      <c r="A26" s="2"/>
      <c r="B26" s="2"/>
      <c r="C26" s="2"/>
      <c r="D26" s="2"/>
      <c r="E26" s="2"/>
      <c r="F26" s="2"/>
      <c r="G26" s="2">
        <f t="shared" si="2"/>
        <v>0</v>
      </c>
      <c r="H26" s="3">
        <f t="shared" si="0"/>
        <v>0</v>
      </c>
      <c r="I26" s="2">
        <v>0</v>
      </c>
      <c r="J26" s="15">
        <f t="shared" si="1"/>
        <v>0</v>
      </c>
      <c r="K26" s="1"/>
      <c r="L26" s="48"/>
      <c r="M26" s="48"/>
      <c r="N26" s="48"/>
      <c r="O26" s="48"/>
    </row>
    <row r="27" spans="1:15" ht="15" thickBot="1" x14ac:dyDescent="0.35">
      <c r="B27" s="34" t="s">
        <v>27</v>
      </c>
      <c r="C27" s="35"/>
      <c r="D27" s="35"/>
      <c r="E27" s="35"/>
      <c r="F27" s="35"/>
      <c r="G27" s="35"/>
      <c r="H27" s="35"/>
      <c r="I27" s="63"/>
      <c r="J27" s="17">
        <f>SUM(J9:J26)</f>
        <v>21.143500000000003</v>
      </c>
      <c r="L27" s="48"/>
      <c r="M27" s="48"/>
      <c r="N27" s="48"/>
      <c r="O27" s="48"/>
    </row>
    <row r="28" spans="1:15" x14ac:dyDescent="0.3">
      <c r="A28" s="36" t="s">
        <v>58</v>
      </c>
      <c r="B28" s="36"/>
      <c r="C28" s="36"/>
      <c r="D28" s="37"/>
      <c r="E28" s="19">
        <f>SUM(E9:E26)</f>
        <v>193</v>
      </c>
      <c r="F28" s="19">
        <f>SUM(F9:F26)</f>
        <v>18.5</v>
      </c>
      <c r="G28" s="19">
        <f>E28+F28</f>
        <v>211.5</v>
      </c>
      <c r="H28" s="19">
        <f>G28*2</f>
        <v>423</v>
      </c>
      <c r="I28" s="12"/>
      <c r="J28" s="21"/>
      <c r="L28" s="20"/>
      <c r="M28" s="20"/>
      <c r="N28" s="20"/>
      <c r="O28" s="20"/>
    </row>
    <row r="30" spans="1:15" ht="43.2" x14ac:dyDescent="0.3">
      <c r="A30" s="16" t="s">
        <v>3</v>
      </c>
      <c r="B30" s="16" t="s">
        <v>4</v>
      </c>
      <c r="C30" s="16" t="s">
        <v>5</v>
      </c>
      <c r="D30" s="16" t="s">
        <v>11</v>
      </c>
      <c r="E30" s="16" t="s">
        <v>6</v>
      </c>
      <c r="F30" s="16" t="s">
        <v>7</v>
      </c>
      <c r="G30" s="16" t="s">
        <v>18</v>
      </c>
      <c r="H30" s="16" t="s">
        <v>8</v>
      </c>
      <c r="I30" s="16" t="s">
        <v>9</v>
      </c>
      <c r="J30" s="16" t="s">
        <v>10</v>
      </c>
      <c r="K30" s="1"/>
      <c r="L30" s="14"/>
    </row>
    <row r="31" spans="1:15" x14ac:dyDescent="0.3">
      <c r="A31" s="2" t="s">
        <v>68</v>
      </c>
      <c r="B31" s="2">
        <v>1</v>
      </c>
      <c r="C31" s="2" t="s">
        <v>66</v>
      </c>
      <c r="D31" s="2">
        <v>1</v>
      </c>
      <c r="E31" s="2">
        <v>97</v>
      </c>
      <c r="F31" s="2">
        <v>5</v>
      </c>
      <c r="G31" s="2">
        <f>E31*F31</f>
        <v>485</v>
      </c>
      <c r="H31" s="3">
        <f>G31/100</f>
        <v>4.8499999999999996</v>
      </c>
      <c r="I31" s="2">
        <v>1.4</v>
      </c>
      <c r="J31" s="3">
        <f>D31*H31*I31</f>
        <v>6.7899999999999991</v>
      </c>
      <c r="K31" s="1"/>
      <c r="L31" s="1"/>
    </row>
    <row r="32" spans="1:15" x14ac:dyDescent="0.3">
      <c r="A32" s="2"/>
      <c r="B32" s="2">
        <v>2</v>
      </c>
      <c r="C32" s="2" t="s">
        <v>72</v>
      </c>
      <c r="D32" s="2">
        <v>1</v>
      </c>
      <c r="E32" s="2">
        <v>90</v>
      </c>
      <c r="F32" s="2">
        <v>15</v>
      </c>
      <c r="G32" s="2">
        <f t="shared" ref="G32:G36" si="3">E32*F32</f>
        <v>1350</v>
      </c>
      <c r="H32" s="3">
        <f t="shared" ref="H32:H37" si="4">G32/100</f>
        <v>13.5</v>
      </c>
      <c r="I32" s="2">
        <v>1.05</v>
      </c>
      <c r="J32" s="3">
        <f t="shared" ref="J32:J37" si="5">D32*H32*I32</f>
        <v>14.175000000000001</v>
      </c>
      <c r="K32" s="1"/>
      <c r="L32" s="1"/>
    </row>
    <row r="33" spans="1:12" x14ac:dyDescent="0.3">
      <c r="A33" s="2"/>
      <c r="B33" s="2"/>
      <c r="C33" s="2"/>
      <c r="D33" s="2"/>
      <c r="E33" s="2"/>
      <c r="F33" s="2"/>
      <c r="G33" s="2">
        <f t="shared" si="3"/>
        <v>0</v>
      </c>
      <c r="H33" s="3">
        <f t="shared" si="4"/>
        <v>0</v>
      </c>
      <c r="I33" s="2">
        <v>0</v>
      </c>
      <c r="J33" s="3">
        <f t="shared" si="5"/>
        <v>0</v>
      </c>
      <c r="K33" s="1"/>
      <c r="L33" s="1"/>
    </row>
    <row r="34" spans="1:12" x14ac:dyDescent="0.3">
      <c r="A34" s="2"/>
      <c r="B34" s="2"/>
      <c r="C34" s="2"/>
      <c r="D34" s="2"/>
      <c r="E34" s="2"/>
      <c r="F34" s="2"/>
      <c r="G34" s="2">
        <f t="shared" si="3"/>
        <v>0</v>
      </c>
      <c r="H34" s="3">
        <f t="shared" si="4"/>
        <v>0</v>
      </c>
      <c r="I34" s="2">
        <v>0</v>
      </c>
      <c r="J34" s="3">
        <f t="shared" si="5"/>
        <v>0</v>
      </c>
      <c r="K34" s="1"/>
      <c r="L34" s="1"/>
    </row>
    <row r="35" spans="1:12" x14ac:dyDescent="0.3">
      <c r="A35" s="2"/>
      <c r="B35" s="2"/>
      <c r="C35" s="2"/>
      <c r="D35" s="2"/>
      <c r="E35" s="2"/>
      <c r="F35" s="2"/>
      <c r="G35" s="2">
        <f t="shared" si="3"/>
        <v>0</v>
      </c>
      <c r="H35" s="3">
        <f t="shared" si="4"/>
        <v>0</v>
      </c>
      <c r="I35" s="2">
        <v>0</v>
      </c>
      <c r="J35" s="3">
        <f t="shared" si="5"/>
        <v>0</v>
      </c>
      <c r="K35" s="1"/>
      <c r="L35" s="1"/>
    </row>
    <row r="36" spans="1:12" x14ac:dyDescent="0.3">
      <c r="A36" s="2"/>
      <c r="B36" s="2"/>
      <c r="C36" s="2"/>
      <c r="D36" s="2"/>
      <c r="E36" s="2"/>
      <c r="F36" s="2"/>
      <c r="G36" s="2">
        <f t="shared" si="3"/>
        <v>0</v>
      </c>
      <c r="H36" s="3">
        <f t="shared" si="4"/>
        <v>0</v>
      </c>
      <c r="I36" s="2">
        <v>0</v>
      </c>
      <c r="J36" s="3">
        <f t="shared" si="5"/>
        <v>0</v>
      </c>
      <c r="K36" s="1"/>
      <c r="L36" s="1"/>
    </row>
    <row r="37" spans="1:12" ht="15" thickBot="1" x14ac:dyDescent="0.35">
      <c r="A37" s="2"/>
      <c r="B37" s="2"/>
      <c r="C37" s="2"/>
      <c r="D37" s="2"/>
      <c r="E37" s="2"/>
      <c r="F37" s="2"/>
      <c r="G37" s="2">
        <f>E37*F37</f>
        <v>0</v>
      </c>
      <c r="H37" s="3">
        <f t="shared" si="4"/>
        <v>0</v>
      </c>
      <c r="I37" s="2">
        <v>0</v>
      </c>
      <c r="J37" s="3">
        <f t="shared" si="5"/>
        <v>0</v>
      </c>
      <c r="K37" s="1"/>
      <c r="L37" s="1"/>
    </row>
    <row r="38" spans="1:12" ht="15" thickBot="1" x14ac:dyDescent="0.35">
      <c r="A38" s="2"/>
      <c r="B38" s="31"/>
      <c r="C38" s="32"/>
      <c r="D38" s="32"/>
      <c r="E38" s="32"/>
      <c r="F38" s="32"/>
      <c r="G38" s="32"/>
      <c r="H38" s="32"/>
      <c r="I38" s="32"/>
      <c r="J38" s="17">
        <f>SUM(J31:J37)</f>
        <v>20.965</v>
      </c>
      <c r="K38" s="1"/>
      <c r="L38" s="1"/>
    </row>
    <row r="40" spans="1:12" ht="43.2" x14ac:dyDescent="0.3">
      <c r="A40" s="16" t="s">
        <v>3</v>
      </c>
      <c r="B40" s="16" t="s">
        <v>4</v>
      </c>
      <c r="C40" s="16" t="s">
        <v>5</v>
      </c>
      <c r="D40" s="16" t="s">
        <v>11</v>
      </c>
      <c r="E40" s="16" t="s">
        <v>6</v>
      </c>
      <c r="F40" s="16" t="s">
        <v>7</v>
      </c>
      <c r="G40" s="16" t="s">
        <v>18</v>
      </c>
      <c r="H40" s="16" t="s">
        <v>9</v>
      </c>
      <c r="I40" s="16" t="s">
        <v>10</v>
      </c>
      <c r="J40" s="1"/>
      <c r="K40" s="14"/>
    </row>
    <row r="41" spans="1:12" x14ac:dyDescent="0.3">
      <c r="A41" s="2" t="s">
        <v>69</v>
      </c>
      <c r="B41" s="2">
        <v>1</v>
      </c>
      <c r="C41" s="2" t="s">
        <v>66</v>
      </c>
      <c r="D41" s="2">
        <v>1</v>
      </c>
      <c r="E41" s="2">
        <v>97</v>
      </c>
      <c r="F41" s="2">
        <v>5</v>
      </c>
      <c r="G41" s="2">
        <f>E41*F41</f>
        <v>485</v>
      </c>
      <c r="H41" s="2">
        <v>1.1000000000000001</v>
      </c>
      <c r="I41" s="3">
        <f>D41*G41*H41</f>
        <v>533.5</v>
      </c>
      <c r="J41" s="33"/>
      <c r="K41" s="1"/>
    </row>
    <row r="42" spans="1:12" x14ac:dyDescent="0.3">
      <c r="A42" s="2"/>
      <c r="B42" s="2">
        <v>2</v>
      </c>
      <c r="C42" s="2" t="s">
        <v>72</v>
      </c>
      <c r="D42" s="2">
        <v>1</v>
      </c>
      <c r="E42" s="2">
        <v>83</v>
      </c>
      <c r="F42" s="2">
        <v>12</v>
      </c>
      <c r="G42" s="2">
        <f t="shared" ref="G42:G51" si="6">E42*F42</f>
        <v>996</v>
      </c>
      <c r="H42" s="2">
        <v>1.1000000000000001</v>
      </c>
      <c r="I42" s="3">
        <f t="shared" ref="I42:I51" si="7">D42*G42*H42</f>
        <v>1095.6000000000001</v>
      </c>
      <c r="J42" s="33"/>
      <c r="K42" s="1"/>
    </row>
    <row r="43" spans="1:12" x14ac:dyDescent="0.3">
      <c r="A43" s="2"/>
      <c r="B43" s="2"/>
      <c r="C43" s="2"/>
      <c r="D43" s="2"/>
      <c r="E43" s="2"/>
      <c r="F43" s="2"/>
      <c r="G43" s="2">
        <f t="shared" si="6"/>
        <v>0</v>
      </c>
      <c r="H43" s="2">
        <v>1.1000000000000001</v>
      </c>
      <c r="I43" s="3">
        <f t="shared" si="7"/>
        <v>0</v>
      </c>
      <c r="J43" s="33"/>
      <c r="K43" s="1"/>
    </row>
    <row r="44" spans="1:12" x14ac:dyDescent="0.3">
      <c r="A44" s="2"/>
      <c r="B44" s="2"/>
      <c r="C44" s="2"/>
      <c r="D44" s="2"/>
      <c r="E44" s="2"/>
      <c r="F44" s="2"/>
      <c r="G44" s="2">
        <f t="shared" si="6"/>
        <v>0</v>
      </c>
      <c r="H44" s="2">
        <v>1.1000000000000001</v>
      </c>
      <c r="I44" s="3">
        <f t="shared" si="7"/>
        <v>0</v>
      </c>
      <c r="J44" s="33"/>
      <c r="K44" s="1"/>
    </row>
    <row r="45" spans="1:12" x14ac:dyDescent="0.3">
      <c r="A45" s="2"/>
      <c r="B45" s="2"/>
      <c r="C45" s="2"/>
      <c r="D45" s="2"/>
      <c r="E45" s="2"/>
      <c r="F45" s="2"/>
      <c r="G45" s="2">
        <f t="shared" si="6"/>
        <v>0</v>
      </c>
      <c r="H45" s="2">
        <v>1.1000000000000001</v>
      </c>
      <c r="I45" s="3">
        <f t="shared" si="7"/>
        <v>0</v>
      </c>
      <c r="J45" s="33"/>
      <c r="K45" s="1"/>
    </row>
    <row r="46" spans="1:12" x14ac:dyDescent="0.3">
      <c r="A46" s="2"/>
      <c r="B46" s="2"/>
      <c r="C46" s="2"/>
      <c r="D46" s="2"/>
      <c r="E46" s="2"/>
      <c r="F46" s="2"/>
      <c r="G46" s="2">
        <f t="shared" si="6"/>
        <v>0</v>
      </c>
      <c r="H46" s="2">
        <v>1.1000000000000001</v>
      </c>
      <c r="I46" s="3">
        <f t="shared" si="7"/>
        <v>0</v>
      </c>
      <c r="J46" s="33"/>
      <c r="K46" s="1"/>
    </row>
    <row r="47" spans="1:12" x14ac:dyDescent="0.3">
      <c r="A47" s="2"/>
      <c r="B47" s="2"/>
      <c r="C47" s="2"/>
      <c r="D47" s="2"/>
      <c r="E47" s="2"/>
      <c r="F47" s="2"/>
      <c r="G47" s="2">
        <f t="shared" si="6"/>
        <v>0</v>
      </c>
      <c r="H47" s="2">
        <v>1.1000000000000001</v>
      </c>
      <c r="I47" s="3">
        <f t="shared" si="7"/>
        <v>0</v>
      </c>
      <c r="J47" s="33"/>
      <c r="K47" s="1"/>
    </row>
    <row r="48" spans="1:12" x14ac:dyDescent="0.3">
      <c r="A48" s="2"/>
      <c r="B48" s="2"/>
      <c r="C48" s="2"/>
      <c r="D48" s="2"/>
      <c r="E48" s="2"/>
      <c r="F48" s="2"/>
      <c r="G48" s="2">
        <f t="shared" si="6"/>
        <v>0</v>
      </c>
      <c r="H48" s="2">
        <v>1.1000000000000001</v>
      </c>
      <c r="I48" s="3">
        <f t="shared" si="7"/>
        <v>0</v>
      </c>
      <c r="J48" s="33"/>
      <c r="K48" s="1"/>
    </row>
    <row r="49" spans="1:11" x14ac:dyDescent="0.3">
      <c r="A49" s="2"/>
      <c r="B49" s="2"/>
      <c r="C49" s="2"/>
      <c r="D49" s="2"/>
      <c r="E49" s="2"/>
      <c r="F49" s="2"/>
      <c r="G49" s="2">
        <f t="shared" si="6"/>
        <v>0</v>
      </c>
      <c r="H49" s="2">
        <v>1.1000000000000001</v>
      </c>
      <c r="I49" s="3">
        <f t="shared" si="7"/>
        <v>0</v>
      </c>
      <c r="J49" s="33"/>
      <c r="K49" s="1"/>
    </row>
    <row r="50" spans="1:11" x14ac:dyDescent="0.3">
      <c r="A50" s="2"/>
      <c r="B50" s="2"/>
      <c r="C50" s="2"/>
      <c r="D50" s="2"/>
      <c r="E50" s="2"/>
      <c r="F50" s="2"/>
      <c r="G50" s="2">
        <f t="shared" si="6"/>
        <v>0</v>
      </c>
      <c r="H50" s="2">
        <v>1.1000000000000001</v>
      </c>
      <c r="I50" s="3">
        <f t="shared" si="7"/>
        <v>0</v>
      </c>
      <c r="J50" s="33"/>
      <c r="K50" s="1"/>
    </row>
    <row r="51" spans="1:11" x14ac:dyDescent="0.3">
      <c r="A51" s="2"/>
      <c r="B51" s="2"/>
      <c r="C51" s="2"/>
      <c r="D51" s="2"/>
      <c r="E51" s="2"/>
      <c r="F51" s="2"/>
      <c r="G51" s="2">
        <f t="shared" si="6"/>
        <v>0</v>
      </c>
      <c r="H51" s="2">
        <v>1.1000000000000001</v>
      </c>
      <c r="I51" s="3">
        <f t="shared" si="7"/>
        <v>0</v>
      </c>
      <c r="J51" s="33"/>
      <c r="K51" s="1"/>
    </row>
    <row r="52" spans="1:11" ht="15" thickBot="1" x14ac:dyDescent="0.35">
      <c r="A52" s="2"/>
      <c r="B52" s="2"/>
      <c r="C52" s="2"/>
      <c r="D52" s="2"/>
      <c r="E52" s="2"/>
      <c r="F52" s="2"/>
      <c r="G52" s="2"/>
      <c r="H52" s="2"/>
      <c r="I52" s="18"/>
      <c r="J52" s="33"/>
      <c r="K52" s="1"/>
    </row>
    <row r="53" spans="1:11" ht="15" thickBot="1" x14ac:dyDescent="0.35">
      <c r="A53" s="2"/>
      <c r="B53" s="34" t="s">
        <v>59</v>
      </c>
      <c r="C53" s="35"/>
      <c r="D53" s="35"/>
      <c r="E53" s="35"/>
      <c r="F53" s="35"/>
      <c r="G53" s="35"/>
      <c r="H53" s="35"/>
      <c r="I53" s="17">
        <f>SUM(I41:I52)</f>
        <v>1629.1000000000001</v>
      </c>
      <c r="J53" s="33"/>
      <c r="K53" s="1"/>
    </row>
    <row r="55" spans="1:11" ht="43.2" x14ac:dyDescent="0.3">
      <c r="A55" s="16" t="s">
        <v>3</v>
      </c>
      <c r="B55" s="16" t="s">
        <v>4</v>
      </c>
      <c r="C55" s="16" t="s">
        <v>5</v>
      </c>
      <c r="D55" s="16" t="s">
        <v>11</v>
      </c>
      <c r="E55" s="16" t="s">
        <v>6</v>
      </c>
      <c r="F55" s="16" t="s">
        <v>7</v>
      </c>
      <c r="G55" s="16" t="s">
        <v>18</v>
      </c>
      <c r="H55" s="16" t="s">
        <v>8</v>
      </c>
      <c r="I55" s="16" t="s">
        <v>9</v>
      </c>
      <c r="J55" s="16" t="s">
        <v>10</v>
      </c>
    </row>
    <row r="56" spans="1:11" x14ac:dyDescent="0.3">
      <c r="A56" s="2"/>
      <c r="B56" s="2"/>
      <c r="C56" s="2"/>
      <c r="D56" s="2"/>
      <c r="E56" s="2"/>
      <c r="F56" s="2"/>
      <c r="G56" s="2">
        <f>E56*F56</f>
        <v>0</v>
      </c>
      <c r="H56" s="3">
        <f>G56/100</f>
        <v>0</v>
      </c>
      <c r="I56" s="2">
        <v>1.05</v>
      </c>
      <c r="J56" s="3">
        <f>D56*H56*I56</f>
        <v>0</v>
      </c>
    </row>
    <row r="57" spans="1:11" x14ac:dyDescent="0.3">
      <c r="A57" s="2"/>
      <c r="B57" s="2"/>
      <c r="C57" s="2"/>
      <c r="D57" s="2"/>
      <c r="E57" s="2"/>
      <c r="F57" s="2"/>
      <c r="G57" s="2">
        <f t="shared" ref="G57:G65" si="8">E57*F57</f>
        <v>0</v>
      </c>
      <c r="H57" s="3">
        <f t="shared" ref="H57:H65" si="9">G57/100</f>
        <v>0</v>
      </c>
      <c r="I57" s="2">
        <v>1.05</v>
      </c>
      <c r="J57" s="3">
        <f t="shared" ref="J57:J65" si="10">D57*H57*I57</f>
        <v>0</v>
      </c>
    </row>
    <row r="58" spans="1:11" x14ac:dyDescent="0.3">
      <c r="A58" s="2"/>
      <c r="B58" s="2"/>
      <c r="C58" s="2"/>
      <c r="D58" s="2"/>
      <c r="E58" s="2"/>
      <c r="F58" s="2"/>
      <c r="G58" s="2">
        <f t="shared" si="8"/>
        <v>0</v>
      </c>
      <c r="H58" s="3">
        <f t="shared" si="9"/>
        <v>0</v>
      </c>
      <c r="I58" s="2">
        <v>1.05</v>
      </c>
      <c r="J58" s="3">
        <f t="shared" si="10"/>
        <v>0</v>
      </c>
    </row>
    <row r="59" spans="1:11" x14ac:dyDescent="0.3">
      <c r="A59" s="2"/>
      <c r="B59" s="2"/>
      <c r="C59" s="2"/>
      <c r="D59" s="2"/>
      <c r="E59" s="2"/>
      <c r="F59" s="2"/>
      <c r="G59" s="2">
        <f t="shared" si="8"/>
        <v>0</v>
      </c>
      <c r="H59" s="3">
        <f t="shared" si="9"/>
        <v>0</v>
      </c>
      <c r="I59" s="2">
        <v>1.05</v>
      </c>
      <c r="J59" s="3">
        <f t="shared" si="10"/>
        <v>0</v>
      </c>
    </row>
    <row r="60" spans="1:11" x14ac:dyDescent="0.3">
      <c r="A60" s="2"/>
      <c r="B60" s="2"/>
      <c r="C60" s="2"/>
      <c r="D60" s="2"/>
      <c r="E60" s="2"/>
      <c r="F60" s="2"/>
      <c r="G60" s="2">
        <f t="shared" si="8"/>
        <v>0</v>
      </c>
      <c r="H60" s="3">
        <f t="shared" si="9"/>
        <v>0</v>
      </c>
      <c r="I60" s="2">
        <v>1.05</v>
      </c>
      <c r="J60" s="3">
        <f t="shared" si="10"/>
        <v>0</v>
      </c>
    </row>
    <row r="61" spans="1:11" x14ac:dyDescent="0.3">
      <c r="A61" s="2"/>
      <c r="B61" s="2"/>
      <c r="C61" s="2"/>
      <c r="D61" s="2"/>
      <c r="E61" s="2"/>
      <c r="F61" s="2"/>
      <c r="G61" s="2">
        <f t="shared" si="8"/>
        <v>0</v>
      </c>
      <c r="H61" s="3">
        <f t="shared" si="9"/>
        <v>0</v>
      </c>
      <c r="I61" s="2">
        <v>1.05</v>
      </c>
      <c r="J61" s="3">
        <f t="shared" si="10"/>
        <v>0</v>
      </c>
    </row>
    <row r="62" spans="1:11" x14ac:dyDescent="0.3">
      <c r="A62" s="2"/>
      <c r="B62" s="2"/>
      <c r="C62" s="2"/>
      <c r="D62" s="2"/>
      <c r="E62" s="2"/>
      <c r="F62" s="2"/>
      <c r="G62" s="2">
        <f t="shared" si="8"/>
        <v>0</v>
      </c>
      <c r="H62" s="3">
        <f t="shared" si="9"/>
        <v>0</v>
      </c>
      <c r="I62" s="2">
        <v>1.05</v>
      </c>
      <c r="J62" s="3">
        <f t="shared" si="10"/>
        <v>0</v>
      </c>
    </row>
    <row r="63" spans="1:11" x14ac:dyDescent="0.3">
      <c r="A63" s="2"/>
      <c r="B63" s="2"/>
      <c r="C63" s="2"/>
      <c r="D63" s="2"/>
      <c r="E63" s="2"/>
      <c r="F63" s="2"/>
      <c r="G63" s="2">
        <f t="shared" si="8"/>
        <v>0</v>
      </c>
      <c r="H63" s="3">
        <f t="shared" si="9"/>
        <v>0</v>
      </c>
      <c r="I63" s="2">
        <v>1.05</v>
      </c>
      <c r="J63" s="3">
        <f t="shared" si="10"/>
        <v>0</v>
      </c>
    </row>
    <row r="64" spans="1:11" x14ac:dyDescent="0.3">
      <c r="A64" s="2"/>
      <c r="B64" s="2"/>
      <c r="C64" s="2"/>
      <c r="D64" s="2"/>
      <c r="E64" s="2"/>
      <c r="F64" s="2"/>
      <c r="G64" s="2">
        <f t="shared" si="8"/>
        <v>0</v>
      </c>
      <c r="H64" s="3">
        <f t="shared" si="9"/>
        <v>0</v>
      </c>
      <c r="I64" s="2">
        <v>0</v>
      </c>
      <c r="J64" s="3">
        <f t="shared" si="10"/>
        <v>0</v>
      </c>
    </row>
    <row r="65" spans="1:10" ht="15" thickBot="1" x14ac:dyDescent="0.35">
      <c r="A65" s="2"/>
      <c r="B65" s="2"/>
      <c r="C65" s="2"/>
      <c r="D65" s="2"/>
      <c r="E65" s="2"/>
      <c r="F65" s="2"/>
      <c r="G65" s="2">
        <f t="shared" si="8"/>
        <v>0</v>
      </c>
      <c r="H65" s="3">
        <f t="shared" si="9"/>
        <v>0</v>
      </c>
      <c r="I65" s="2">
        <v>0</v>
      </c>
      <c r="J65" s="3">
        <f t="shared" si="10"/>
        <v>0</v>
      </c>
    </row>
    <row r="66" spans="1:10" ht="15" thickBot="1" x14ac:dyDescent="0.35">
      <c r="A66" s="2"/>
      <c r="B66" s="31"/>
      <c r="C66" s="32"/>
      <c r="D66" s="32"/>
      <c r="E66" s="32"/>
      <c r="F66" s="32"/>
      <c r="G66" s="32"/>
      <c r="H66" s="32"/>
      <c r="I66" s="32"/>
      <c r="J66" s="17">
        <f>SUM(J56:J65)</f>
        <v>0</v>
      </c>
    </row>
    <row r="68" spans="1:10" ht="43.2" x14ac:dyDescent="0.3">
      <c r="A68" s="16" t="s">
        <v>3</v>
      </c>
      <c r="B68" s="16" t="s">
        <v>4</v>
      </c>
      <c r="C68" s="16" t="s">
        <v>5</v>
      </c>
      <c r="D68" s="16" t="s">
        <v>11</v>
      </c>
      <c r="E68" s="16" t="s">
        <v>6</v>
      </c>
      <c r="F68" s="16" t="s">
        <v>7</v>
      </c>
      <c r="G68" s="16" t="s">
        <v>18</v>
      </c>
      <c r="H68" s="16" t="s">
        <v>9</v>
      </c>
      <c r="I68" s="16" t="s">
        <v>10</v>
      </c>
    </row>
    <row r="69" spans="1:10" x14ac:dyDescent="0.3">
      <c r="A69" s="2" t="s">
        <v>75</v>
      </c>
      <c r="B69" s="2">
        <v>4</v>
      </c>
      <c r="C69" s="2" t="s">
        <v>76</v>
      </c>
      <c r="D69" s="2">
        <v>1</v>
      </c>
      <c r="E69" s="2">
        <v>22</v>
      </c>
      <c r="F69" s="2">
        <v>10</v>
      </c>
      <c r="G69" s="2">
        <f>E69*F69</f>
        <v>220</v>
      </c>
      <c r="H69" s="2">
        <v>1.1000000000000001</v>
      </c>
      <c r="I69" s="3">
        <f>D69*G69*H69</f>
        <v>242.00000000000003</v>
      </c>
    </row>
    <row r="70" spans="1:10" x14ac:dyDescent="0.3">
      <c r="A70" s="2"/>
      <c r="B70" s="2"/>
      <c r="C70" s="2"/>
      <c r="D70" s="2"/>
      <c r="E70" s="2"/>
      <c r="F70" s="2"/>
      <c r="G70" s="2">
        <f t="shared" ref="G70:G71" si="11">E70*F70</f>
        <v>0</v>
      </c>
      <c r="H70" s="2">
        <v>1.1000000000000001</v>
      </c>
      <c r="I70" s="3">
        <f t="shared" ref="I70:I71" si="12">D70*G70*H70</f>
        <v>0</v>
      </c>
    </row>
    <row r="71" spans="1:10" x14ac:dyDescent="0.3">
      <c r="A71" s="2"/>
      <c r="B71" s="2"/>
      <c r="C71" s="2"/>
      <c r="D71" s="2"/>
      <c r="E71" s="2"/>
      <c r="F71" s="2"/>
      <c r="G71" s="2">
        <f t="shared" si="11"/>
        <v>0</v>
      </c>
      <c r="H71" s="2">
        <v>1.1000000000000001</v>
      </c>
      <c r="I71" s="3">
        <f t="shared" si="12"/>
        <v>0</v>
      </c>
    </row>
    <row r="72" spans="1:10" x14ac:dyDescent="0.3">
      <c r="A72" s="2"/>
      <c r="B72" s="2"/>
      <c r="C72" s="2"/>
      <c r="D72" s="2"/>
      <c r="E72" s="2"/>
      <c r="F72" s="2"/>
      <c r="G72" s="2"/>
      <c r="H72" s="2"/>
      <c r="I72" s="3"/>
    </row>
    <row r="73" spans="1:10" ht="15" thickBot="1" x14ac:dyDescent="0.35">
      <c r="A73" s="2"/>
      <c r="B73" s="2"/>
      <c r="C73" s="2"/>
      <c r="D73" s="2"/>
      <c r="E73" s="2"/>
      <c r="F73" s="2"/>
      <c r="G73" s="2"/>
      <c r="H73" s="2"/>
      <c r="I73" s="18"/>
    </row>
    <row r="74" spans="1:10" ht="15" thickBot="1" x14ac:dyDescent="0.35">
      <c r="A74" s="2"/>
      <c r="B74" s="34" t="s">
        <v>59</v>
      </c>
      <c r="C74" s="35"/>
      <c r="D74" s="35"/>
      <c r="E74" s="35"/>
      <c r="F74" s="35"/>
      <c r="G74" s="35"/>
      <c r="H74" s="35"/>
      <c r="I74" s="17">
        <f>SUM(I69:I73)</f>
        <v>242.00000000000003</v>
      </c>
    </row>
    <row r="76" spans="1:10" ht="43.2" x14ac:dyDescent="0.3">
      <c r="A76" s="16" t="s">
        <v>3</v>
      </c>
      <c r="B76" s="16" t="s">
        <v>4</v>
      </c>
      <c r="C76" s="16" t="s">
        <v>5</v>
      </c>
      <c r="D76" s="16" t="s">
        <v>11</v>
      </c>
      <c r="E76" s="16" t="s">
        <v>6</v>
      </c>
      <c r="F76" s="16" t="s">
        <v>7</v>
      </c>
      <c r="G76" s="16" t="s">
        <v>18</v>
      </c>
      <c r="H76" s="16" t="s">
        <v>9</v>
      </c>
      <c r="I76" s="16" t="s">
        <v>10</v>
      </c>
    </row>
    <row r="77" spans="1:10" x14ac:dyDescent="0.3">
      <c r="A77" s="2"/>
      <c r="B77" s="2"/>
      <c r="C77" s="2"/>
      <c r="D77" s="2"/>
      <c r="E77" s="2"/>
      <c r="F77" s="2"/>
      <c r="G77" s="2">
        <f>E77*F77</f>
        <v>0</v>
      </c>
      <c r="H77" s="2">
        <v>1.1000000000000001</v>
      </c>
      <c r="I77" s="3">
        <f>D77*G77*H77</f>
        <v>0</v>
      </c>
    </row>
    <row r="78" spans="1:10" x14ac:dyDescent="0.3">
      <c r="A78" s="2"/>
      <c r="B78" s="2"/>
      <c r="C78" s="2"/>
      <c r="D78" s="2"/>
      <c r="E78" s="2"/>
      <c r="F78" s="2"/>
      <c r="G78" s="2">
        <f t="shared" ref="G78:G79" si="13">E78*F78</f>
        <v>0</v>
      </c>
      <c r="H78" s="2">
        <v>1.1000000000000001</v>
      </c>
      <c r="I78" s="3">
        <f t="shared" ref="I78:I79" si="14">D78*G78*H78</f>
        <v>0</v>
      </c>
    </row>
    <row r="79" spans="1:10" x14ac:dyDescent="0.3">
      <c r="A79" s="2"/>
      <c r="B79" s="2"/>
      <c r="C79" s="2"/>
      <c r="D79" s="2"/>
      <c r="E79" s="2"/>
      <c r="F79" s="2"/>
      <c r="G79" s="2">
        <f t="shared" si="13"/>
        <v>0</v>
      </c>
      <c r="H79" s="2">
        <v>1.1000000000000001</v>
      </c>
      <c r="I79" s="3">
        <f t="shared" si="14"/>
        <v>0</v>
      </c>
    </row>
    <row r="80" spans="1:10" x14ac:dyDescent="0.3">
      <c r="A80" s="2"/>
      <c r="B80" s="2"/>
      <c r="C80" s="2"/>
      <c r="D80" s="2"/>
      <c r="E80" s="2"/>
      <c r="F80" s="2"/>
      <c r="G80" s="2"/>
      <c r="H80" s="2"/>
      <c r="I80" s="3"/>
    </row>
    <row r="81" spans="1:9" x14ac:dyDescent="0.3">
      <c r="A81" s="2"/>
      <c r="B81" s="2"/>
      <c r="C81" s="2"/>
      <c r="D81" s="2"/>
      <c r="E81" s="2"/>
      <c r="F81" s="2"/>
      <c r="G81" s="2">
        <f t="shared" ref="G81" si="15">E81*F81</f>
        <v>0</v>
      </c>
      <c r="H81" s="2">
        <v>1.1000000000000001</v>
      </c>
      <c r="I81" s="3">
        <f t="shared" ref="I81" si="16">D81*G81*H81</f>
        <v>0</v>
      </c>
    </row>
    <row r="82" spans="1:9" ht="15" thickBot="1" x14ac:dyDescent="0.35">
      <c r="A82" s="2"/>
      <c r="B82" s="2"/>
      <c r="C82" s="2"/>
      <c r="D82" s="2"/>
      <c r="E82" s="2"/>
      <c r="F82" s="2"/>
      <c r="G82" s="2"/>
      <c r="H82" s="2"/>
      <c r="I82" s="18"/>
    </row>
    <row r="83" spans="1:9" ht="15" thickBot="1" x14ac:dyDescent="0.35">
      <c r="A83" s="2"/>
      <c r="B83" s="34" t="s">
        <v>59</v>
      </c>
      <c r="C83" s="35"/>
      <c r="D83" s="35"/>
      <c r="E83" s="35"/>
      <c r="F83" s="35"/>
      <c r="G83" s="35"/>
      <c r="H83" s="35"/>
      <c r="I83" s="17">
        <f>SUM(I77:I82)</f>
        <v>0</v>
      </c>
    </row>
  </sheetData>
  <mergeCells count="18">
    <mergeCell ref="L8:O27"/>
    <mergeCell ref="F3:H3"/>
    <mergeCell ref="F2:H2"/>
    <mergeCell ref="C2:E2"/>
    <mergeCell ref="C3:E3"/>
    <mergeCell ref="C4:E4"/>
    <mergeCell ref="C5:E5"/>
    <mergeCell ref="I1:J5"/>
    <mergeCell ref="B27:I27"/>
    <mergeCell ref="F5:H5"/>
    <mergeCell ref="C1:E1"/>
    <mergeCell ref="B53:H53"/>
    <mergeCell ref="A28:D28"/>
    <mergeCell ref="B74:H74"/>
    <mergeCell ref="B83:H83"/>
    <mergeCell ref="F1:H1"/>
    <mergeCell ref="F4:H4"/>
    <mergeCell ref="A1:B5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6F954-7911-4E83-8EF5-B0B8216B7CCA}">
  <dimension ref="A1:J44"/>
  <sheetViews>
    <sheetView tabSelected="1" zoomScale="85" zoomScaleNormal="85" workbookViewId="0">
      <selection activeCell="C14" sqref="C14"/>
    </sheetView>
  </sheetViews>
  <sheetFormatPr baseColWidth="10" defaultRowHeight="14.4" x14ac:dyDescent="0.3"/>
  <cols>
    <col min="1" max="1" width="14.77734375" customWidth="1"/>
    <col min="8" max="8" width="13.21875" customWidth="1"/>
  </cols>
  <sheetData>
    <row r="1" spans="1:10" ht="14.4" customHeight="1" x14ac:dyDescent="0.3">
      <c r="A1" s="42"/>
      <c r="B1" s="43"/>
      <c r="C1" s="67" t="s">
        <v>2</v>
      </c>
      <c r="D1" s="68"/>
      <c r="E1" s="69"/>
      <c r="F1" s="50">
        <f>Hoja1!F1</f>
        <v>2</v>
      </c>
      <c r="G1" s="50"/>
      <c r="H1" s="50"/>
      <c r="I1" s="57" t="s">
        <v>19</v>
      </c>
      <c r="J1" s="58"/>
    </row>
    <row r="2" spans="1:10" ht="14.4" customHeight="1" x14ac:dyDescent="0.3">
      <c r="A2" s="44"/>
      <c r="B2" s="45"/>
      <c r="C2" s="51" t="s">
        <v>1</v>
      </c>
      <c r="D2" s="52"/>
      <c r="E2" s="53"/>
      <c r="F2" s="50" t="str">
        <f>Hoja1!F2</f>
        <v>cinturon Gym talla S</v>
      </c>
      <c r="G2" s="50"/>
      <c r="H2" s="50"/>
      <c r="I2" s="59"/>
      <c r="J2" s="60"/>
    </row>
    <row r="3" spans="1:10" ht="14.4" customHeight="1" x14ac:dyDescent="0.3">
      <c r="A3" s="44"/>
      <c r="B3" s="45"/>
      <c r="C3" s="51" t="s">
        <v>0</v>
      </c>
      <c r="D3" s="52"/>
      <c r="E3" s="53"/>
      <c r="F3" s="50">
        <f>Hoja1!F3</f>
        <v>45000</v>
      </c>
      <c r="G3" s="50"/>
      <c r="H3" s="50"/>
      <c r="I3" s="59"/>
      <c r="J3" s="60"/>
    </row>
    <row r="4" spans="1:10" ht="14.4" customHeight="1" x14ac:dyDescent="0.3">
      <c r="A4" s="44"/>
      <c r="B4" s="45"/>
      <c r="C4" s="51" t="s">
        <v>20</v>
      </c>
      <c r="D4" s="52"/>
      <c r="E4" s="53"/>
      <c r="F4" s="50" t="str">
        <f>Hoja1!F4</f>
        <v>SENA</v>
      </c>
      <c r="G4" s="50"/>
      <c r="H4" s="50"/>
      <c r="I4" s="59"/>
      <c r="J4" s="60"/>
    </row>
    <row r="5" spans="1:10" ht="15" customHeight="1" thickBot="1" x14ac:dyDescent="0.35">
      <c r="A5" s="46"/>
      <c r="B5" s="47"/>
      <c r="C5" s="54" t="s">
        <v>21</v>
      </c>
      <c r="D5" s="55"/>
      <c r="E5" s="56"/>
      <c r="F5" s="72" t="str">
        <f>Hoja1!F5</f>
        <v>celda de produccion</v>
      </c>
      <c r="G5" s="72"/>
      <c r="H5" s="72"/>
      <c r="I5" s="61"/>
      <c r="J5" s="62"/>
    </row>
    <row r="6" spans="1:10" ht="6.6" customHeight="1" x14ac:dyDescent="0.3">
      <c r="A6" s="29"/>
      <c r="B6" s="29"/>
      <c r="C6" s="29"/>
      <c r="D6" s="29"/>
      <c r="E6" s="29"/>
      <c r="F6" s="29"/>
      <c r="G6" s="29"/>
      <c r="H6" s="29"/>
      <c r="I6" s="29"/>
      <c r="J6" s="29"/>
    </row>
    <row r="8" spans="1:10" ht="43.2" x14ac:dyDescent="0.3">
      <c r="A8" s="24" t="s">
        <v>22</v>
      </c>
      <c r="B8" s="24" t="s">
        <v>23</v>
      </c>
      <c r="C8" s="24" t="s">
        <v>24</v>
      </c>
      <c r="D8" s="24" t="s">
        <v>25</v>
      </c>
      <c r="E8" s="24" t="s">
        <v>39</v>
      </c>
      <c r="F8" s="22"/>
      <c r="H8" s="24" t="s">
        <v>3</v>
      </c>
      <c r="I8" s="24" t="s">
        <v>32</v>
      </c>
      <c r="J8" s="24" t="s">
        <v>33</v>
      </c>
    </row>
    <row r="9" spans="1:10" x14ac:dyDescent="0.3">
      <c r="A9" s="2" t="str">
        <f>Hoja1!A9</f>
        <v>cuero</v>
      </c>
      <c r="B9" s="2" t="s">
        <v>8</v>
      </c>
      <c r="C9" s="3">
        <f>Hoja1!J27</f>
        <v>21.143500000000003</v>
      </c>
      <c r="D9" s="2">
        <f>J9</f>
        <v>0</v>
      </c>
      <c r="E9" s="23">
        <f>C9*D9</f>
        <v>0</v>
      </c>
      <c r="H9" s="28" t="str">
        <f>A9</f>
        <v>cuero</v>
      </c>
      <c r="I9" s="28" t="str">
        <f>B9</f>
        <v>dm_2</v>
      </c>
      <c r="J9" s="28">
        <v>0</v>
      </c>
    </row>
    <row r="10" spans="1:10" x14ac:dyDescent="0.3">
      <c r="A10" s="2" t="str">
        <f>Hoja1!A31</f>
        <v>forro cerdo</v>
      </c>
      <c r="B10" s="2" t="s">
        <v>8</v>
      </c>
      <c r="C10" s="3">
        <f>Hoja1!J38</f>
        <v>20.965</v>
      </c>
      <c r="D10" s="2">
        <f>J10</f>
        <v>0</v>
      </c>
      <c r="E10" s="23">
        <f t="shared" ref="E10:E28" si="0">C10*D10</f>
        <v>0</v>
      </c>
      <c r="H10" s="28" t="str">
        <f t="shared" ref="H10:H28" si="1">A10</f>
        <v>forro cerdo</v>
      </c>
      <c r="I10" s="28" t="str">
        <f>B10</f>
        <v>dm_2</v>
      </c>
      <c r="J10" s="28">
        <v>0</v>
      </c>
    </row>
    <row r="11" spans="1:10" x14ac:dyDescent="0.3">
      <c r="A11" s="2" t="str">
        <f>Hoja1!A41</f>
        <v>salpa 0.8</v>
      </c>
      <c r="B11" s="2" t="s">
        <v>26</v>
      </c>
      <c r="C11" s="3">
        <f>Hoja1!I53/140</f>
        <v>11.636428571428572</v>
      </c>
      <c r="D11" s="2">
        <f>J11/100</f>
        <v>0</v>
      </c>
      <c r="E11" s="23">
        <f t="shared" si="0"/>
        <v>0</v>
      </c>
      <c r="H11" s="28" t="str">
        <f t="shared" si="1"/>
        <v>salpa 0.8</v>
      </c>
      <c r="I11" s="28" t="s">
        <v>34</v>
      </c>
      <c r="J11" s="28">
        <v>0</v>
      </c>
    </row>
    <row r="12" spans="1:10" x14ac:dyDescent="0.3">
      <c r="A12" s="2">
        <f>Hoja1!A56</f>
        <v>0</v>
      </c>
      <c r="B12" s="2" t="s">
        <v>8</v>
      </c>
      <c r="C12" s="3">
        <f>Hoja1!J66</f>
        <v>0</v>
      </c>
      <c r="D12" s="2">
        <f>J12</f>
        <v>0</v>
      </c>
      <c r="E12" s="23">
        <f t="shared" si="0"/>
        <v>0</v>
      </c>
      <c r="H12" s="28">
        <f t="shared" si="1"/>
        <v>0</v>
      </c>
      <c r="I12" s="28" t="s">
        <v>34</v>
      </c>
      <c r="J12" s="28">
        <v>0</v>
      </c>
    </row>
    <row r="13" spans="1:10" x14ac:dyDescent="0.3">
      <c r="A13" s="2" t="str">
        <f>Hoja1!A69</f>
        <v>yumbolon #10</v>
      </c>
      <c r="B13" s="2" t="s">
        <v>26</v>
      </c>
      <c r="C13" s="3">
        <f>Hoja1!I74/100</f>
        <v>2.4200000000000004</v>
      </c>
      <c r="D13" s="2">
        <f>J13/100</f>
        <v>0</v>
      </c>
      <c r="E13" s="23">
        <f t="shared" si="0"/>
        <v>0</v>
      </c>
      <c r="H13" s="28" t="str">
        <f t="shared" si="1"/>
        <v>yumbolon #10</v>
      </c>
      <c r="I13" s="28" t="s">
        <v>34</v>
      </c>
      <c r="J13" s="28">
        <v>0</v>
      </c>
    </row>
    <row r="14" spans="1:10" x14ac:dyDescent="0.3">
      <c r="A14" s="2">
        <f>Hoja1!A77</f>
        <v>0</v>
      </c>
      <c r="B14" s="2" t="s">
        <v>26</v>
      </c>
      <c r="C14" s="3">
        <f>Hoja1!I83/100</f>
        <v>0</v>
      </c>
      <c r="D14" s="2">
        <f>J14/100</f>
        <v>0</v>
      </c>
      <c r="E14" s="23">
        <f t="shared" si="0"/>
        <v>0</v>
      </c>
      <c r="H14" s="28">
        <f t="shared" si="1"/>
        <v>0</v>
      </c>
      <c r="I14" s="28" t="s">
        <v>35</v>
      </c>
      <c r="J14" s="28">
        <v>0</v>
      </c>
    </row>
    <row r="15" spans="1:10" x14ac:dyDescent="0.3">
      <c r="A15" s="2" t="s">
        <v>73</v>
      </c>
      <c r="B15" s="2" t="s">
        <v>26</v>
      </c>
      <c r="C15" s="3">
        <v>1</v>
      </c>
      <c r="D15" s="2">
        <f>J15/100</f>
        <v>0</v>
      </c>
      <c r="E15" s="23">
        <f t="shared" si="0"/>
        <v>0</v>
      </c>
      <c r="H15" s="28" t="str">
        <f t="shared" si="1"/>
        <v>hebilla coscoja doble hebijon de 1 1/2''</v>
      </c>
      <c r="I15" s="28" t="s">
        <v>35</v>
      </c>
      <c r="J15" s="28">
        <v>0</v>
      </c>
    </row>
    <row r="16" spans="1:10" x14ac:dyDescent="0.3">
      <c r="A16" s="2" t="s">
        <v>70</v>
      </c>
      <c r="B16" s="2" t="s">
        <v>28</v>
      </c>
      <c r="C16" s="3">
        <v>6</v>
      </c>
      <c r="D16" s="2">
        <f>J16</f>
        <v>0</v>
      </c>
      <c r="E16" s="23">
        <f t="shared" si="0"/>
        <v>0</v>
      </c>
      <c r="H16" s="28" t="str">
        <f t="shared" si="1"/>
        <v>remache tubular #12</v>
      </c>
      <c r="I16" s="28" t="s">
        <v>35</v>
      </c>
      <c r="J16" s="28">
        <v>0</v>
      </c>
    </row>
    <row r="17" spans="1:10" x14ac:dyDescent="0.3">
      <c r="A17" s="2"/>
      <c r="B17" s="2" t="s">
        <v>26</v>
      </c>
      <c r="C17" s="3">
        <v>0</v>
      </c>
      <c r="D17" s="2">
        <f>J17/100</f>
        <v>0</v>
      </c>
      <c r="E17" s="23">
        <f t="shared" si="0"/>
        <v>0</v>
      </c>
      <c r="H17" s="28">
        <f t="shared" si="1"/>
        <v>0</v>
      </c>
      <c r="I17" s="28" t="s">
        <v>34</v>
      </c>
      <c r="J17" s="28">
        <v>0</v>
      </c>
    </row>
    <row r="18" spans="1:10" x14ac:dyDescent="0.3">
      <c r="A18" s="2"/>
      <c r="B18" s="2" t="s">
        <v>28</v>
      </c>
      <c r="C18" s="3">
        <v>0</v>
      </c>
      <c r="D18" s="2">
        <f t="shared" ref="D18:D22" si="2">J18</f>
        <v>0</v>
      </c>
      <c r="E18" s="23">
        <f t="shared" si="0"/>
        <v>0</v>
      </c>
      <c r="H18" s="28">
        <f t="shared" si="1"/>
        <v>0</v>
      </c>
      <c r="I18" s="28" t="s">
        <v>35</v>
      </c>
      <c r="J18" s="28">
        <v>0</v>
      </c>
    </row>
    <row r="19" spans="1:10" x14ac:dyDescent="0.3">
      <c r="A19" s="2"/>
      <c r="B19" s="2" t="s">
        <v>26</v>
      </c>
      <c r="C19" s="3">
        <v>0</v>
      </c>
      <c r="D19" s="2">
        <f>J19/100</f>
        <v>0</v>
      </c>
      <c r="E19" s="23">
        <f t="shared" si="0"/>
        <v>0</v>
      </c>
      <c r="H19" s="28">
        <f t="shared" si="1"/>
        <v>0</v>
      </c>
      <c r="I19" s="28" t="s">
        <v>34</v>
      </c>
      <c r="J19" s="28">
        <v>0</v>
      </c>
    </row>
    <row r="20" spans="1:10" x14ac:dyDescent="0.3">
      <c r="A20" s="2"/>
      <c r="B20" s="2" t="s">
        <v>28</v>
      </c>
      <c r="C20" s="3">
        <v>0</v>
      </c>
      <c r="D20" s="2">
        <f t="shared" si="2"/>
        <v>0</v>
      </c>
      <c r="E20" s="23">
        <f t="shared" si="0"/>
        <v>0</v>
      </c>
      <c r="H20" s="28">
        <f t="shared" si="1"/>
        <v>0</v>
      </c>
      <c r="I20" s="28" t="s">
        <v>35</v>
      </c>
      <c r="J20" s="28">
        <v>0</v>
      </c>
    </row>
    <row r="21" spans="1:10" x14ac:dyDescent="0.3">
      <c r="A21" s="2"/>
      <c r="B21" s="2" t="s">
        <v>28</v>
      </c>
      <c r="C21" s="3">
        <v>0</v>
      </c>
      <c r="D21" s="2">
        <f t="shared" si="2"/>
        <v>0</v>
      </c>
      <c r="E21" s="23">
        <f t="shared" si="0"/>
        <v>0</v>
      </c>
      <c r="H21" s="28">
        <f t="shared" si="1"/>
        <v>0</v>
      </c>
      <c r="I21" s="28" t="s">
        <v>35</v>
      </c>
      <c r="J21" s="28">
        <v>0</v>
      </c>
    </row>
    <row r="22" spans="1:10" x14ac:dyDescent="0.3">
      <c r="A22" s="2"/>
      <c r="B22" s="2" t="s">
        <v>28</v>
      </c>
      <c r="C22" s="3">
        <v>0</v>
      </c>
      <c r="D22" s="2">
        <f t="shared" si="2"/>
        <v>0</v>
      </c>
      <c r="E22" s="23">
        <f t="shared" si="0"/>
        <v>0</v>
      </c>
      <c r="H22" s="28">
        <f t="shared" si="1"/>
        <v>0</v>
      </c>
      <c r="I22" s="28" t="s">
        <v>35</v>
      </c>
      <c r="J22" s="28">
        <v>0</v>
      </c>
    </row>
    <row r="23" spans="1:10" x14ac:dyDescent="0.3">
      <c r="A23" s="2"/>
      <c r="B23" s="2"/>
      <c r="C23" s="3"/>
      <c r="D23" s="2"/>
      <c r="E23" s="23">
        <f t="shared" si="0"/>
        <v>0</v>
      </c>
      <c r="H23" s="28">
        <f t="shared" si="1"/>
        <v>0</v>
      </c>
      <c r="I23" s="28"/>
      <c r="J23" s="28"/>
    </row>
    <row r="24" spans="1:10" x14ac:dyDescent="0.3">
      <c r="A24" s="2"/>
      <c r="B24" s="2"/>
      <c r="C24" s="3"/>
      <c r="D24" s="2"/>
      <c r="E24" s="23">
        <f t="shared" si="0"/>
        <v>0</v>
      </c>
      <c r="H24" s="28">
        <f t="shared" si="1"/>
        <v>0</v>
      </c>
      <c r="I24" s="28"/>
      <c r="J24" s="28"/>
    </row>
    <row r="25" spans="1:10" x14ac:dyDescent="0.3">
      <c r="A25" s="2" t="s">
        <v>61</v>
      </c>
      <c r="B25" s="2" t="s">
        <v>30</v>
      </c>
      <c r="C25" s="3">
        <f>(Hoja1!H28/100)*3</f>
        <v>12.690000000000001</v>
      </c>
      <c r="D25" s="3">
        <f>J25/3000</f>
        <v>0</v>
      </c>
      <c r="E25" s="23">
        <f t="shared" si="0"/>
        <v>0</v>
      </c>
      <c r="H25" s="28" t="str">
        <f t="shared" si="1"/>
        <v>hilo x 1500</v>
      </c>
      <c r="I25" s="28" t="s">
        <v>36</v>
      </c>
      <c r="J25" s="28">
        <v>0</v>
      </c>
    </row>
    <row r="26" spans="1:10" x14ac:dyDescent="0.3">
      <c r="A26" s="2" t="s">
        <v>38</v>
      </c>
      <c r="B26" s="2" t="s">
        <v>31</v>
      </c>
      <c r="C26" s="3">
        <v>58</v>
      </c>
      <c r="D26" s="2">
        <f>J26/3000</f>
        <v>0</v>
      </c>
      <c r="E26" s="23">
        <f t="shared" si="0"/>
        <v>0</v>
      </c>
      <c r="H26" s="28" t="str">
        <f t="shared" si="1"/>
        <v>pegante x 3000</v>
      </c>
      <c r="I26" s="28" t="s">
        <v>37</v>
      </c>
      <c r="J26" s="28">
        <v>0</v>
      </c>
    </row>
    <row r="27" spans="1:10" x14ac:dyDescent="0.3">
      <c r="A27" s="2" t="s">
        <v>29</v>
      </c>
      <c r="B27" s="2"/>
      <c r="C27" s="3">
        <v>1</v>
      </c>
      <c r="D27" s="2">
        <v>0</v>
      </c>
      <c r="E27" s="23">
        <f t="shared" si="0"/>
        <v>0</v>
      </c>
      <c r="H27" s="28" t="str">
        <f t="shared" si="1"/>
        <v>mano de obra</v>
      </c>
      <c r="I27" s="28"/>
      <c r="J27" s="28"/>
    </row>
    <row r="28" spans="1:10" x14ac:dyDescent="0.3">
      <c r="A28" s="2" t="s">
        <v>43</v>
      </c>
      <c r="B28" s="2"/>
      <c r="C28" s="3"/>
      <c r="D28" s="2"/>
      <c r="E28" s="23">
        <f t="shared" si="0"/>
        <v>0</v>
      </c>
      <c r="H28" s="28" t="str">
        <f t="shared" si="1"/>
        <v>empaque</v>
      </c>
      <c r="I28" s="28"/>
      <c r="J28" s="28"/>
    </row>
    <row r="29" spans="1:10" x14ac:dyDescent="0.3">
      <c r="A29" s="73" t="s">
        <v>40</v>
      </c>
      <c r="B29" s="73"/>
      <c r="C29" s="73"/>
      <c r="D29" s="73"/>
      <c r="E29" s="26">
        <f>SUM(E9:E28)</f>
        <v>0</v>
      </c>
    </row>
    <row r="30" spans="1:10" x14ac:dyDescent="0.3">
      <c r="A30" s="74" t="s">
        <v>41</v>
      </c>
      <c r="B30" s="74"/>
      <c r="C30" s="25">
        <v>0</v>
      </c>
      <c r="D30" s="2"/>
      <c r="E30" s="23">
        <f>E29*C30</f>
        <v>0</v>
      </c>
    </row>
    <row r="31" spans="1:10" ht="14.4" customHeight="1" x14ac:dyDescent="0.3">
      <c r="A31" s="74" t="s">
        <v>42</v>
      </c>
      <c r="B31" s="74"/>
      <c r="C31" s="25">
        <v>0</v>
      </c>
      <c r="D31" s="2"/>
      <c r="E31" s="23">
        <f>E29*C31</f>
        <v>0</v>
      </c>
      <c r="G31" s="71" t="s">
        <v>46</v>
      </c>
      <c r="H31" s="71" t="s">
        <v>47</v>
      </c>
      <c r="I31" s="71"/>
      <c r="J31" s="71"/>
    </row>
    <row r="32" spans="1:10" x14ac:dyDescent="0.3">
      <c r="A32" s="75" t="s">
        <v>44</v>
      </c>
      <c r="B32" s="75"/>
      <c r="C32" s="25">
        <v>0</v>
      </c>
      <c r="D32" s="2"/>
      <c r="E32" s="23">
        <f>E29*C32</f>
        <v>0</v>
      </c>
      <c r="G32" s="71"/>
      <c r="H32" s="71"/>
      <c r="I32" s="71"/>
      <c r="J32" s="71"/>
    </row>
    <row r="33" spans="1:10" x14ac:dyDescent="0.3">
      <c r="A33" s="34" t="s">
        <v>45</v>
      </c>
      <c r="B33" s="35"/>
      <c r="C33" s="35"/>
      <c r="D33" s="70"/>
      <c r="E33" s="27">
        <f>SUM(E29:E32)</f>
        <v>0</v>
      </c>
      <c r="G33" s="71"/>
      <c r="H33" s="71"/>
      <c r="I33" s="71"/>
      <c r="J33" s="71"/>
    </row>
    <row r="36" spans="1:10" x14ac:dyDescent="0.3">
      <c r="A36" s="2" t="s">
        <v>48</v>
      </c>
      <c r="B36" s="2" t="s">
        <v>62</v>
      </c>
    </row>
    <row r="37" spans="1:10" x14ac:dyDescent="0.3">
      <c r="A37" s="2" t="s">
        <v>49</v>
      </c>
      <c r="B37" s="2" t="s">
        <v>57</v>
      </c>
    </row>
    <row r="38" spans="1:10" x14ac:dyDescent="0.3">
      <c r="A38" s="2" t="s">
        <v>50</v>
      </c>
      <c r="B38" s="2">
        <v>125</v>
      </c>
    </row>
    <row r="39" spans="1:10" x14ac:dyDescent="0.3">
      <c r="A39" s="2" t="s">
        <v>51</v>
      </c>
      <c r="B39" s="2">
        <v>20</v>
      </c>
    </row>
    <row r="40" spans="1:10" x14ac:dyDescent="0.3">
      <c r="A40" s="2" t="s">
        <v>52</v>
      </c>
      <c r="B40" s="2" t="s">
        <v>74</v>
      </c>
    </row>
    <row r="41" spans="1:10" x14ac:dyDescent="0.3">
      <c r="A41" s="2" t="s">
        <v>53</v>
      </c>
      <c r="B41" s="30"/>
    </row>
    <row r="42" spans="1:10" x14ac:dyDescent="0.3">
      <c r="A42" s="2" t="s">
        <v>56</v>
      </c>
      <c r="B42" s="30"/>
    </row>
    <row r="43" spans="1:10" x14ac:dyDescent="0.3">
      <c r="A43" s="2" t="s">
        <v>54</v>
      </c>
      <c r="B43" s="30"/>
    </row>
    <row r="44" spans="1:10" x14ac:dyDescent="0.3">
      <c r="A44" s="2" t="s">
        <v>55</v>
      </c>
      <c r="B44" s="30"/>
    </row>
  </sheetData>
  <mergeCells count="19">
    <mergeCell ref="C5:E5"/>
    <mergeCell ref="F1:H1"/>
    <mergeCell ref="I1:J5"/>
    <mergeCell ref="F2:H2"/>
    <mergeCell ref="F3:H3"/>
    <mergeCell ref="F4:H4"/>
    <mergeCell ref="A33:D33"/>
    <mergeCell ref="G31:G33"/>
    <mergeCell ref="H31:J33"/>
    <mergeCell ref="A1:B5"/>
    <mergeCell ref="C1:E1"/>
    <mergeCell ref="C2:E2"/>
    <mergeCell ref="C3:E3"/>
    <mergeCell ref="C4:E4"/>
    <mergeCell ref="F5:H5"/>
    <mergeCell ref="A29:D29"/>
    <mergeCell ref="A30:B30"/>
    <mergeCell ref="A31:B31"/>
    <mergeCell ref="A32:B32"/>
  </mergeCells>
  <phoneticPr fontId="3" type="noConversion"/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2022-08-19T12:15:56Z</dcterms:created>
  <dcterms:modified xsi:type="dcterms:W3CDTF">2023-03-15T12:33:18Z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2022-08-19T12:15:57Z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22dae1a5-c375-4d44-8019-33117799910f</vt:lpwstr>
  </property>
  <property fmtid="{D5CDD505-2E9C-101B-9397-08002B2CF9AE}" pid="8" name="MSIP_Label_1299739c-ad3d-4908-806e-4d91151a6e13_ContentBits">
    <vt:lpwstr>0</vt:lpwstr>
  </property>
</Properties>
</file>