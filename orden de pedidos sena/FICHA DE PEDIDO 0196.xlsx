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ezuleta_sena_edu_co/Documents/1_Ficha de Pedido CDMC/"/>
    </mc:Choice>
  </mc:AlternateContent>
  <xr:revisionPtr revIDLastSave="98" documentId="8_{CB9D82EC-EC05-4AA8-BAE2-A2666855EEDA}" xr6:coauthVersionLast="47" xr6:coauthVersionMax="47" xr10:uidLastSave="{915721A6-1EE6-4129-982F-C77299677AFA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0" i="38" l="1"/>
  <c r="G221" i="38"/>
  <c r="G222" i="38"/>
  <c r="G223" i="38"/>
  <c r="G224" i="38"/>
  <c r="G225" i="38"/>
  <c r="G226" i="38"/>
  <c r="G227" i="38"/>
  <c r="G228" i="38"/>
  <c r="G229" i="38"/>
  <c r="G230" i="38"/>
  <c r="G231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47" i="38"/>
  <c r="G248" i="38"/>
  <c r="G249" i="38"/>
  <c r="G250" i="38"/>
  <c r="G251" i="38"/>
  <c r="G252" i="38"/>
  <c r="G253" i="38"/>
  <c r="G254" i="38"/>
  <c r="G255" i="38"/>
  <c r="G256" i="38"/>
  <c r="G257" i="38"/>
  <c r="G258" i="38"/>
  <c r="G259" i="38"/>
  <c r="G260" i="38"/>
  <c r="G261" i="38"/>
  <c r="G262" i="38"/>
  <c r="G263" i="38"/>
  <c r="G264" i="38"/>
  <c r="G265" i="38"/>
  <c r="G266" i="38"/>
  <c r="G267" i="38"/>
  <c r="G268" i="38"/>
  <c r="G269" i="38"/>
  <c r="G270" i="38"/>
  <c r="G271" i="38"/>
  <c r="G272" i="38"/>
  <c r="G273" i="38"/>
  <c r="G274" i="38"/>
  <c r="G275" i="38"/>
  <c r="G276" i="38"/>
  <c r="G277" i="38"/>
  <c r="G278" i="38"/>
  <c r="G279" i="38"/>
  <c r="G280" i="38"/>
  <c r="G281" i="38"/>
  <c r="G282" i="38"/>
  <c r="G283" i="38"/>
  <c r="G284" i="38"/>
  <c r="G285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G305" i="38"/>
  <c r="G306" i="38"/>
  <c r="G307" i="38"/>
  <c r="G308" i="38"/>
  <c r="G309" i="38"/>
  <c r="G310" i="38"/>
  <c r="G311" i="38"/>
  <c r="G312" i="38"/>
  <c r="G313" i="38"/>
  <c r="G314" i="38"/>
  <c r="G315" i="38"/>
  <c r="G316" i="38"/>
  <c r="G317" i="38"/>
  <c r="G318" i="38"/>
  <c r="G319" i="38"/>
  <c r="G320" i="38"/>
  <c r="G321" i="38"/>
  <c r="G322" i="38"/>
  <c r="G323" i="38"/>
  <c r="G324" i="38"/>
  <c r="G325" i="38"/>
  <c r="G326" i="38"/>
  <c r="G327" i="38"/>
  <c r="G328" i="38"/>
  <c r="G329" i="38"/>
  <c r="G330" i="38"/>
  <c r="G331" i="38"/>
  <c r="G332" i="38"/>
  <c r="G333" i="38"/>
  <c r="G334" i="38"/>
  <c r="G335" i="38"/>
  <c r="G336" i="38"/>
  <c r="G337" i="38"/>
  <c r="G338" i="38"/>
  <c r="G339" i="38"/>
  <c r="G340" i="38"/>
  <c r="G341" i="38"/>
  <c r="G342" i="38"/>
  <c r="G343" i="38"/>
  <c r="G344" i="38"/>
  <c r="G345" i="38"/>
  <c r="G346" i="38"/>
  <c r="G347" i="38"/>
  <c r="G348" i="38"/>
  <c r="G349" i="38"/>
  <c r="G350" i="38"/>
  <c r="G351" i="38"/>
  <c r="G352" i="38"/>
  <c r="G353" i="38"/>
  <c r="G354" i="38"/>
  <c r="G355" i="38"/>
  <c r="G356" i="38"/>
  <c r="G357" i="38"/>
  <c r="G358" i="38"/>
  <c r="G359" i="38"/>
  <c r="G360" i="38"/>
  <c r="G361" i="38"/>
  <c r="G362" i="38"/>
  <c r="G363" i="38"/>
  <c r="G364" i="38"/>
  <c r="G365" i="38"/>
  <c r="G366" i="38"/>
  <c r="G367" i="38"/>
  <c r="G368" i="38"/>
  <c r="G369" i="38"/>
  <c r="G370" i="38"/>
  <c r="G371" i="38"/>
  <c r="G372" i="38"/>
  <c r="G373" i="38"/>
  <c r="G374" i="38"/>
  <c r="G375" i="38"/>
  <c r="G376" i="38"/>
  <c r="G377" i="38"/>
  <c r="G378" i="38"/>
  <c r="G379" i="38"/>
  <c r="G380" i="38"/>
  <c r="G381" i="38"/>
  <c r="G382" i="38"/>
  <c r="G383" i="38"/>
  <c r="G384" i="38"/>
  <c r="G385" i="38"/>
  <c r="G386" i="38"/>
  <c r="G387" i="38"/>
  <c r="G388" i="38"/>
  <c r="G389" i="38"/>
  <c r="G390" i="38"/>
  <c r="G391" i="38"/>
  <c r="G392" i="38"/>
  <c r="G393" i="38"/>
  <c r="G394" i="38"/>
  <c r="G395" i="38"/>
  <c r="G396" i="38"/>
  <c r="G397" i="38"/>
  <c r="G398" i="38"/>
  <c r="G399" i="38"/>
  <c r="G400" i="38"/>
  <c r="G401" i="38"/>
  <c r="G402" i="38"/>
  <c r="G403" i="38"/>
  <c r="G404" i="38"/>
  <c r="G405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G425" i="38"/>
  <c r="G426" i="38"/>
  <c r="G427" i="38"/>
  <c r="G428" i="38"/>
  <c r="G429" i="38"/>
  <c r="G430" i="38"/>
  <c r="G218" i="38"/>
  <c r="G219" i="38"/>
  <c r="G217" i="38"/>
  <c r="O2" i="43"/>
  <c r="A1296" i="38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2" i="61"/>
  <c r="C23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<sst xmlns="http://schemas.openxmlformats.org/spreadsheetml/2006/main" count="5018" uniqueCount="1395">
  <si>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</si>
  <si>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</si>
  <si>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</si>
  <si>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</si>
  <si>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</si>
  <si>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Emely Rivera Delgado</t>
  </si>
  <si>
    <t>CÉDULA</t>
  </si>
  <si>
    <t>PROGRAMA</t>
  </si>
  <si>
    <t>PRODUCCION MARROQUINERIA</t>
  </si>
  <si>
    <t>FICHA(#)</t>
  </si>
  <si>
    <t>NOMBRE DEL PRODUCTO</t>
  </si>
  <si>
    <t>TARJETERO MONEDERO</t>
  </si>
  <si>
    <t>Destinación específica</t>
  </si>
  <si>
    <t>Marroquinería Producción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</si>
  <si>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</si>
  <si>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</si>
  <si>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</si>
  <si>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</si>
  <si>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</si>
  <si>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</si>
  <si>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</si>
  <si>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</si>
  <si>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</si>
  <si>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</si>
  <si>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</si>
  <si>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</si>
  <si>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NAPPA</t>
  </si>
  <si>
    <t>SiNTETICOS_TEXTILES</t>
  </si>
  <si>
    <t>SEDA LAFAYETTE VENDAVAL CON TECNOLOGIA LAFGARD</t>
  </si>
  <si>
    <t>ADHESIVOS_Solventes</t>
  </si>
  <si>
    <t>SOLUCIÓN DE CAUCHO</t>
  </si>
  <si>
    <t>INSUMOS_COMPL_</t>
  </si>
  <si>
    <t>AGUJA CORTA CABO DELGADO 125</t>
  </si>
  <si>
    <t>SECUNDARIO_MEDULAR</t>
  </si>
  <si>
    <t xml:space="preserve">HILOS N°40  </t>
  </si>
  <si>
    <t>TONO A TONO</t>
  </si>
  <si>
    <t>HERRAJES</t>
  </si>
  <si>
    <t>BROCHE BILLETERA PAVÓN, 12,5 MM</t>
  </si>
  <si>
    <t>Retal</t>
  </si>
  <si>
    <t>Colores Surtidos</t>
  </si>
  <si>
    <t>MICROFIBRA DE SOPORTE SUAVE PARA CALZADO Y MARROQUINERÍA CALIBRE 0,5 MM</t>
  </si>
  <si>
    <t>SALPA ITALIANA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</si>
  <si>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</si>
  <si>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</si>
  <si>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</si>
  <si>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</si>
  <si>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</si>
  <si>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</si>
  <si>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</si>
  <si>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</si>
  <si>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</si>
  <si>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</si>
  <si>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</si>
  <si>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</si>
  <si>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</si>
  <si>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</si>
  <si>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</si>
  <si>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</si>
  <si>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</si>
  <si>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</si>
  <si>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</si>
  <si>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</si>
  <si>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</si>
  <si>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</si>
  <si>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</si>
  <si>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</si>
  <si>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</si>
  <si>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</si>
  <si>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</si>
  <si>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</si>
  <si>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</si>
  <si>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</si>
  <si>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</si>
  <si>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</si>
  <si>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</si>
  <si>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</si>
  <si>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</si>
  <si>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</si>
  <si>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</si>
  <si>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</si>
  <si>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</si>
  <si>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</si>
  <si>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</si>
  <si>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</si>
  <si>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</si>
  <si>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</si>
  <si>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</si>
  <si>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</si>
  <si>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</si>
  <si>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</si>
  <si>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</si>
  <si>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</si>
  <si>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</si>
  <si>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DEVOLVER</t>
  </si>
  <si>
    <t>Malla sancudera</t>
  </si>
  <si>
    <t>cm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</si>
  <si>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</si>
  <si>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</si>
  <si>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</si>
  <si>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</si>
  <si>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</si>
  <si>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</si>
  <si>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</si>
  <si>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</si>
  <si>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</si>
  <si>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</si>
  <si>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</si>
  <si>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</si>
  <si>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</si>
  <si>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</si>
  <si>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</si>
  <si>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</si>
  <si>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</si>
  <si>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</si>
  <si>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</si>
  <si>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</si>
  <si>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</si>
  <si>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</si>
  <si>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</si>
  <si>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</si>
  <si>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</si>
  <si>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</si>
  <si>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</si>
  <si>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</si>
  <si>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</si>
  <si>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</si>
  <si>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</si>
  <si>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</si>
  <si>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</si>
  <si>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</si>
  <si>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</si>
  <si>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</si>
  <si>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</si>
  <si>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</si>
  <si>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</si>
  <si>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</si>
  <si>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</si>
  <si>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</si>
  <si>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</si>
  <si>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</si>
  <si>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</si>
  <si>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</si>
  <si>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</si>
  <si>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</si>
  <si>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</si>
  <si>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</si>
  <si>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</si>
  <si>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</si>
  <si>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</si>
  <si>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</si>
  <si>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</si>
  <si>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</si>
  <si>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</si>
  <si>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</si>
  <si>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</si>
  <si>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</si>
  <si>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</si>
  <si>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</si>
  <si>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</si>
  <si>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</si>
  <si>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</si>
  <si>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</si>
  <si>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</si>
  <si>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</si>
  <si>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</si>
  <si>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</si>
  <si>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</si>
  <si>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</si>
  <si>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</si>
  <si>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</si>
  <si>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</si>
  <si>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</si>
  <si>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</si>
  <si>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</si>
  <si>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</si>
  <si>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</si>
  <si>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</si>
  <si>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</si>
  <si>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</si>
  <si>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</si>
  <si>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</si>
  <si>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</si>
  <si>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</si>
  <si>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</si>
  <si>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</si>
  <si>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</si>
  <si>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</si>
  <si>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</si>
  <si>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</si>
  <si>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</si>
  <si>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</si>
  <si>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</si>
  <si>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</si>
  <si>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</si>
  <si>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</si>
  <si>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</si>
  <si>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</si>
  <si>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</si>
  <si>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</si>
  <si>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</si>
  <si>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</si>
  <si>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</si>
  <si>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</si>
  <si>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</si>
  <si>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</si>
  <si>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</si>
  <si>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</si>
  <si>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</si>
  <si>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</si>
  <si>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</si>
  <si>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</si>
  <si>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</si>
  <si>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</si>
  <si>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</si>
  <si>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</si>
  <si>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</si>
  <si>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</si>
  <si>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</si>
  <si>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</si>
  <si>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</si>
  <si>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</si>
  <si>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</si>
  <si>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</si>
  <si>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</si>
  <si>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</si>
  <si>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</si>
  <si>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</si>
  <si>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</si>
  <si>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</si>
  <si>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</si>
  <si>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</si>
  <si>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</si>
  <si>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</si>
  <si>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</si>
  <si>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</si>
  <si>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</si>
  <si>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</si>
  <si>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</si>
  <si>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</si>
  <si>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</si>
  <si>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</si>
  <si>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</si>
  <si>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</si>
  <si>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</si>
  <si>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</si>
  <si>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</si>
  <si>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</si>
  <si>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</si>
  <si>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</si>
  <si>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</si>
  <si>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</si>
  <si>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</si>
  <si>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</si>
  <si>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</si>
  <si>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</si>
  <si>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</si>
  <si>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</si>
  <si>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</si>
  <si>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</si>
  <si>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</si>
  <si>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</si>
  <si>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</si>
  <si>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</si>
  <si>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</si>
  <si>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</si>
  <si>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</si>
  <si>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</si>
  <si>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</si>
  <si>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</si>
  <si>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</si>
  <si>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</si>
  <si>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</si>
  <si>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</si>
  <si>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</si>
  <si>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</si>
  <si>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</si>
  <si>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</si>
  <si>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</si>
  <si>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</si>
  <si>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</si>
  <si>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</si>
  <si>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</si>
  <si>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</si>
  <si>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</si>
  <si>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</si>
  <si>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</si>
  <si>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</si>
  <si>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</si>
  <si>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</si>
  <si>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</si>
  <si>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</si>
  <si>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</si>
  <si>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</si>
  <si>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</si>
  <si>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</si>
  <si>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</si>
  <si>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</si>
  <si>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</si>
  <si>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</si>
  <si>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</si>
  <si>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</si>
  <si>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</si>
  <si>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</si>
  <si>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</si>
  <si>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</si>
  <si>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</si>
  <si>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</si>
  <si>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</si>
  <si>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</si>
  <si>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</si>
  <si>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</si>
  <si>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</si>
  <si>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</si>
  <si>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</si>
  <si>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</si>
  <si>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</si>
  <si>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</si>
  <si>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</si>
  <si>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</si>
  <si>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</si>
  <si>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</si>
  <si>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</si>
  <si>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</si>
  <si>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</si>
  <si>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</si>
  <si>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</si>
  <si>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</si>
  <si>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</si>
  <si>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</si>
  <si>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</si>
  <si>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</si>
  <si>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</si>
  <si>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</si>
  <si>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</si>
  <si>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</si>
  <si>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</si>
  <si>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</si>
  <si>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</si>
  <si>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</si>
  <si>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</si>
  <si>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</si>
  <si>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</si>
  <si>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</si>
  <si>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</si>
  <si>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</si>
  <si>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</si>
  <si>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</si>
  <si>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</si>
  <si>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</si>
  <si>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</si>
  <si>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</si>
  <si>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</si>
  <si>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</si>
  <si>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</si>
  <si>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</si>
  <si>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</si>
  <si>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</si>
  <si>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</si>
  <si>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</si>
  <si>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</si>
  <si>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</si>
  <si>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</si>
  <si>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</si>
  <si>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</si>
  <si>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</si>
  <si>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</si>
  <si>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</si>
  <si>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</si>
  <si>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</si>
  <si>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</si>
  <si>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</si>
  <si>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</si>
  <si>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</si>
  <si>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</si>
  <si>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</si>
  <si>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</si>
  <si>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</si>
  <si>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</si>
  <si>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</si>
  <si>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</si>
  <si>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</si>
  <si>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</si>
  <si>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</si>
  <si>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</si>
  <si>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</si>
  <si>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</si>
  <si>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</si>
  <si>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</si>
  <si>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</si>
  <si>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</si>
  <si>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</si>
  <si>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</si>
  <si>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</si>
  <si>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</si>
  <si>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</si>
  <si>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</si>
  <si>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</si>
  <si>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</si>
  <si>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</si>
  <si>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</si>
  <si>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</si>
  <si>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</si>
  <si>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</si>
  <si>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</si>
  <si>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</si>
  <si>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</si>
  <si>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</si>
  <si>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</si>
  <si>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</si>
  <si>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</si>
  <si>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</si>
  <si>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</si>
  <si>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</si>
  <si>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</si>
  <si>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</si>
  <si>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</si>
  <si>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</si>
  <si>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</si>
  <si>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</si>
  <si>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</si>
  <si>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</si>
  <si>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</si>
  <si>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</si>
  <si>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</si>
  <si>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</si>
  <si>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</si>
  <si>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</si>
  <si>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</si>
  <si>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</si>
  <si>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</si>
  <si>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</si>
  <si>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</si>
  <si>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</si>
  <si>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</si>
  <si>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</si>
  <si>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</si>
  <si>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</si>
  <si>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</si>
  <si>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</si>
  <si>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</si>
  <si>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</si>
  <si>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</si>
  <si>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</si>
  <si>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</si>
  <si>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</si>
  <si>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</si>
  <si>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</si>
  <si>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</si>
  <si>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</si>
  <si>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</si>
  <si>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</si>
  <si>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</si>
  <si>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</si>
  <si>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</si>
  <si>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</si>
  <si>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</si>
  <si>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</si>
  <si>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</si>
  <si>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</si>
  <si>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</si>
  <si>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</si>
  <si>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</si>
  <si>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</si>
  <si>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</si>
  <si>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</si>
  <si>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</si>
  <si>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</si>
  <si>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</si>
  <si>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</si>
  <si>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</si>
  <si>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</si>
  <si>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</si>
  <si>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</si>
  <si>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</si>
  <si>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</si>
  <si>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</si>
  <si>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</si>
  <si>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</si>
  <si>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</si>
  <si>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</si>
  <si>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</si>
  <si>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</si>
  <si>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</si>
  <si>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</si>
  <si>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</si>
  <si>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</si>
  <si>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</si>
  <si>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</si>
  <si>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</si>
  <si>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</si>
  <si>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</si>
  <si>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</si>
  <si>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</si>
  <si>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</si>
  <si>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</si>
  <si>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</si>
  <si>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</si>
  <si>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</si>
  <si>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</si>
  <si>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</si>
  <si>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</si>
  <si>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</si>
  <si>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</si>
  <si>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</si>
  <si>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</si>
  <si>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</si>
  <si>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</si>
  <si>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</si>
  <si>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</si>
  <si>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</si>
  <si>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</si>
  <si>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</si>
  <si>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</si>
  <si>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</si>
  <si>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</si>
  <si>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</si>
  <si>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</si>
  <si>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</si>
  <si>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</si>
  <si>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</si>
  <si>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</si>
  <si>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</si>
  <si>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</si>
  <si>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</si>
  <si>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</si>
  <si>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</si>
  <si>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</si>
  <si>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</si>
  <si>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</si>
  <si>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</si>
  <si>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</si>
  <si>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</si>
  <si>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</si>
  <si>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</si>
  <si>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</si>
  <si>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</si>
  <si>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</si>
  <si>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</si>
  <si>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</si>
  <si>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</si>
  <si>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</si>
  <si>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</si>
  <si>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</si>
  <si>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</si>
  <si>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</si>
  <si>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</si>
  <si>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</si>
  <si>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</si>
  <si>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</si>
  <si>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</si>
  <si>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</si>
  <si>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</si>
  <si>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</si>
  <si>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</si>
  <si>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</si>
  <si>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</si>
  <si>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</si>
  <si>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</si>
  <si>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</si>
  <si>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</si>
  <si>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</si>
  <si>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</si>
  <si>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</si>
  <si>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</si>
  <si>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</si>
  <si>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</si>
  <si>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</si>
  <si>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</si>
  <si>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</si>
  <si>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</si>
  <si>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</si>
  <si>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</si>
  <si>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</si>
  <si>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</si>
  <si>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</si>
  <si>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</si>
  <si>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</si>
  <si>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</si>
  <si>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</si>
  <si>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</si>
  <si>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</si>
  <si>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</si>
  <si>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</si>
  <si>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</si>
  <si>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</si>
  <si>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</si>
  <si>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</si>
  <si>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</si>
  <si>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</si>
  <si>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</si>
  <si>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</si>
  <si>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</si>
  <si>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</si>
  <si>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</si>
  <si>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</si>
  <si>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</si>
  <si>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</si>
  <si>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</si>
  <si>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</si>
  <si>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</si>
  <si>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</si>
  <si>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</si>
  <si>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</si>
  <si>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</si>
  <si>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</si>
  <si>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</si>
  <si>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</si>
  <si>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</si>
  <si>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</si>
  <si>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</si>
  <si>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</si>
  <si>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</si>
  <si>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</si>
  <si>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</si>
  <si>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</si>
  <si>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</si>
  <si>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</si>
  <si>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</si>
  <si>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</si>
  <si>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</si>
  <si>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</si>
  <si>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</si>
  <si>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</si>
  <si>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</si>
  <si>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</si>
  <si>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</si>
  <si>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</si>
  <si>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</si>
  <si>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</si>
  <si>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</si>
  <si>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</si>
  <si>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</si>
  <si>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</si>
  <si>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</si>
  <si>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</si>
  <si>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</si>
  <si>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</si>
  <si>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</si>
  <si>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</si>
  <si>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</si>
  <si>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</si>
  <si>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</si>
  <si>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</si>
  <si>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</si>
  <si>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</si>
  <si>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</si>
  <si>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</si>
  <si>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</si>
  <si>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</si>
  <si>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</si>
  <si>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</si>
  <si>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</si>
  <si>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</si>
  <si>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</si>
  <si>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</si>
  <si>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</si>
  <si>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</si>
  <si>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</si>
  <si>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</si>
  <si>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</si>
  <si>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</si>
  <si>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</si>
  <si>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</si>
  <si>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</si>
  <si>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</si>
  <si>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</si>
  <si>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</si>
  <si>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</si>
  <si>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</si>
  <si>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</si>
  <si>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</si>
  <si>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</si>
  <si>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</si>
  <si>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</si>
  <si>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</si>
  <si>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</si>
  <si>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</si>
  <si>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</si>
  <si>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</si>
  <si>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</si>
  <si>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</si>
  <si>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</si>
  <si>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</si>
  <si>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</si>
  <si>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</si>
  <si>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</si>
  <si>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</si>
  <si>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</si>
  <si>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</si>
  <si>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</si>
  <si>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</si>
  <si>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</si>
  <si>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</si>
  <si>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</si>
  <si>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</si>
  <si>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</si>
  <si>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</si>
  <si>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</si>
  <si>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</si>
  <si>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</si>
  <si>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</si>
  <si>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</si>
  <si>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</si>
  <si>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</si>
  <si>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</si>
  <si>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</si>
  <si>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</si>
  <si>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</si>
  <si>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</si>
  <si>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</si>
  <si>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</si>
  <si>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</si>
  <si>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</si>
  <si>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</si>
  <si>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</si>
  <si>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</si>
  <si>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</si>
  <si>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</si>
  <si>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</si>
  <si>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</si>
  <si>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</si>
  <si>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</si>
  <si>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</si>
  <si>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</si>
  <si>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</si>
  <si>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</si>
  <si>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</si>
  <si>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</si>
  <si>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</si>
  <si>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</si>
  <si>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</si>
  <si>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</si>
  <si>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</si>
  <si>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</si>
  <si>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</si>
  <si>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</si>
  <si>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</si>
  <si>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</si>
  <si>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</si>
  <si>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</si>
  <si>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</si>
  <si>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</si>
  <si>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</si>
  <si>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</si>
  <si>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</si>
  <si>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</si>
  <si>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</si>
  <si>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</si>
  <si>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</si>
  <si>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</si>
  <si>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</si>
  <si>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</si>
  <si>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</si>
  <si>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</si>
  <si>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</si>
  <si>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</si>
  <si>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</si>
  <si>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</si>
  <si>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</si>
  <si>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</si>
  <si>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</si>
  <si>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</si>
  <si>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</si>
  <si>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</si>
  <si>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</si>
  <si>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</si>
  <si>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</si>
  <si>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</si>
  <si>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</si>
  <si>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</si>
  <si>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</si>
  <si>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</si>
  <si>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</si>
  <si>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</si>
  <si>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</si>
  <si>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</si>
  <si>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</si>
  <si>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</si>
  <si>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</si>
  <si>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</si>
  <si>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</si>
  <si>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</si>
  <si>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</si>
  <si>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</si>
  <si>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</si>
  <si>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</si>
  <si>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</si>
  <si>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</si>
  <si>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</si>
  <si>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</si>
  <si>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</si>
  <si>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</si>
  <si>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</si>
  <si>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</si>
  <si>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</si>
  <si>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</si>
  <si>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</si>
  <si>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</si>
  <si>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</si>
  <si>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</si>
  <si>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</si>
  <si>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</si>
  <si>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</si>
  <si>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</si>
  <si>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</si>
  <si>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</si>
  <si>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</si>
  <si>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</si>
  <si>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</si>
  <si>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</si>
  <si>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</si>
  <si>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</si>
  <si>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</si>
  <si>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</si>
  <si>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</si>
  <si>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</si>
  <si>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</si>
  <si>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</si>
  <si>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</si>
  <si>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</si>
  <si>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</si>
  <si>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</si>
  <si>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</si>
  <si>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</si>
  <si>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</si>
  <si>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</si>
  <si>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</si>
  <si>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</si>
  <si>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</si>
  <si>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</si>
  <si>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</si>
  <si>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</si>
  <si>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</si>
  <si>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</si>
  <si>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</si>
  <si>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</si>
  <si>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</si>
  <si>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</si>
  <si>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</si>
  <si>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</si>
  <si>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</si>
  <si>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</si>
  <si>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</si>
  <si>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</si>
  <si>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</si>
  <si>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</si>
  <si>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</si>
  <si>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</si>
  <si>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</si>
  <si>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</si>
  <si>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</si>
  <si>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</si>
  <si>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</si>
  <si>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</si>
  <si>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</si>
  <si>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</si>
  <si>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</si>
  <si>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</si>
  <si>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</si>
  <si>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</si>
  <si>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</si>
  <si>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</si>
  <si>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</si>
  <si>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</si>
  <si>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</si>
  <si>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</si>
  <si>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</si>
  <si>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</si>
  <si>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</si>
  <si>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</si>
  <si>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</si>
  <si>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</si>
  <si>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</si>
  <si>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</si>
  <si>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</si>
  <si>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</si>
  <si>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</si>
  <si>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</si>
  <si>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</si>
  <si>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</si>
  <si>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</si>
  <si>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</si>
  <si>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</si>
  <si>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</si>
  <si>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</si>
  <si>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</si>
  <si>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</si>
  <si>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</si>
  <si>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</si>
  <si>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</si>
  <si>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</si>
  <si>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</si>
  <si>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</si>
  <si>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</si>
  <si>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</si>
  <si>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</si>
  <si>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</si>
  <si>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</si>
  <si>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</si>
  <si>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</si>
  <si>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</si>
  <si>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</si>
  <si>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</si>
  <si>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</si>
  <si>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</si>
  <si>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</si>
  <si>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</si>
  <si>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</si>
  <si>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</si>
  <si>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</si>
  <si>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</si>
  <si>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</si>
  <si>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</si>
  <si>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</si>
  <si>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</si>
  <si>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</si>
  <si>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</si>
  <si>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</si>
  <si>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</si>
  <si>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</si>
  <si>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</si>
  <si>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</si>
  <si>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</si>
  <si>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</si>
  <si>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</si>
  <si>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</si>
  <si>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</si>
  <si>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</si>
  <si>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</si>
  <si>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</si>
  <si>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</si>
  <si>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</si>
  <si>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</si>
  <si>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</si>
  <si>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</si>
  <si>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</si>
  <si>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</si>
  <si>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</si>
  <si>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</si>
  <si>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</si>
  <si>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</si>
  <si>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</si>
  <si>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</si>
  <si>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</si>
  <si>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</si>
  <si>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</si>
  <si>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</si>
  <si>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</si>
  <si>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</si>
  <si>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</si>
  <si>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</si>
  <si>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</si>
  <si>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</si>
  <si>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</si>
  <si>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</si>
  <si>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</si>
  <si>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</si>
  <si>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</si>
  <si>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</si>
  <si>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</si>
  <si>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</si>
  <si>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</si>
  <si>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</si>
  <si>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</si>
  <si>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</si>
  <si>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</si>
  <si>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</si>
  <si>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</si>
  <si>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</si>
  <si>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</si>
  <si>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</si>
  <si>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</si>
  <si>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</si>
  <si>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</si>
  <si>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</si>
  <si>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</si>
  <si>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</si>
  <si>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</si>
  <si>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</si>
  <si>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</si>
  <si>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</si>
  <si>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</si>
  <si>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</si>
  <si>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</si>
  <si>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</si>
  <si>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</si>
  <si>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</si>
  <si>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</si>
  <si>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</si>
  <si>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</si>
  <si>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</si>
  <si>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</si>
  <si>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</si>
  <si>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</si>
  <si>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</si>
  <si>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</si>
  <si>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</si>
  <si>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</si>
  <si>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</si>
  <si>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</si>
  <si>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</si>
  <si>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</si>
  <si>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</si>
  <si>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</si>
  <si>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</si>
  <si>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</si>
  <si>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</si>
  <si>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</si>
  <si>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</si>
  <si>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</si>
  <si>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</si>
  <si>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</si>
  <si>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</si>
  <si>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</si>
  <si>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</si>
  <si>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</si>
  <si>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</si>
  <si>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</si>
  <si>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</si>
  <si>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</si>
  <si>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</si>
  <si>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</si>
  <si>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</si>
  <si>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</si>
  <si>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</si>
  <si>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</si>
  <si>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</si>
  <si>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</si>
  <si>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</si>
  <si>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</si>
  <si>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</si>
  <si>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</si>
  <si>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</si>
  <si>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</si>
  <si>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</si>
  <si>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</si>
  <si>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</si>
  <si>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</si>
  <si>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</si>
  <si>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</si>
  <si>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</si>
  <si>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</si>
  <si>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</si>
  <si>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</si>
  <si>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</si>
  <si>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</si>
  <si>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</si>
  <si>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</si>
  <si>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</si>
  <si>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</si>
  <si>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</si>
  <si>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</si>
  <si>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</si>
  <si>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</si>
  <si>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</si>
  <si>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</si>
  <si>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</si>
  <si>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</si>
  <si>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</si>
  <si>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</si>
  <si>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</si>
  <si>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</si>
  <si>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</si>
  <si>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</si>
  <si>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</si>
  <si>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</si>
  <si>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</si>
  <si>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</si>
  <si>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</si>
  <si>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</si>
  <si>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</si>
  <si>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</si>
  <si>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</si>
  <si>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</si>
  <si>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</si>
  <si>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</si>
  <si>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</si>
  <si>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</si>
  <si>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</si>
  <si>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</si>
  <si>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</si>
  <si>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</si>
  <si>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</si>
  <si>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</si>
  <si>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</si>
  <si>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</si>
  <si>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</si>
  <si>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</si>
  <si>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</si>
  <si>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</si>
  <si>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</si>
  <si>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</si>
  <si>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</si>
  <si>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</si>
  <si>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</si>
  <si>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</si>
  <si>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</si>
  <si>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</si>
  <si>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</si>
  <si>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</si>
  <si>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</si>
  <si>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</si>
  <si>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</si>
  <si>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</si>
  <si>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</si>
  <si>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</si>
  <si>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</si>
  <si>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</si>
  <si>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</si>
  <si>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</si>
  <si>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</si>
  <si>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</si>
  <si>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</si>
  <si>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</si>
  <si>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</si>
  <si>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</si>
  <si>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</si>
  <si>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</si>
  <si>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</si>
  <si>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</si>
  <si>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</si>
  <si>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</si>
  <si>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</si>
  <si>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</si>
  <si>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</si>
  <si>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</si>
  <si>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</si>
  <si>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</si>
  <si>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</si>
  <si>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</si>
  <si>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</si>
  <si>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</si>
  <si>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</si>
  <si>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</si>
  <si>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</si>
  <si>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</si>
  <si>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</si>
  <si>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</si>
  <si>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</si>
  <si>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</si>
  <si>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</si>
  <si>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</si>
  <si>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</si>
  <si>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</si>
  <si>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</si>
  <si>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</si>
  <si>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</si>
  <si>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</si>
  <si>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</si>
  <si>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</si>
  <si>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</si>
  <si>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</si>
  <si>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</si>
  <si>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</si>
  <si>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</si>
  <si>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</si>
  <si>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</si>
  <si>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</si>
  <si>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</si>
  <si>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</si>
  <si>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</si>
  <si>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</si>
  <si>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</si>
  <si>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</si>
  <si>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</si>
  <si>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</si>
  <si>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</si>
  <si>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</si>
  <si>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</si>
  <si>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</si>
  <si>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</si>
  <si>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</si>
  <si>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</si>
  <si>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</si>
  <si>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</si>
  <si>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</si>
  <si>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</si>
  <si>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</si>
  <si>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</si>
  <si>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</si>
  <si>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</si>
  <si>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</si>
  <si>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</si>
  <si>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</si>
  <si>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</si>
  <si>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</si>
  <si>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</si>
  <si>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</si>
  <si>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</si>
  <si>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</si>
  <si>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</si>
  <si>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</si>
  <si>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</si>
  <si>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</si>
  <si>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</si>
  <si>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</si>
  <si>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</si>
  <si>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</si>
  <si>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</si>
  <si>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</si>
  <si>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</si>
  <si>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</si>
  <si>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</si>
  <si>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</si>
  <si>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</si>
  <si>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</si>
  <si>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</si>
  <si>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</si>
  <si>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</si>
  <si>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</si>
  <si>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</si>
  <si>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</si>
  <si>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</si>
  <si>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</si>
  <si>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</si>
  <si>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</si>
  <si>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</si>
  <si>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</si>
  <si>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</si>
  <si>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</si>
  <si>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</si>
  <si>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</si>
  <si>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</si>
  <si>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</si>
  <si>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</si>
  <si>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</si>
  <si>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</si>
  <si>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</si>
  <si>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</si>
  <si>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</si>
  <si>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</si>
  <si>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</si>
  <si>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</si>
  <si>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</si>
  <si>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</si>
  <si>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</si>
  <si>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</si>
  <si>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</si>
  <si>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</si>
  <si>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</si>
  <si>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</si>
  <si>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</si>
  <si>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</si>
  <si>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</si>
  <si>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</si>
  <si>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</si>
  <si>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</si>
  <si>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</si>
  <si>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</si>
  <si>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</si>
  <si>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</si>
  <si>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</si>
  <si>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</si>
  <si>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</si>
  <si>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</si>
  <si>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</si>
  <si>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</si>
  <si>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</si>
  <si>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</si>
  <si>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</si>
  <si>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</si>
  <si>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</si>
  <si>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</si>
  <si>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</si>
  <si>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</si>
  <si>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</si>
  <si>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</si>
  <si>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</si>
  <si>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</si>
  <si>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</si>
  <si>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</si>
  <si>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</si>
  <si>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</si>
  <si>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</si>
  <si>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</si>
  <si>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</si>
  <si>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</si>
  <si>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</si>
  <si>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</si>
  <si>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</si>
  <si>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</si>
  <si>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</si>
  <si>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</si>
  <si>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</si>
  <si>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</si>
  <si>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</si>
  <si>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</si>
  <si>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</si>
  <si>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</si>
  <si>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</si>
  <si>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</si>
  <si>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</si>
  <si>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</si>
  <si>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</si>
  <si>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</si>
  <si>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</si>
  <si>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</si>
  <si>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</si>
  <si>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</si>
  <si>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</si>
  <si>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</si>
  <si>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</si>
  <si>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</si>
  <si>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</si>
  <si>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</si>
  <si>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</si>
  <si>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</si>
  <si>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</si>
  <si>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</si>
  <si>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</si>
  <si>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</si>
  <si>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</si>
  <si>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</si>
  <si>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</si>
  <si>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</si>
  <si>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</si>
  <si>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</si>
  <si>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</si>
  <si>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</si>
  <si>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Formación</t>
  </si>
  <si>
    <t>COMPLEMENTARIO MARROQUINERIA</t>
  </si>
  <si>
    <t>Alina Posada Villada</t>
  </si>
  <si>
    <t>Amarillo</t>
  </si>
  <si>
    <t>centimetros</t>
  </si>
  <si>
    <t>Calzado Producción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</si>
  <si>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</si>
  <si>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</si>
  <si>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</si>
  <si>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</si>
  <si>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</si>
  <si>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Formación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</si>
  <si>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</si>
  <si>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</si>
  <si>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</si>
  <si>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</si>
  <si>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</si>
  <si>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</si>
  <si>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</si>
  <si>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</si>
  <si>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</si>
  <si>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</si>
  <si>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</si>
  <si>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</si>
  <si>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</si>
  <si>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Transversal</t>
  </si>
  <si>
    <t>PRODCCION  CALZADO</t>
  </si>
  <si>
    <t>Diego Gomez Chavarria</t>
  </si>
  <si>
    <t>Colores Varios</t>
  </si>
  <si>
    <t>Frasco</t>
  </si>
  <si>
    <t>PRODCCION  CALZADO Y MARROQUINERIA</t>
  </si>
  <si>
    <t>Elizaveth Mancera Escobar</t>
  </si>
  <si>
    <t>Negro</t>
  </si>
  <si>
    <t>Galon</t>
  </si>
  <si>
    <t>Elkin Zuelta Montoya</t>
  </si>
  <si>
    <t xml:space="preserve">Rojo </t>
  </si>
  <si>
    <t>Garrafa</t>
  </si>
  <si>
    <t>gf</t>
  </si>
  <si>
    <t>MANTAJE Y ENSUELADO</t>
  </si>
  <si>
    <t>Verde</t>
  </si>
  <si>
    <t>gramos</t>
  </si>
  <si>
    <t>Fredy Calderón Lozano</t>
  </si>
  <si>
    <t>Gloria Pabon Yepes</t>
  </si>
  <si>
    <t>kilogramo</t>
  </si>
  <si>
    <t>Jorge Hernandez Cano</t>
  </si>
  <si>
    <t>Lamina</t>
  </si>
  <si>
    <t>Jorge Mario Correa  Castañeda</t>
  </si>
  <si>
    <t>Libra</t>
  </si>
  <si>
    <t>Juan Hoyos Maya</t>
  </si>
  <si>
    <t>Litro</t>
  </si>
  <si>
    <t>Juan Velásquez Rivas</t>
  </si>
  <si>
    <t xml:space="preserve">	3396236</t>
  </si>
  <si>
    <t>metros</t>
  </si>
  <si>
    <t>Juan Villa Salazar</t>
  </si>
  <si>
    <t>miligramos</t>
  </si>
  <si>
    <t>mg</t>
  </si>
  <si>
    <t>Juan Vivas Alarcon</t>
  </si>
  <si>
    <t>mililitro</t>
  </si>
  <si>
    <t>María Bolivar Agudelo</t>
  </si>
  <si>
    <t>Maribel Gil Zapata</t>
  </si>
  <si>
    <t>Paquetre</t>
  </si>
  <si>
    <t>Maybelline Aristizabal</t>
  </si>
  <si>
    <t>pares</t>
  </si>
  <si>
    <t>Orlando Bolaños Carlosama</t>
  </si>
  <si>
    <t>Paul  Tamayo Caviedes</t>
  </si>
  <si>
    <t>Ronald Quintero Aguilera</t>
  </si>
  <si>
    <t>Rubén  Patiño Ospina</t>
  </si>
  <si>
    <t>Unidad</t>
  </si>
  <si>
    <t>Samuel  Hernandez Alvarez</t>
  </si>
  <si>
    <t>Sebastian Tabares Osuna</t>
  </si>
  <si>
    <t>Sofia Delgado Monsalve</t>
  </si>
  <si>
    <t>Susana  Castaño Tirado</t>
  </si>
  <si>
    <t>Luis Fernando Velásquez</t>
  </si>
  <si>
    <t>Dyron Javier  Ramirez Osorio</t>
  </si>
  <si>
    <t xml:space="preserve">98577544
</t>
  </si>
  <si>
    <t>Carlos Mario Castañeda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</si>
</sst>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vertical="center"/>
    </xf>
    <xf numFmtId="0" fontId="0" fillId="0" borderId="41" xfId="0" applyBorder="1" applyAlignment="1">
      <alignment horizontal="right"/>
    </xf>
    <xf numFmtId="0" fontId="0" fillId="0" borderId="0" xfId="0" applyAlignment="1">
      <alignment horizontal="right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0</xdr:row>
      <xdr:rowOff>238125</xdr:rowOff>
    </xdr:from>
    <xdr:to>
      <xdr:col>24</xdr:col>
      <xdr:colOff>447675</xdr:colOff>
      <xdr:row>6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7D0A24-E346-B21A-E4CA-A9395DD07751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9950" y="238125"/>
          <a:ext cx="2847975" cy="1704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4" totalsRowShown="0" headerRowDxfId="7" headerRowBorderDxfId="5" tableBorderDxfId="6" totalsRowBorderDxfId="4">
  <autoFilter ref="H1:I34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sortState xmlns:xlrd2="http://schemas.microsoft.com/office/spreadsheetml/2017/richdata2" ref="D3:D8">
    <sortCondition ref="D2:D8"/>
  </sortState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tabSelected="1" zoomScaleNormal="100" workbookViewId="0">
      <pane ySplit="8" topLeftCell="A9" activePane="bottomLeft" state="frozen"/>
      <selection pane="bottomLeft" activeCell="D15" sqref="D15:N15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ER0406-1</v>
      </c>
      <c r="G1" s="350"/>
      <c r="H1" s="351"/>
      <c r="I1" s="352" t="s">
        <v>1</v>
      </c>
      <c r="J1" s="353"/>
      <c r="K1" s="233"/>
      <c r="L1" s="331" t="s">
        <v>2</v>
      </c>
      <c r="M1" s="354"/>
      <c r="N1" s="354"/>
      <c r="O1" s="355">
        <v>45447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1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IFERROR(IF(E2="","",INDEX(Listas!H2:I30,MATCH('Soli_citud '!E2,Intructores,0),2)),"")</f>
        <v>32142539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1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>
        <v>2852859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1"/>
    </row>
    <row r="4" spans="1:28" ht="30.75" customHeight="1">
      <c r="A4" s="363" t="s">
        <v>10</v>
      </c>
      <c r="B4" s="363"/>
      <c r="C4" s="363"/>
      <c r="D4" s="357" t="s">
        <v>11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1"/>
    </row>
    <row r="5" spans="1:28" ht="29.25" customHeight="1">
      <c r="A5" s="390" t="s">
        <v>14</v>
      </c>
      <c r="B5" s="390"/>
      <c r="C5" s="390"/>
      <c r="D5" s="391">
        <f ca="1">IF(K5="","",(SUM(W10:Y28)-(SUMIF(U10:V28,"Restar_Pedido",W10:Y28)))/$K$5)</f>
        <v>7555.1281397810908</v>
      </c>
      <c r="E5" s="392"/>
      <c r="F5" s="393"/>
      <c r="G5" s="370" t="s">
        <v>15</v>
      </c>
      <c r="H5" s="394"/>
      <c r="I5" s="394"/>
      <c r="J5" s="371"/>
      <c r="K5" s="345">
        <v>20</v>
      </c>
      <c r="L5" s="345"/>
      <c r="M5" s="346" t="s">
        <v>16</v>
      </c>
      <c r="N5" s="346"/>
      <c r="O5" s="335">
        <f ca="1">IFERROR(IF(K5=0,"",D5*K5),"")</f>
        <v>151102.56279562181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41"/>
      <c r="T6" s="342"/>
      <c r="U6" s="342"/>
      <c r="V6" s="342"/>
      <c r="W6" s="342"/>
      <c r="X6" s="342"/>
      <c r="Y6" s="343"/>
      <c r="Z6" s="31"/>
      <c r="AA6" s="34"/>
      <c r="AB6" s="34"/>
    </row>
    <row r="7" spans="1:28" ht="24" customHeight="1" thickBot="1">
      <c r="A7" s="375" t="s">
        <v>17</v>
      </c>
      <c r="B7" s="375"/>
      <c r="C7" s="376"/>
      <c r="D7" s="377" t="s">
        <v>18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19</v>
      </c>
      <c r="P7" s="324"/>
      <c r="Q7" s="384" t="s">
        <v>20</v>
      </c>
      <c r="R7" s="384"/>
      <c r="S7" s="342"/>
      <c r="T7" s="342"/>
      <c r="U7" s="342"/>
      <c r="V7" s="342"/>
      <c r="W7" s="342"/>
      <c r="X7" s="342"/>
      <c r="Y7" s="343"/>
      <c r="Z7" s="31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21</v>
      </c>
      <c r="T8" s="326"/>
      <c r="U8" s="326"/>
      <c r="V8" s="327">
        <f>IF(K5="","",1/K5)</f>
        <v>0.05</v>
      </c>
      <c r="W8" s="328"/>
      <c r="X8" s="104"/>
      <c r="Y8" s="105">
        <f>IFERROR((V8*X8)," ")</f>
        <v>0</v>
      </c>
      <c r="Z8" s="31"/>
    </row>
    <row r="9" spans="1:28" ht="12" customHeight="1">
      <c r="A9" s="344"/>
      <c r="B9" s="344"/>
      <c r="C9" s="344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25" t="s">
        <v>22</v>
      </c>
      <c r="T9" s="325"/>
      <c r="U9" s="324" t="s">
        <v>23</v>
      </c>
      <c r="V9" s="324"/>
      <c r="W9" s="324" t="s">
        <v>24</v>
      </c>
      <c r="X9" s="324"/>
      <c r="Y9" s="324"/>
    </row>
    <row r="10" spans="1:28" ht="17.25" customHeight="1">
      <c r="A10" s="298" t="s">
        <v>25</v>
      </c>
      <c r="B10" s="298"/>
      <c r="C10" s="299"/>
      <c r="D10" s="395" t="s">
        <v>26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>dm2</v>
      </c>
      <c r="P10" s="304"/>
      <c r="Q10" s="305">
        <v>7</v>
      </c>
      <c r="R10" s="306"/>
      <c r="S10" s="307">
        <f>IFERROR(IF(Q10="Unidad","1",(Q10*$K$5)),"")</f>
        <v>140</v>
      </c>
      <c r="T10" s="308"/>
      <c r="U10" s="309"/>
      <c r="V10" s="398"/>
      <c r="W10" s="310">
        <f ca="1">IFERROR(IF(D10="","",INDEX(Tabla_Completa,MATCH('Soli_citud '!D10,Materiales,0),7)*S10),"")</f>
        <v>125783</v>
      </c>
      <c r="X10" s="310"/>
      <c r="Y10" s="310"/>
      <c r="Z10" s="35"/>
    </row>
    <row r="11" spans="1:28" ht="17.25" customHeight="1">
      <c r="A11" s="297" t="s">
        <v>27</v>
      </c>
      <c r="B11" s="298"/>
      <c r="C11" s="299"/>
      <c r="D11" s="395" t="s">
        <v>28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>cm2</v>
      </c>
      <c r="P11" s="304"/>
      <c r="Q11" s="305">
        <v>5</v>
      </c>
      <c r="R11" s="306"/>
      <c r="S11" s="307">
        <f t="shared" ref="S11:S31" si="1">IFERROR(IF(Q11="Unidad","1",(Q11*$K$5)),"")</f>
        <v>100</v>
      </c>
      <c r="T11" s="308"/>
      <c r="U11" s="309"/>
      <c r="V11" s="309"/>
      <c r="W11" s="310">
        <f ca="1">IFERROR(IF(D11="","",INDEX(Tabla_Completa,MATCH('Soli_citud '!D11,Materiales,0),7)*S11),"")</f>
        <v>200.11428571428573</v>
      </c>
      <c r="X11" s="310"/>
      <c r="Y11" s="310"/>
    </row>
    <row r="12" spans="1:28" ht="15.75" customHeight="1">
      <c r="A12" s="297" t="s">
        <v>29</v>
      </c>
      <c r="B12" s="298"/>
      <c r="C12" s="299"/>
      <c r="D12" s="399" t="s">
        <v>30</v>
      </c>
      <c r="E12" s="396"/>
      <c r="F12" s="396"/>
      <c r="G12" s="396"/>
      <c r="H12" s="396"/>
      <c r="I12" s="396"/>
      <c r="J12" s="396"/>
      <c r="K12" s="396"/>
      <c r="L12" s="396"/>
      <c r="M12" s="396"/>
      <c r="N12" s="397"/>
      <c r="O12" s="303" t="str">
        <f t="shared" ref="O12" ca="1" si="2">IFERROR(IF(D12="","",INDEX(Tabla_Completa,MATCH(D12,Materiales,0),6)),"")</f>
        <v>ml</v>
      </c>
      <c r="P12" s="304"/>
      <c r="Q12" s="305">
        <v>50</v>
      </c>
      <c r="R12" s="306"/>
      <c r="S12" s="307">
        <f t="shared" si="1"/>
        <v>1000</v>
      </c>
      <c r="T12" s="308"/>
      <c r="U12" s="309"/>
      <c r="V12" s="309"/>
      <c r="W12" s="310">
        <f ca="1">IFERROR(IF(D12="","",INDEX(Tabla_Completa,MATCH('Soli_citud '!D12,Materiales,0),7)*S12),"")</f>
        <v>7503.3025099075303</v>
      </c>
      <c r="X12" s="310"/>
      <c r="Y12" s="310"/>
    </row>
    <row r="13" spans="1:28" ht="15.75" customHeight="1">
      <c r="A13" s="297" t="s">
        <v>31</v>
      </c>
      <c r="B13" s="298"/>
      <c r="C13" s="299"/>
      <c r="D13" s="395" t="s">
        <v>32</v>
      </c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>U</v>
      </c>
      <c r="P13" s="304"/>
      <c r="Q13" s="305">
        <v>0.25</v>
      </c>
      <c r="R13" s="306"/>
      <c r="S13" s="307">
        <f t="shared" si="1"/>
        <v>5</v>
      </c>
      <c r="T13" s="308"/>
      <c r="U13" s="309"/>
      <c r="V13" s="309"/>
      <c r="W13" s="310">
        <f ca="1">IFERROR(IF(D13="","",INDEX(Tabla_Completa,MATCH('Soli_citud '!D13,Materiales,0),7)*S13),"")</f>
        <v>1716.6499999999999</v>
      </c>
      <c r="X13" s="310"/>
      <c r="Y13" s="310"/>
    </row>
    <row r="14" spans="1:28" ht="17.25" customHeight="1">
      <c r="A14" s="297" t="s">
        <v>33</v>
      </c>
      <c r="B14" s="298"/>
      <c r="C14" s="299"/>
      <c r="D14" s="395" t="s">
        <v>34</v>
      </c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/>
      </c>
      <c r="P14" s="304"/>
      <c r="Q14" s="305">
        <v>0.3</v>
      </c>
      <c r="R14" s="306"/>
      <c r="S14" s="307">
        <f t="shared" si="1"/>
        <v>6</v>
      </c>
      <c r="T14" s="308"/>
      <c r="U14" s="309" t="s">
        <v>35</v>
      </c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 t="s">
        <v>36</v>
      </c>
      <c r="B15" s="298"/>
      <c r="C15" s="299"/>
      <c r="D15" s="395" t="s">
        <v>37</v>
      </c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>U</v>
      </c>
      <c r="P15" s="304"/>
      <c r="Q15" s="305">
        <v>1</v>
      </c>
      <c r="R15" s="306"/>
      <c r="S15" s="307">
        <f t="shared" si="1"/>
        <v>20</v>
      </c>
      <c r="T15" s="308"/>
      <c r="U15" s="309"/>
      <c r="V15" s="309"/>
      <c r="W15" s="310">
        <f ca="1">IFERROR(IF(D15="","",INDEX(Tabla_Completa,MATCH('Soli_citud '!D15,Materiales,0),7)*S15),"")</f>
        <v>7500</v>
      </c>
      <c r="X15" s="310"/>
      <c r="Y15" s="310"/>
    </row>
    <row r="16" spans="1:28" ht="15.75" customHeight="1">
      <c r="A16" s="297" t="s">
        <v>25</v>
      </c>
      <c r="B16" s="298"/>
      <c r="C16" s="299"/>
      <c r="D16" s="395" t="s">
        <v>38</v>
      </c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>kg</v>
      </c>
      <c r="P16" s="304"/>
      <c r="Q16" s="305">
        <v>0.5</v>
      </c>
      <c r="R16" s="306"/>
      <c r="S16" s="307">
        <f t="shared" si="1"/>
        <v>10</v>
      </c>
      <c r="T16" s="308"/>
      <c r="U16" s="309" t="s">
        <v>39</v>
      </c>
      <c r="V16" s="309"/>
      <c r="W16" s="310">
        <f ca="1">IFERROR(IF(D16="","",INDEX(Tabla_Completa,MATCH('Soli_citud '!D16,Materiales,0),7)*S16),"")</f>
        <v>0</v>
      </c>
      <c r="X16" s="310"/>
      <c r="Y16" s="310"/>
    </row>
    <row r="17" spans="1:25" ht="15.75" customHeight="1">
      <c r="A17" s="297" t="s">
        <v>27</v>
      </c>
      <c r="B17" s="298"/>
      <c r="C17" s="299"/>
      <c r="D17" s="395" t="s">
        <v>40</v>
      </c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>cm2</v>
      </c>
      <c r="P17" s="304"/>
      <c r="Q17" s="305">
        <v>5</v>
      </c>
      <c r="R17" s="306"/>
      <c r="S17" s="307">
        <f t="shared" si="1"/>
        <v>100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 t="s">
        <v>33</v>
      </c>
      <c r="B18" s="298"/>
      <c r="C18" s="299"/>
      <c r="D18" s="395" t="s">
        <v>41</v>
      </c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>m</v>
      </c>
      <c r="P18" s="304"/>
      <c r="Q18" s="305">
        <v>0.03</v>
      </c>
      <c r="R18" s="306"/>
      <c r="S18" s="307">
        <f t="shared" si="1"/>
        <v>0.6</v>
      </c>
      <c r="T18" s="308"/>
      <c r="U18" s="309"/>
      <c r="V18" s="309"/>
      <c r="W18" s="310">
        <f ca="1">IFERROR(IF(D18="","",INDEX(Tabla_Completa,MATCH('Soli_citud '!D18,Materiales,0),7)*S18),"")</f>
        <v>8399.4959999999992</v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13" t="s">
        <v>42</v>
      </c>
      <c r="B39" s="313"/>
      <c r="C39" s="313"/>
      <c r="D39" s="314" t="s">
        <v>43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>
      <c r="A40" s="226" t="s">
        <v>44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/>
    <row r="42" spans="1:24"/>
    <row r="43" spans="1:24"/>
    <row r="44" spans="1:24" ht="19.5">
      <c r="A44" s="311" t="s">
        <v>45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29</v>
      </c>
      <c r="O44" s="322"/>
      <c r="P44" s="322"/>
      <c r="Q44" s="322"/>
      <c r="R44" s="319" t="s">
        <v>46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47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48</v>
      </c>
      <c r="O45" s="322"/>
      <c r="P45" s="322"/>
      <c r="Q45" s="322"/>
      <c r="R45" s="320" t="s">
        <v>49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50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25</v>
      </c>
      <c r="O46" s="322"/>
      <c r="P46" s="322"/>
      <c r="Q46" s="322"/>
      <c r="R46" s="321" t="s">
        <v>51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52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36</v>
      </c>
      <c r="O47" s="322"/>
      <c r="P47" s="322"/>
      <c r="Q47" s="322"/>
      <c r="R47" s="321" t="s">
        <v>53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54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55</v>
      </c>
      <c r="O48" s="322"/>
      <c r="P48" s="322"/>
      <c r="Q48" s="322"/>
      <c r="R48" s="321" t="s">
        <v>56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57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58</v>
      </c>
      <c r="O49" s="323"/>
      <c r="P49" s="323"/>
      <c r="Q49" s="323"/>
      <c r="R49" s="320" t="s">
        <v>59</v>
      </c>
      <c r="S49" s="320"/>
      <c r="T49" s="320"/>
      <c r="U49" s="320"/>
      <c r="V49" s="320"/>
      <c r="W49" s="320"/>
      <c r="X49" s="320"/>
    </row>
    <row r="50" spans="1:24" ht="15.75">
      <c r="A50" s="318"/>
      <c r="B50" s="318"/>
      <c r="C50" s="318"/>
      <c r="D50" s="318"/>
      <c r="N50" s="322" t="s">
        <v>60</v>
      </c>
      <c r="O50" s="322"/>
      <c r="P50" s="322"/>
      <c r="Q50" s="322"/>
      <c r="R50" s="321" t="s">
        <v>61</v>
      </c>
      <c r="S50" s="321"/>
      <c r="T50" s="321"/>
      <c r="U50" s="321"/>
      <c r="V50" s="321"/>
      <c r="W50" s="321"/>
      <c r="X50" s="321"/>
    </row>
    <row r="51" spans="1:24" ht="15.75">
      <c r="N51" s="322" t="s">
        <v>27</v>
      </c>
      <c r="O51" s="322"/>
      <c r="P51" s="322"/>
      <c r="Q51" s="322"/>
      <c r="R51" s="321" t="s">
        <v>62</v>
      </c>
      <c r="S51" s="321"/>
      <c r="T51" s="321"/>
      <c r="U51" s="321"/>
      <c r="V51" s="321"/>
      <c r="W51" s="321"/>
      <c r="X51" s="321"/>
    </row>
    <row r="52" spans="1:24" ht="15.75">
      <c r="N52" s="322" t="s">
        <v>63</v>
      </c>
      <c r="O52" s="322"/>
      <c r="P52" s="322"/>
      <c r="Q52" s="322"/>
      <c r="R52" s="321" t="s">
        <v>53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q9rIE4tKtXhPed39xHj6gx7eNXNqWrwXja0V+21nylsIQBK3DwKmRR9odLBIMaehuwymhuNWFAYRWgKJkx6DLA==" saltValue="j2HnAMRzWJeRv8+dktB1Ow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prompt="Si no encuentra su nombre en el listado, lo puede diligenciar directamente ( Primer nombre y primer Apellido) dejar un espacio y escribir  el numero de la cédula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pane="bottomLeft" activeCell="C17" sqref="C17:F17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2"/>
      <c r="C1" s="473"/>
      <c r="D1" s="449" t="s">
        <v>64</v>
      </c>
      <c r="E1" s="450"/>
      <c r="F1" s="450"/>
      <c r="G1" s="450"/>
      <c r="H1" s="450"/>
      <c r="I1" s="451"/>
      <c r="J1" s="478" t="s">
        <v>65</v>
      </c>
      <c r="K1" s="479"/>
      <c r="L1" s="479"/>
      <c r="M1" s="480"/>
      <c r="N1" s="481">
        <f>IF('Soli_citud '!O1="","",'Soli_citud '!O1)</f>
        <v>45447</v>
      </c>
      <c r="O1" s="482"/>
      <c r="P1" s="420" t="s">
        <v>66</v>
      </c>
      <c r="Q1" s="421"/>
      <c r="R1" s="426" t="str">
        <f>IF('Soli_citud '!D4="","",'Soli_citud '!D4)</f>
        <v>TARJETERO MONEDERO</v>
      </c>
      <c r="S1" s="427"/>
      <c r="Z1" t="s">
        <v>67</v>
      </c>
      <c r="AA1" s="241" t="s">
        <v>67</v>
      </c>
    </row>
    <row r="2" spans="1:27" ht="15.75" customHeight="1" thickBot="1">
      <c r="A2" s="240"/>
      <c r="B2" s="474"/>
      <c r="C2" s="475"/>
      <c r="D2" s="452"/>
      <c r="E2" s="453"/>
      <c r="F2" s="453"/>
      <c r="G2" s="453"/>
      <c r="H2" s="453"/>
      <c r="I2" s="454"/>
      <c r="J2" s="483" t="s">
        <v>68</v>
      </c>
      <c r="K2" s="484"/>
      <c r="L2" s="484"/>
      <c r="M2" s="485"/>
      <c r="N2" s="486" t="str">
        <f>'Soli_citud '!F1</f>
        <v>ER0406-1</v>
      </c>
      <c r="O2" s="406"/>
      <c r="P2" s="422"/>
      <c r="Q2" s="423"/>
      <c r="R2" s="428"/>
      <c r="S2" s="429"/>
    </row>
    <row r="3" spans="1:27" ht="15.75" customHeight="1">
      <c r="A3" s="240"/>
      <c r="B3" s="474"/>
      <c r="C3" s="475"/>
      <c r="D3" s="452"/>
      <c r="E3" s="453"/>
      <c r="F3" s="453"/>
      <c r="G3" s="453"/>
      <c r="H3" s="453"/>
      <c r="I3" s="454"/>
      <c r="J3" s="487" t="s">
        <v>69</v>
      </c>
      <c r="K3" s="487"/>
      <c r="L3" s="487"/>
      <c r="M3" s="487"/>
      <c r="N3" s="488">
        <f>IF('Soli_citud '!O3="","",'Soli_citud '!O3)</f>
        <v>2852859</v>
      </c>
      <c r="O3" s="489"/>
      <c r="P3" s="422"/>
      <c r="Q3" s="423"/>
      <c r="R3" s="430" t="str" cm="1">
        <f t="array" ref="R3">IFERROR(_xlfn.IFS(L4="Calzado Producción","Entrega de Producto",L4="Marroquinería  Producción","Entrega Producto"),"")</f>
        <v/>
      </c>
      <c r="S3" s="431"/>
    </row>
    <row r="4" spans="1:27" ht="15.75" customHeight="1">
      <c r="A4" s="240"/>
      <c r="B4" s="476"/>
      <c r="C4" s="477"/>
      <c r="D4" s="455"/>
      <c r="E4" s="456"/>
      <c r="F4" s="456"/>
      <c r="G4" s="456"/>
      <c r="H4" s="456"/>
      <c r="I4" s="457"/>
      <c r="J4" s="435" t="s">
        <v>70</v>
      </c>
      <c r="K4" s="435"/>
      <c r="L4" s="435"/>
      <c r="M4" s="436" t="str">
        <f>IF('Soli_citud '!O4="","",'Soli_citud '!O4)</f>
        <v>Marroquinería Producción</v>
      </c>
      <c r="N4" s="436"/>
      <c r="O4" s="437"/>
      <c r="P4" s="422"/>
      <c r="Q4" s="423"/>
      <c r="R4" s="304"/>
      <c r="S4" s="432"/>
    </row>
    <row r="5" spans="1:27" ht="2.25" customHeight="1">
      <c r="A5" s="240"/>
      <c r="P5" s="422"/>
      <c r="Q5" s="423"/>
    </row>
    <row r="6" spans="1:27" ht="27" customHeight="1">
      <c r="A6" s="240"/>
      <c r="B6" s="438" t="s">
        <v>71</v>
      </c>
      <c r="C6" s="439"/>
      <c r="D6" s="440"/>
      <c r="E6" s="444" t="s">
        <v>72</v>
      </c>
      <c r="F6" s="444"/>
      <c r="G6" s="444"/>
      <c r="H6" s="444"/>
      <c r="I6" s="445"/>
      <c r="J6" s="446"/>
      <c r="K6" s="447"/>
      <c r="L6" s="447"/>
      <c r="M6" s="447"/>
      <c r="N6" s="448"/>
      <c r="O6" s="448"/>
      <c r="P6" s="422"/>
      <c r="Q6" s="423"/>
      <c r="R6" s="408" t="str">
        <f>IF(R3="","","Valor de Producción ($)")</f>
        <v/>
      </c>
      <c r="S6" s="409"/>
    </row>
    <row r="7" spans="1:27" ht="3.75" customHeight="1">
      <c r="A7" s="240"/>
      <c r="B7" s="441"/>
      <c r="C7" s="442"/>
      <c r="D7" s="443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22"/>
      <c r="Q7" s="423"/>
      <c r="R7" s="410" t="str">
        <f ca="1">IFERROR(IF(R3="","",G9*M10),"")</f>
        <v/>
      </c>
      <c r="S7" s="411"/>
    </row>
    <row r="8" spans="1:27" ht="20.25" customHeight="1">
      <c r="A8" s="240"/>
      <c r="B8" s="412">
        <f ca="1">IF('Soli_citud '!D5&lt;= 0,"",'Soli_citud '!D5)</f>
        <v>7555.1281397810908</v>
      </c>
      <c r="C8" s="413"/>
      <c r="D8" s="414"/>
      <c r="E8" s="415" t="s">
        <v>73</v>
      </c>
      <c r="F8" s="416"/>
      <c r="G8" s="416"/>
      <c r="H8" s="416"/>
      <c r="I8" s="417"/>
      <c r="J8" s="418" t="str">
        <f>IF('Soli_citud '!E2="","",'Soli_citud '!E2)</f>
        <v>Emely Rivera Delgado</v>
      </c>
      <c r="K8" s="419"/>
      <c r="L8" s="419"/>
      <c r="M8" s="419"/>
      <c r="N8" s="419"/>
      <c r="O8" s="419"/>
      <c r="P8" s="422"/>
      <c r="Q8" s="423"/>
      <c r="R8" s="410"/>
      <c r="S8" s="411"/>
    </row>
    <row r="9" spans="1:27" ht="3.75" customHeight="1">
      <c r="A9" s="240"/>
      <c r="B9" s="458" t="s">
        <v>74</v>
      </c>
      <c r="C9" s="459"/>
      <c r="D9" s="462"/>
      <c r="E9" s="463" t="s">
        <v>75</v>
      </c>
      <c r="F9" s="463"/>
      <c r="G9" s="464" t="str">
        <f ca="1">IFERROR(IF(D9="","",ROUNDUP(B8*(1+D9),-2)),"")</f>
        <v/>
      </c>
      <c r="H9" s="465"/>
      <c r="I9" s="466"/>
      <c r="J9" s="106"/>
      <c r="K9" s="106"/>
      <c r="L9" s="106"/>
      <c r="M9" s="106"/>
      <c r="N9" s="106"/>
      <c r="O9" s="106"/>
      <c r="P9" s="422"/>
      <c r="Q9" s="423"/>
    </row>
    <row r="10" spans="1:27" ht="27.75" customHeight="1" thickBot="1">
      <c r="A10" s="240"/>
      <c r="B10" s="460"/>
      <c r="C10" s="461"/>
      <c r="D10" s="462"/>
      <c r="E10" s="463"/>
      <c r="F10" s="463"/>
      <c r="G10" s="467"/>
      <c r="H10" s="468"/>
      <c r="I10" s="469"/>
      <c r="J10" s="470" t="s">
        <v>76</v>
      </c>
      <c r="K10" s="470"/>
      <c r="L10" s="471"/>
      <c r="M10" s="250">
        <f>'[1]Soli_citud '!K5</f>
        <v>1</v>
      </c>
      <c r="N10" s="433" t="s">
        <v>77</v>
      </c>
      <c r="O10" s="434"/>
      <c r="P10" s="424"/>
      <c r="Q10" s="425"/>
      <c r="R10" s="230" t="s">
        <v>78</v>
      </c>
      <c r="S10" s="229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6" t="s">
        <v>79</v>
      </c>
      <c r="B11" s="242" t="s">
        <v>80</v>
      </c>
      <c r="C11" s="403" t="s">
        <v>81</v>
      </c>
      <c r="D11" s="404"/>
      <c r="E11" s="404"/>
      <c r="F11" s="405"/>
      <c r="G11" s="109" t="s">
        <v>82</v>
      </c>
      <c r="H11" s="109" t="s">
        <v>83</v>
      </c>
      <c r="I11" s="225" t="s">
        <v>84</v>
      </c>
      <c r="J11" s="107" t="s">
        <v>85</v>
      </c>
      <c r="K11" s="210" t="s">
        <v>86</v>
      </c>
      <c r="L11" s="406" t="s">
        <v>23</v>
      </c>
      <c r="M11" s="407"/>
      <c r="N11" s="228" t="s">
        <v>87</v>
      </c>
      <c r="O11" s="228" t="s">
        <v>88</v>
      </c>
      <c r="P11" s="231" t="s">
        <v>89</v>
      </c>
      <c r="Q11" s="232" t="s">
        <v>90</v>
      </c>
      <c r="R11" s="224" t="s">
        <v>91</v>
      </c>
      <c r="S11" s="211" t="s">
        <v>92</v>
      </c>
    </row>
    <row r="12" spans="1:27" ht="19.5" customHeight="1">
      <c r="A12" s="75">
        <v>1</v>
      </c>
      <c r="B12" s="243" t="str">
        <f>IF(H12="","",$N$2)</f>
        <v>ER0406-1</v>
      </c>
      <c r="C12" s="400" t="str">
        <f>IFERROR(IF('Soli_citud '!D10="","",'Soli_citud '!D10),"")</f>
        <v>NAPPA</v>
      </c>
      <c r="D12" s="400"/>
      <c r="E12" s="400"/>
      <c r="F12" s="400"/>
      <c r="G12" s="214" t="str">
        <f ca="1">IF('Soli_citud '!O10="","",'Soli_citud '!O10)</f>
        <v>dm2</v>
      </c>
      <c r="H12" s="214" cm="1">
        <f t="array" ref="H12">_xlfn.IFS('Soli_citud '!S10="","",'Soli_citud '!S10&lt;=0,"",'Soli_citud '!S10&gt;0,'Soli_citud '!S10)</f>
        <v>140</v>
      </c>
      <c r="I12" s="215">
        <v>45454</v>
      </c>
      <c r="J12" s="216">
        <v>213</v>
      </c>
      <c r="K12" s="198" t="str" cm="1">
        <f t="array" ref="K12">IFERROR(_xlfn.IFS(H12="","",J12=H12,"Cumplido",J12&lt;H12,H12-J12,J12&gt;H12,"Revisar"),"")</f>
        <v>Revisar</v>
      </c>
      <c r="L12" s="401" t="s">
        <v>93</v>
      </c>
      <c r="M12" s="402"/>
      <c r="N12" s="216"/>
      <c r="O12" s="199" t="str">
        <f t="shared" ref="O12" si="0">IFERROR(H12/N12,"")</f>
        <v/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3" t="str">
        <f t="shared" ref="B13:B32" si="1">IF(H13="","",$N$2)</f>
        <v>ER0406-1</v>
      </c>
      <c r="C13" s="400" t="str">
        <f>IFERROR(IF('Soli_citud '!D11="","",'Soli_citud '!D11),"")</f>
        <v>SEDA LAFAYETTE VENDAVAL CON TECNOLOGIA LAFGARD</v>
      </c>
      <c r="D13" s="400"/>
      <c r="E13" s="400"/>
      <c r="F13" s="400"/>
      <c r="G13" s="214" t="str">
        <f ca="1">IF('Soli_citud '!O11="","",'Soli_citud '!O11)</f>
        <v>cm2</v>
      </c>
      <c r="H13" s="214" cm="1">
        <f t="array" ref="H13">_xlfn.IFS('Soli_citud '!S11="","",'Soli_citud '!S11&lt;=0,"",'Soli_citud '!S11&gt;0,'Soli_citud '!S11)</f>
        <v>100</v>
      </c>
      <c r="I13" s="215">
        <v>45461</v>
      </c>
      <c r="J13" s="217">
        <v>100</v>
      </c>
      <c r="K13" s="198" t="str" cm="1">
        <f t="array" ref="K13">IFERROR(_xlfn.IFS(H13="","",J13=H13,"Cumplido",J13&lt;H13,H13-J13,J13&gt;H13,"Revisar"),"")</f>
        <v>Cumplido</v>
      </c>
      <c r="L13" s="401"/>
      <c r="M13" s="402"/>
      <c r="N13" s="216">
        <v>140</v>
      </c>
      <c r="O13" s="199">
        <f t="shared" ref="O13:O15" si="2">IFERROR(H13/N13,"")</f>
        <v>0.7142857142857143</v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3" t="str">
        <f t="shared" si="1"/>
        <v>ER0406-1</v>
      </c>
      <c r="C14" s="400" t="str">
        <f>IFERROR(IF('Soli_citud '!D12="","",'Soli_citud '!D12),"")</f>
        <v>SOLUCIÓN DE CAUCHO</v>
      </c>
      <c r="D14" s="400"/>
      <c r="E14" s="400"/>
      <c r="F14" s="400"/>
      <c r="G14" s="214" t="str">
        <f ca="1">IF('Soli_citud '!O12="","",'Soli_citud '!O12)</f>
        <v>ml</v>
      </c>
      <c r="H14" s="214" cm="1">
        <f t="array" ref="H14">_xlfn.IFS('Soli_citud '!S12="","",'Soli_citud '!S12&lt;=0,"",'Soli_citud '!S12&gt;0,'Soli_citud '!S12)</f>
        <v>1000</v>
      </c>
      <c r="I14" s="215"/>
      <c r="J14" s="217"/>
      <c r="K14" s="198" cm="1">
        <f t="array" ref="K14">IFERROR(_xlfn.IFS(H14="","",J14=H14,"Cumplido",J14&lt;H14,H14-J14,J14&gt;H14,"Revisar"),"")</f>
        <v>1000</v>
      </c>
      <c r="L14" s="401"/>
      <c r="M14" s="402"/>
      <c r="N14" s="216"/>
      <c r="O14" s="199" t="str">
        <f t="shared" si="2"/>
        <v/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3" t="str">
        <f t="shared" si="1"/>
        <v>ER0406-1</v>
      </c>
      <c r="C15" s="400" t="str">
        <f>IFERROR(IF('Soli_citud '!D13="","",'Soli_citud '!D13),"")</f>
        <v>AGUJA CORTA CABO DELGADO 125</v>
      </c>
      <c r="D15" s="400"/>
      <c r="E15" s="400"/>
      <c r="F15" s="400"/>
      <c r="G15" s="214" t="str">
        <f ca="1">IF('Soli_citud '!O13="","",'Soli_citud '!O13)</f>
        <v>U</v>
      </c>
      <c r="H15" s="214" cm="1">
        <f t="array" ref="H15">_xlfn.IFS('Soli_citud '!S13="","",'Soli_citud '!S13&lt;=0,"",'Soli_citud '!S13&gt;0,'Soli_citud '!S13)</f>
        <v>5</v>
      </c>
      <c r="I15" s="215"/>
      <c r="J15" s="217"/>
      <c r="K15" s="198" cm="1">
        <f t="array" ref="K15">IFERROR(_xlfn.IFS(H15="","",J15=H15,"Cumplido",J15&lt;H15,H15-J15,J15&gt;H15,"Revisar"),"")</f>
        <v>5</v>
      </c>
      <c r="L15" s="401"/>
      <c r="M15" s="402"/>
      <c r="N15" s="216"/>
      <c r="O15" s="199" t="str">
        <f t="shared" si="2"/>
        <v/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21" customHeight="1">
      <c r="A16" s="75">
        <v>5</v>
      </c>
      <c r="B16" s="243" t="str">
        <f t="shared" si="1"/>
        <v>ER0406-1</v>
      </c>
      <c r="C16" s="400" t="str">
        <f>IFERROR(IF('Soli_citud '!D14="","",'Soli_citud '!D14),"")</f>
        <v xml:space="preserve">HILOS N°40  </v>
      </c>
      <c r="D16" s="400"/>
      <c r="E16" s="400"/>
      <c r="F16" s="400"/>
      <c r="G16" s="214" t="str">
        <f ca="1">IF('Soli_citud '!O14="","",'Soli_citud '!O14)</f>
        <v/>
      </c>
      <c r="H16" s="214" cm="1">
        <f t="array" ref="H16">_xlfn.IFS('Soli_citud '!S14="","",'Soli_citud '!S14&lt;=0,"",'Soli_citud '!S14&gt;0,'Soli_citud '!S14)</f>
        <v>6</v>
      </c>
      <c r="I16" s="215"/>
      <c r="J16" s="217"/>
      <c r="K16" s="198" cm="1">
        <f t="array" ref="K16">IFERROR(_xlfn.IFS(H16="","",J16=H16,"Cumplido",J16&lt;H16,H16-J16,J16&gt;H16,"Revisar"),"")</f>
        <v>6</v>
      </c>
      <c r="L16" s="401"/>
      <c r="M16" s="402"/>
      <c r="N16" s="216"/>
      <c r="O16" s="199" t="str">
        <f>IFERROR(H16/N16,"")</f>
        <v/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3" t="str">
        <f t="shared" si="1"/>
        <v>ER0406-1</v>
      </c>
      <c r="C17" s="400" t="str">
        <f>IFERROR(IF('Soli_citud '!D15="","",'Soli_citud '!D15),"")</f>
        <v>BROCHE BILLETERA PAVÓN, 12,5 MM</v>
      </c>
      <c r="D17" s="400"/>
      <c r="E17" s="400"/>
      <c r="F17" s="400"/>
      <c r="G17" s="214" t="str">
        <f ca="1">IF('Soli_citud '!O15="","",'Soli_citud '!O15)</f>
        <v>U</v>
      </c>
      <c r="H17" s="214" cm="1">
        <f t="array" ref="H17">_xlfn.IFS('Soli_citud '!S15="","",'Soli_citud '!S15&lt;=0,"",'Soli_citud '!S15&gt;0,'Soli_citud '!S15)</f>
        <v>20</v>
      </c>
      <c r="I17" s="215">
        <v>45469</v>
      </c>
      <c r="J17" s="217">
        <v>20</v>
      </c>
      <c r="K17" s="198" t="str" cm="1">
        <f t="array" ref="K17">IFERROR(_xlfn.IFS(H17="","",J17=H17,"Cumplido",J17&lt;H17,H17-J17,J17&gt;H17,"Revisar"),"")</f>
        <v>Cumplido</v>
      </c>
      <c r="L17" s="401"/>
      <c r="M17" s="402"/>
      <c r="N17" s="216"/>
      <c r="O17" s="199" t="str">
        <f t="shared" ref="O17:O32" si="3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3" t="str">
        <f t="shared" si="1"/>
        <v>ER0406-1</v>
      </c>
      <c r="C18" s="400" t="str">
        <f>IFERROR(IF('Soli_citud '!D16="","",'Soli_citud '!D16),"")</f>
        <v>Retal</v>
      </c>
      <c r="D18" s="400"/>
      <c r="E18" s="400"/>
      <c r="F18" s="400"/>
      <c r="G18" s="214" t="str">
        <f ca="1">IF('Soli_citud '!O16="","",'Soli_citud '!O16)</f>
        <v>kg</v>
      </c>
      <c r="H18" s="214" cm="1">
        <f t="array" ref="H18">_xlfn.IFS('Soli_citud '!S16="","",'Soli_citud '!S16&lt;=0,"",'Soli_citud '!S16&gt;0,'Soli_citud '!S16)</f>
        <v>10</v>
      </c>
      <c r="I18" s="215"/>
      <c r="J18" s="217"/>
      <c r="K18" s="198" cm="1">
        <f t="array" ref="K18">IFERROR(_xlfn.IFS(H18="","",J18=H18,"Cumplido",J18&lt;H18,H18-J18,J18&gt;H18,"Revisar"),"")</f>
        <v>10</v>
      </c>
      <c r="L18" s="401"/>
      <c r="M18" s="402"/>
      <c r="N18" s="216"/>
      <c r="O18" s="199" t="str">
        <f t="shared" si="3"/>
        <v/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8.5" customHeight="1">
      <c r="A19" s="74">
        <v>8</v>
      </c>
      <c r="B19" s="243" t="str">
        <f t="shared" si="1"/>
        <v>ER0406-1</v>
      </c>
      <c r="C19" s="400" t="str">
        <f>IFERROR(IF('Soli_citud '!D17="","",'Soli_citud '!D17),"")</f>
        <v>MICROFIBRA DE SOPORTE SUAVE PARA CALZADO Y MARROQUINERÍA CALIBRE 0,5 MM</v>
      </c>
      <c r="D19" s="400"/>
      <c r="E19" s="400"/>
      <c r="F19" s="400"/>
      <c r="G19" s="214" t="str">
        <f ca="1">IF('Soli_citud '!O17="","",'Soli_citud '!O17)</f>
        <v>cm2</v>
      </c>
      <c r="H19" s="214" cm="1">
        <f t="array" ref="H19">_xlfn.IFS('Soli_citud '!S17="","",'Soli_citud '!S17&lt;=0,"",'Soli_citud '!S17&gt;0,'Soli_citud '!S17)</f>
        <v>100</v>
      </c>
      <c r="I19" s="215">
        <v>45461</v>
      </c>
      <c r="J19" s="217">
        <v>100</v>
      </c>
      <c r="K19" s="198" t="str" cm="1">
        <f t="array" ref="K19">IFERROR(_xlfn.IFS(H19="","",J19=H19,"Cumplido",J19&lt;H19,H19-J19,J19&gt;H19,"Revisar"),"")</f>
        <v>Cumplido</v>
      </c>
      <c r="L19" s="401"/>
      <c r="M19" s="402"/>
      <c r="N19" s="216">
        <v>140</v>
      </c>
      <c r="O19" s="199">
        <f t="shared" si="3"/>
        <v>0.7142857142857143</v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3" t="str">
        <f t="shared" si="1"/>
        <v>ER0406-1</v>
      </c>
      <c r="C20" s="400" t="str">
        <f>IFERROR(IF('Soli_citud '!D18="","",'Soli_citud '!D18),"")</f>
        <v>SALPA ITALIANA</v>
      </c>
      <c r="D20" s="400"/>
      <c r="E20" s="400"/>
      <c r="F20" s="400"/>
      <c r="G20" s="214" t="str">
        <f ca="1">IF('Soli_citud '!O18="","",'Soli_citud '!O18)</f>
        <v>m</v>
      </c>
      <c r="H20" s="214" cm="1">
        <f t="array" ref="H20">_xlfn.IFS('Soli_citud '!S18="","",'Soli_citud '!S18&lt;=0,"",'Soli_citud '!S18&gt;0,'Soli_citud '!S18)</f>
        <v>0.6</v>
      </c>
      <c r="I20" s="215">
        <v>45461</v>
      </c>
      <c r="J20" s="217">
        <v>0.6</v>
      </c>
      <c r="K20" s="198" t="str" cm="1">
        <f t="array" ref="K20">IFERROR(_xlfn.IFS(H20="","",J20=H20,"Cumplido",J20&lt;H20,H20-J20,J20&gt;H20,"Revisar"),"")</f>
        <v>Cumplido</v>
      </c>
      <c r="L20" s="401"/>
      <c r="M20" s="402"/>
      <c r="N20" s="216">
        <v>140</v>
      </c>
      <c r="O20" s="199">
        <f t="shared" si="3"/>
        <v>4.2857142857142859E-3</v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3" t="str">
        <f t="shared" si="1"/>
        <v>ER0406-1</v>
      </c>
      <c r="C21" s="400" t="s">
        <v>94</v>
      </c>
      <c r="D21" s="400"/>
      <c r="E21" s="400"/>
      <c r="F21" s="400"/>
      <c r="G21" s="214" t="s">
        <v>95</v>
      </c>
      <c r="H21" s="214">
        <v>0.5</v>
      </c>
      <c r="I21" s="215">
        <v>45461</v>
      </c>
      <c r="J21" s="217">
        <v>0.5</v>
      </c>
      <c r="K21" s="198" t="str" cm="1">
        <f t="array" ref="K21">IFERROR(_xlfn.IFS(H21="","",J21=H21,"Cumplido",J21&lt;H21,H21-J21,J21&gt;H21,"Revisar"),"")</f>
        <v>Cumplido</v>
      </c>
      <c r="L21" s="401"/>
      <c r="M21" s="402"/>
      <c r="N21" s="216">
        <v>140</v>
      </c>
      <c r="O21" s="199">
        <f t="shared" si="3"/>
        <v>3.5714285714285713E-3</v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3" t="str">
        <f t="shared" si="1"/>
        <v/>
      </c>
      <c r="C22" s="400" t="str">
        <f>IFERROR(IF('Soli_citud '!D20="","",'Soli_citud '!D20),"")</f>
        <v/>
      </c>
      <c r="D22" s="400"/>
      <c r="E22" s="400"/>
      <c r="F22" s="400"/>
      <c r="G22" s="214" t="str">
        <f ca="1">IF('Soli_citud '!O20="","",'Soli_citud '!O20)</f>
        <v/>
      </c>
      <c r="H22" s="214" t="str" cm="1">
        <f t="array" ref="H22">_xlfn.IFS('Soli_citud '!S20="","",'Soli_citud '!S20&lt;=0,"",'Soli_citud '!S20&gt;0,'Soli_citud '!S20)</f>
        <v/>
      </c>
      <c r="I22" s="218"/>
      <c r="J22" s="217"/>
      <c r="K22" s="198" t="str" cm="1">
        <f t="array" ref="K22">IFERROR(_xlfn.IFS(H22="","",J22=H22,"Cumplido",J22&lt;H22,H22-J22,J22&gt;H22,"Revisar"),"")</f>
        <v/>
      </c>
      <c r="L22" s="401"/>
      <c r="M22" s="402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3" t="str">
        <f t="shared" si="1"/>
        <v/>
      </c>
      <c r="C23" s="400" t="str">
        <f>IFERROR(IF('Soli_citud '!D21="","",'Soli_citud '!D21),"")</f>
        <v/>
      </c>
      <c r="D23" s="400"/>
      <c r="E23" s="400"/>
      <c r="F23" s="400"/>
      <c r="G23" s="214" t="str">
        <f ca="1">IF('Soli_citud '!O21="","",'Soli_citud '!O21)</f>
        <v/>
      </c>
      <c r="H23" s="214" t="str" cm="1">
        <f t="array" ref="H23">_xlfn.IFS('Soli_citud '!S21="","",'Soli_citud '!S21&lt;=0,"",'Soli_citud '!S21&gt;0,'Soli_citud '!S21)</f>
        <v/>
      </c>
      <c r="I23" s="218"/>
      <c r="J23" s="217"/>
      <c r="K23" s="198" t="str" cm="1">
        <f t="array" ref="K23">IFERROR(_xlfn.IFS(H23="","",J23=H23,"Cumplido",J23&lt;H23,H23-J23,J23&gt;H23,"Revisar"),"")</f>
        <v/>
      </c>
      <c r="L23" s="401"/>
      <c r="M23" s="402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3" t="str">
        <f t="shared" si="1"/>
        <v/>
      </c>
      <c r="C24" s="400"/>
      <c r="D24" s="400"/>
      <c r="E24" s="400"/>
      <c r="F24" s="400"/>
      <c r="G24" s="214"/>
      <c r="H24" s="214" t="str" cm="1">
        <f t="array" ref="H24">_xlfn.IFS('Soli_citud '!S22="","",'Soli_citud '!S22&lt;=0,"",'Soli_citud '!S22&gt;0,'Soli_citud '!S22)</f>
        <v/>
      </c>
      <c r="I24" s="218"/>
      <c r="J24" s="217"/>
      <c r="K24" s="198" t="str" cm="1">
        <f t="array" ref="K24">IFERROR(_xlfn.IFS(H24="","",J24=H24,"Cumplido",J24&lt;H24,H24-J24,J24&gt;H24,"Revisar"),"")</f>
        <v/>
      </c>
      <c r="L24" s="401"/>
      <c r="M24" s="402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3" t="str">
        <f t="shared" si="1"/>
        <v/>
      </c>
      <c r="C25" s="400" t="str">
        <f>IFERROR(IF('Soli_citud '!D23="","",'Soli_citud '!D23),"")</f>
        <v/>
      </c>
      <c r="D25" s="400"/>
      <c r="E25" s="400"/>
      <c r="F25" s="400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01"/>
      <c r="M25" s="402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3" t="str">
        <f t="shared" si="1"/>
        <v/>
      </c>
      <c r="C26" s="400" t="str">
        <f>IFERROR(IF('Soli_citud '!D24="","",'Soli_citud '!D24),"")</f>
        <v/>
      </c>
      <c r="D26" s="400"/>
      <c r="E26" s="400"/>
      <c r="F26" s="400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01"/>
      <c r="M26" s="402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3" t="str">
        <f t="shared" si="1"/>
        <v/>
      </c>
      <c r="C27" s="400" t="str">
        <f>IFERROR(IF('Soli_citud '!D25="","",'Soli_citud '!D25),"")</f>
        <v/>
      </c>
      <c r="D27" s="400"/>
      <c r="E27" s="400"/>
      <c r="F27" s="400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01"/>
      <c r="M27" s="402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3" t="str">
        <f t="shared" si="1"/>
        <v/>
      </c>
      <c r="C28" s="400" t="str">
        <f>IFERROR(IF('Soli_citud '!D26="","",'Soli_citud '!D26),"")</f>
        <v/>
      </c>
      <c r="D28" s="400"/>
      <c r="E28" s="400"/>
      <c r="F28" s="400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01"/>
      <c r="M28" s="402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3" t="str">
        <f t="shared" si="1"/>
        <v/>
      </c>
      <c r="C29" s="400" t="str">
        <f>IFERROR(IF('Soli_citud '!D27="","",'Soli_citud '!D27),"")</f>
        <v/>
      </c>
      <c r="D29" s="400"/>
      <c r="E29" s="400"/>
      <c r="F29" s="400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01"/>
      <c r="M29" s="402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3" t="str">
        <f t="shared" si="1"/>
        <v/>
      </c>
      <c r="C30" s="400" t="str">
        <f>IFERROR(IF('Soli_citud '!D28="","",'Soli_citud '!D28),"")</f>
        <v/>
      </c>
      <c r="D30" s="400"/>
      <c r="E30" s="400"/>
      <c r="F30" s="400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01"/>
      <c r="M30" s="402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3" t="str">
        <f t="shared" si="1"/>
        <v/>
      </c>
      <c r="C31" s="400" t="str">
        <f>IFERROR(IF('Soli_citud '!D29="","",'Soli_citud '!D29),"")</f>
        <v/>
      </c>
      <c r="D31" s="400"/>
      <c r="E31" s="400"/>
      <c r="F31" s="400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01"/>
      <c r="M31" s="402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3" t="str">
        <f t="shared" si="1"/>
        <v/>
      </c>
      <c r="C32" s="400" t="str">
        <f>IFERROR(IF('Soli_citud '!D30="","",'Soli_citud '!D30),"")</f>
        <v/>
      </c>
      <c r="D32" s="400"/>
      <c r="E32" s="400"/>
      <c r="F32" s="400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01"/>
      <c r="M32" s="402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291" activePane="bottomRight" state="frozen"/>
      <selection pane="bottomRight" activeCell="B300" sqref="B300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5"/>
      <c r="B1" s="495"/>
      <c r="C1" s="495"/>
      <c r="D1" s="495"/>
      <c r="E1" s="498" t="s">
        <v>96</v>
      </c>
      <c r="F1" s="498"/>
      <c r="H1" s="276" t="s">
        <v>97</v>
      </c>
      <c r="Z1" s="241" t="s">
        <v>98</v>
      </c>
    </row>
    <row r="2" spans="1:26" ht="18.75" customHeight="1">
      <c r="A2" s="495"/>
      <c r="B2" s="495"/>
      <c r="C2" s="495"/>
      <c r="D2" s="495"/>
      <c r="E2" s="498"/>
      <c r="F2" s="498"/>
    </row>
    <row r="3" spans="1:26" ht="24" customHeight="1">
      <c r="A3" s="495"/>
      <c r="B3" s="495"/>
      <c r="C3" s="495"/>
      <c r="D3" s="495"/>
      <c r="E3" s="499">
        <f>SUM(Total_AdhySol,Total_SECUNDARIO_MEDULAR,Total_Cuero,Total_Herrajes,Total_Sint_y_Tex,Total_Suelas,Total_Herramientas,Total_Ins_Compl)</f>
        <v>860</v>
      </c>
      <c r="F3" s="499"/>
      <c r="G3" s="10"/>
    </row>
    <row r="5" spans="1:26" ht="40.5" customHeight="1">
      <c r="B5"/>
      <c r="C5"/>
      <c r="D5"/>
    </row>
    <row r="6" spans="1:26" ht="34.5" customHeight="1">
      <c r="A6" s="112" t="s">
        <v>99</v>
      </c>
      <c r="B6" s="245">
        <f>SUBTOTAL(3,(BD!$B$8:$B$20))</f>
        <v>13</v>
      </c>
      <c r="C6" s="496"/>
      <c r="D6" s="497"/>
      <c r="H6" s="494" t="s">
        <v>100</v>
      </c>
      <c r="I6" s="494"/>
    </row>
    <row r="7" spans="1:26" ht="47.25">
      <c r="A7" s="72" t="s">
        <v>79</v>
      </c>
      <c r="B7" s="113" t="s">
        <v>101</v>
      </c>
      <c r="C7" s="69" t="s">
        <v>102</v>
      </c>
      <c r="D7" s="70" t="s">
        <v>103</v>
      </c>
      <c r="E7" s="88" t="s">
        <v>104</v>
      </c>
      <c r="F7" s="176" t="s">
        <v>105</v>
      </c>
      <c r="G7" s="70" t="s">
        <v>106</v>
      </c>
      <c r="H7" s="71" t="s">
        <v>107</v>
      </c>
      <c r="I7" s="71" t="s">
        <v>108</v>
      </c>
      <c r="J7" s="73" t="s">
        <v>109</v>
      </c>
      <c r="K7" s="255" t="s">
        <v>110</v>
      </c>
    </row>
    <row r="8" spans="1:26" ht="15" customHeight="1">
      <c r="A8" s="42">
        <v>1</v>
      </c>
      <c r="B8" s="37" t="s">
        <v>111</v>
      </c>
      <c r="C8" s="134" t="s">
        <v>29</v>
      </c>
      <c r="D8" s="49" t="s">
        <v>112</v>
      </c>
      <c r="E8" s="44">
        <v>74650</v>
      </c>
      <c r="F8" s="177" t="s">
        <v>113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114</v>
      </c>
      <c r="C9" s="134" t="s">
        <v>29</v>
      </c>
      <c r="D9" s="49" t="s">
        <v>112</v>
      </c>
      <c r="E9" s="44">
        <v>231671.5</v>
      </c>
      <c r="F9" s="177" t="s">
        <v>113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115</v>
      </c>
      <c r="C10" s="134" t="s">
        <v>29</v>
      </c>
      <c r="D10" s="49" t="s">
        <v>112</v>
      </c>
      <c r="E10" s="44">
        <v>231671.5</v>
      </c>
      <c r="F10" s="177" t="s">
        <v>113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116</v>
      </c>
      <c r="C11" s="134" t="s">
        <v>29</v>
      </c>
      <c r="D11" s="49" t="s">
        <v>112</v>
      </c>
      <c r="E11" s="44">
        <v>78666.625</v>
      </c>
      <c r="F11" s="177" t="s">
        <v>113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117</v>
      </c>
      <c r="C12" s="134" t="s">
        <v>29</v>
      </c>
      <c r="D12" s="49" t="s">
        <v>118</v>
      </c>
      <c r="E12" s="44">
        <v>72665</v>
      </c>
      <c r="F12" s="177" t="s">
        <v>118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119</v>
      </c>
      <c r="C13" s="134" t="s">
        <v>29</v>
      </c>
      <c r="D13" s="49" t="s">
        <v>112</v>
      </c>
      <c r="E13" s="44">
        <v>59690.625</v>
      </c>
      <c r="F13" s="177" t="s">
        <v>113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120</v>
      </c>
      <c r="C14" s="134" t="s">
        <v>29</v>
      </c>
      <c r="D14" s="49" t="s">
        <v>112</v>
      </c>
      <c r="E14" s="44">
        <v>50200</v>
      </c>
      <c r="F14" s="177" t="s">
        <v>113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121</v>
      </c>
      <c r="C15" s="134" t="s">
        <v>29</v>
      </c>
      <c r="D15" s="59" t="s">
        <v>112</v>
      </c>
      <c r="E15" s="63">
        <v>66108</v>
      </c>
      <c r="F15" s="177" t="s">
        <v>113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122</v>
      </c>
      <c r="C16" s="134" t="s">
        <v>29</v>
      </c>
      <c r="D16" s="59" t="s">
        <v>112</v>
      </c>
      <c r="E16" s="44"/>
      <c r="F16" s="177" t="s">
        <v>113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123</v>
      </c>
      <c r="C17" s="134" t="s">
        <v>29</v>
      </c>
      <c r="D17" s="59" t="s">
        <v>112</v>
      </c>
      <c r="E17" s="44">
        <v>61960</v>
      </c>
      <c r="F17" s="177" t="s">
        <v>113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30</v>
      </c>
      <c r="C18" s="134" t="s">
        <v>29</v>
      </c>
      <c r="D18" s="49" t="s">
        <v>112</v>
      </c>
      <c r="E18" s="44">
        <v>28400</v>
      </c>
      <c r="F18" s="177" t="s">
        <v>113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124</v>
      </c>
      <c r="C19" s="134" t="s">
        <v>29</v>
      </c>
      <c r="D19" s="49" t="s">
        <v>112</v>
      </c>
      <c r="E19" s="44">
        <v>36816</v>
      </c>
      <c r="F19" s="177" t="s">
        <v>112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125</v>
      </c>
      <c r="C20" s="236" t="s">
        <v>29</v>
      </c>
      <c r="D20" s="49" t="s">
        <v>113</v>
      </c>
      <c r="E20" s="44"/>
      <c r="F20" s="177" t="s">
        <v>113</v>
      </c>
      <c r="G20" s="9" t="s">
        <v>126</v>
      </c>
      <c r="H20" s="8">
        <v>1</v>
      </c>
      <c r="I20" s="8">
        <v>1</v>
      </c>
      <c r="J20" s="11" t="s">
        <v>127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128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99</v>
      </c>
      <c r="B60" s="244">
        <f>SUBTOTAL(3,(B62:B169))</f>
        <v>108</v>
      </c>
      <c r="C60"/>
      <c r="D60"/>
      <c r="E60"/>
      <c r="F60" s="178"/>
      <c r="H60"/>
      <c r="I60"/>
    </row>
    <row r="61" spans="1:11" ht="47.25">
      <c r="A61" s="72" t="s">
        <v>79</v>
      </c>
      <c r="B61" s="118" t="s">
        <v>101</v>
      </c>
      <c r="C61" s="65" t="s">
        <v>102</v>
      </c>
      <c r="D61" s="66" t="s">
        <v>103</v>
      </c>
      <c r="E61" s="68" t="s">
        <v>104</v>
      </c>
      <c r="F61" s="176" t="s">
        <v>105</v>
      </c>
      <c r="G61" s="70" t="s">
        <v>106</v>
      </c>
      <c r="H61" s="71" t="s">
        <v>107</v>
      </c>
      <c r="I61" s="71" t="s">
        <v>108</v>
      </c>
      <c r="J61" s="277" t="s">
        <v>109</v>
      </c>
      <c r="K61" s="278" t="s">
        <v>110</v>
      </c>
    </row>
    <row r="62" spans="1:11" ht="15" customHeight="1">
      <c r="A62" s="42">
        <v>1</v>
      </c>
      <c r="B62" s="37" t="s">
        <v>129</v>
      </c>
      <c r="C62" s="206" t="s">
        <v>130</v>
      </c>
      <c r="D62" s="49" t="s">
        <v>118</v>
      </c>
      <c r="E62" s="44">
        <v>8995</v>
      </c>
      <c r="F62" s="177" t="s">
        <v>118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131</v>
      </c>
      <c r="C63" s="206" t="s">
        <v>130</v>
      </c>
      <c r="D63" s="49" t="s">
        <v>118</v>
      </c>
      <c r="E63" s="44">
        <v>109707</v>
      </c>
      <c r="F63" s="177" t="s">
        <v>118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132</v>
      </c>
      <c r="C64" s="206" t="s">
        <v>130</v>
      </c>
      <c r="D64" s="49" t="s">
        <v>118</v>
      </c>
      <c r="E64" s="44">
        <v>65500</v>
      </c>
      <c r="F64" s="177" t="s">
        <v>118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133</v>
      </c>
      <c r="C65" s="206" t="s">
        <v>130</v>
      </c>
      <c r="D65" s="49" t="s">
        <v>118</v>
      </c>
      <c r="E65" s="44">
        <v>24994</v>
      </c>
      <c r="F65" s="177" t="s">
        <v>118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134</v>
      </c>
      <c r="C66" s="206" t="s">
        <v>130</v>
      </c>
      <c r="D66" s="49" t="s">
        <v>118</v>
      </c>
      <c r="E66" s="44">
        <v>20237</v>
      </c>
      <c r="F66" s="177" t="s">
        <v>118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135</v>
      </c>
      <c r="C67" s="206" t="s">
        <v>130</v>
      </c>
      <c r="D67" s="49" t="s">
        <v>118</v>
      </c>
      <c r="E67" s="44">
        <v>24994</v>
      </c>
      <c r="F67" s="177" t="s">
        <v>118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136</v>
      </c>
      <c r="C68" s="206" t="s">
        <v>130</v>
      </c>
      <c r="D68" s="49" t="s">
        <v>118</v>
      </c>
      <c r="E68" s="44">
        <v>24994</v>
      </c>
      <c r="F68" s="177" t="s">
        <v>118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137</v>
      </c>
      <c r="C69" s="206" t="s">
        <v>130</v>
      </c>
      <c r="D69" s="49" t="s">
        <v>118</v>
      </c>
      <c r="E69" s="44">
        <v>24994</v>
      </c>
      <c r="F69" s="177" t="s">
        <v>118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138</v>
      </c>
      <c r="C70" s="206" t="s">
        <v>130</v>
      </c>
      <c r="D70" s="49" t="s">
        <v>118</v>
      </c>
      <c r="E70" s="44">
        <v>24994</v>
      </c>
      <c r="F70" s="177" t="s">
        <v>118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139</v>
      </c>
      <c r="C71" s="206" t="s">
        <v>130</v>
      </c>
      <c r="D71" s="49" t="s">
        <v>118</v>
      </c>
      <c r="E71" s="44">
        <v>24994</v>
      </c>
      <c r="F71" s="177" t="s">
        <v>118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140</v>
      </c>
      <c r="C72" s="206" t="s">
        <v>130</v>
      </c>
      <c r="D72" s="49" t="s">
        <v>118</v>
      </c>
      <c r="E72" s="44">
        <v>24994</v>
      </c>
      <c r="F72" s="177" t="s">
        <v>118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141</v>
      </c>
      <c r="C73" s="206" t="s">
        <v>130</v>
      </c>
      <c r="D73" s="49" t="s">
        <v>118</v>
      </c>
      <c r="E73" s="44">
        <v>24994</v>
      </c>
      <c r="F73" s="177" t="s">
        <v>118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142</v>
      </c>
      <c r="C74" s="206" t="s">
        <v>130</v>
      </c>
      <c r="D74" s="49" t="s">
        <v>118</v>
      </c>
      <c r="E74" s="44">
        <v>24994</v>
      </c>
      <c r="F74" s="177" t="s">
        <v>118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143</v>
      </c>
      <c r="C75" s="206" t="s">
        <v>130</v>
      </c>
      <c r="D75" s="49" t="s">
        <v>118</v>
      </c>
      <c r="E75" s="44">
        <v>24994</v>
      </c>
      <c r="F75" s="177" t="s">
        <v>118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144</v>
      </c>
      <c r="C76" s="206" t="s">
        <v>130</v>
      </c>
      <c r="D76" s="49" t="s">
        <v>118</v>
      </c>
      <c r="E76" s="44">
        <v>24994</v>
      </c>
      <c r="F76" s="177" t="s">
        <v>118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145</v>
      </c>
      <c r="C77" s="206" t="s">
        <v>130</v>
      </c>
      <c r="D77" s="49" t="s">
        <v>118</v>
      </c>
      <c r="E77" s="44">
        <v>24994</v>
      </c>
      <c r="F77" s="177" t="s">
        <v>118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146</v>
      </c>
      <c r="C78" s="206" t="s">
        <v>130</v>
      </c>
      <c r="D78" s="49" t="s">
        <v>118</v>
      </c>
      <c r="E78" s="44">
        <v>24994</v>
      </c>
      <c r="F78" s="177" t="s">
        <v>118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147</v>
      </c>
      <c r="C79" s="206" t="s">
        <v>130</v>
      </c>
      <c r="D79" s="49" t="s">
        <v>118</v>
      </c>
      <c r="E79" s="44">
        <v>24994</v>
      </c>
      <c r="F79" s="177" t="s">
        <v>118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148</v>
      </c>
      <c r="C80" s="206" t="s">
        <v>130</v>
      </c>
      <c r="D80" s="49" t="s">
        <v>118</v>
      </c>
      <c r="E80" s="44">
        <v>24994</v>
      </c>
      <c r="F80" s="177" t="s">
        <v>118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149</v>
      </c>
      <c r="C81" s="206" t="s">
        <v>130</v>
      </c>
      <c r="D81" s="49" t="s">
        <v>118</v>
      </c>
      <c r="E81" s="44">
        <v>24994</v>
      </c>
      <c r="F81" s="177" t="s">
        <v>118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150</v>
      </c>
      <c r="C82" s="206" t="s">
        <v>130</v>
      </c>
      <c r="D82" s="49" t="s">
        <v>118</v>
      </c>
      <c r="E82" s="44">
        <v>24994</v>
      </c>
      <c r="F82" s="177" t="s">
        <v>118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151</v>
      </c>
      <c r="C83" s="206" t="s">
        <v>130</v>
      </c>
      <c r="D83" s="49" t="s">
        <v>118</v>
      </c>
      <c r="E83" s="44">
        <v>24994</v>
      </c>
      <c r="F83" s="177" t="s">
        <v>118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152</v>
      </c>
      <c r="C84" s="206" t="s">
        <v>130</v>
      </c>
      <c r="D84" s="49" t="s">
        <v>118</v>
      </c>
      <c r="E84" s="44">
        <v>24994</v>
      </c>
      <c r="F84" s="177" t="s">
        <v>118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153</v>
      </c>
      <c r="C85" s="206" t="s">
        <v>130</v>
      </c>
      <c r="D85" s="49" t="s">
        <v>118</v>
      </c>
      <c r="E85" s="44">
        <v>24994</v>
      </c>
      <c r="F85" s="177" t="s">
        <v>118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154</v>
      </c>
      <c r="C86" s="206" t="s">
        <v>130</v>
      </c>
      <c r="D86" s="49" t="s">
        <v>118</v>
      </c>
      <c r="E86" s="44">
        <v>24994</v>
      </c>
      <c r="F86" s="177" t="s">
        <v>118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155</v>
      </c>
      <c r="C87" s="206" t="s">
        <v>130</v>
      </c>
      <c r="D87" s="49" t="s">
        <v>118</v>
      </c>
      <c r="E87" s="44">
        <v>24994</v>
      </c>
      <c r="F87" s="177" t="s">
        <v>118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156</v>
      </c>
      <c r="C88" s="206" t="s">
        <v>130</v>
      </c>
      <c r="D88" s="49" t="s">
        <v>118</v>
      </c>
      <c r="E88" s="44">
        <v>24994</v>
      </c>
      <c r="F88" s="177" t="s">
        <v>118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157</v>
      </c>
      <c r="C89" s="206" t="s">
        <v>130</v>
      </c>
      <c r="D89" s="49" t="s">
        <v>118</v>
      </c>
      <c r="E89" s="44">
        <v>24994</v>
      </c>
      <c r="F89" s="177" t="s">
        <v>118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158</v>
      </c>
      <c r="C90" s="206" t="s">
        <v>130</v>
      </c>
      <c r="D90" s="49" t="s">
        <v>118</v>
      </c>
      <c r="E90" s="44">
        <v>24994</v>
      </c>
      <c r="F90" s="177" t="s">
        <v>118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159</v>
      </c>
      <c r="C91" s="206" t="s">
        <v>130</v>
      </c>
      <c r="D91" s="49" t="s">
        <v>118</v>
      </c>
      <c r="E91" s="44">
        <v>24994</v>
      </c>
      <c r="F91" s="177" t="s">
        <v>118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160</v>
      </c>
      <c r="C92" s="206" t="s">
        <v>130</v>
      </c>
      <c r="D92" s="49" t="s">
        <v>118</v>
      </c>
      <c r="E92" s="44">
        <v>20111</v>
      </c>
      <c r="F92" s="177" t="s">
        <v>118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161</v>
      </c>
      <c r="C93" s="206" t="s">
        <v>130</v>
      </c>
      <c r="D93" s="49" t="s">
        <v>118</v>
      </c>
      <c r="E93" s="44">
        <v>20111</v>
      </c>
      <c r="F93" s="177" t="s">
        <v>118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162</v>
      </c>
      <c r="C94" s="206" t="s">
        <v>130</v>
      </c>
      <c r="D94" s="49" t="s">
        <v>118</v>
      </c>
      <c r="E94" s="44">
        <v>20111</v>
      </c>
      <c r="F94" s="177" t="s">
        <v>118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163</v>
      </c>
      <c r="C95" s="206" t="s">
        <v>130</v>
      </c>
      <c r="D95" s="49" t="s">
        <v>118</v>
      </c>
      <c r="E95" s="44">
        <v>5611</v>
      </c>
      <c r="F95" s="177" t="s">
        <v>118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164</v>
      </c>
      <c r="C96" s="206" t="s">
        <v>130</v>
      </c>
      <c r="D96" s="49" t="s">
        <v>118</v>
      </c>
      <c r="E96" s="44">
        <v>20111</v>
      </c>
      <c r="F96" s="177" t="s">
        <v>118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165</v>
      </c>
      <c r="C97" s="206" t="s">
        <v>130</v>
      </c>
      <c r="D97" s="49" t="s">
        <v>118</v>
      </c>
      <c r="E97" s="44">
        <v>5611</v>
      </c>
      <c r="F97" s="177" t="s">
        <v>118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166</v>
      </c>
      <c r="C98" s="206" t="s">
        <v>130</v>
      </c>
      <c r="D98" s="49" t="s">
        <v>118</v>
      </c>
      <c r="E98" s="44">
        <v>5611</v>
      </c>
      <c r="F98" s="177" t="s">
        <v>118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167</v>
      </c>
      <c r="C99" s="206" t="s">
        <v>130</v>
      </c>
      <c r="D99" s="49" t="s">
        <v>118</v>
      </c>
      <c r="E99" s="44">
        <v>5611</v>
      </c>
      <c r="F99" s="177" t="s">
        <v>118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168</v>
      </c>
      <c r="C100" s="206" t="s">
        <v>130</v>
      </c>
      <c r="D100" s="49" t="s">
        <v>118</v>
      </c>
      <c r="E100" s="44">
        <v>20111</v>
      </c>
      <c r="F100" s="177" t="s">
        <v>118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169</v>
      </c>
      <c r="C101" s="206" t="s">
        <v>130</v>
      </c>
      <c r="D101" s="49" t="s">
        <v>118</v>
      </c>
      <c r="E101" s="44">
        <v>20111</v>
      </c>
      <c r="F101" s="177" t="s">
        <v>118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170</v>
      </c>
      <c r="C102" s="206" t="s">
        <v>130</v>
      </c>
      <c r="D102" s="49" t="s">
        <v>118</v>
      </c>
      <c r="E102" s="44">
        <v>20111</v>
      </c>
      <c r="F102" s="177" t="s">
        <v>118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171</v>
      </c>
      <c r="C103" s="206" t="s">
        <v>130</v>
      </c>
      <c r="D103" s="49" t="s">
        <v>118</v>
      </c>
      <c r="E103" s="44">
        <v>20111</v>
      </c>
      <c r="F103" s="177" t="s">
        <v>118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172</v>
      </c>
      <c r="C104" s="206" t="s">
        <v>130</v>
      </c>
      <c r="D104" s="49" t="s">
        <v>118</v>
      </c>
      <c r="E104" s="44">
        <v>229095</v>
      </c>
      <c r="F104" s="177" t="s">
        <v>118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173</v>
      </c>
      <c r="C105" s="206" t="s">
        <v>130</v>
      </c>
      <c r="D105" s="49" t="s">
        <v>118</v>
      </c>
      <c r="E105" s="44">
        <v>279854.5</v>
      </c>
      <c r="F105" s="177" t="s">
        <v>118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174</v>
      </c>
      <c r="C106" s="206" t="s">
        <v>130</v>
      </c>
      <c r="D106" s="49" t="s">
        <v>118</v>
      </c>
      <c r="E106" s="44">
        <v>157271</v>
      </c>
      <c r="F106" s="177" t="s">
        <v>118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175</v>
      </c>
      <c r="C107" s="206" t="s">
        <v>130</v>
      </c>
      <c r="D107" s="49" t="s">
        <v>118</v>
      </c>
      <c r="E107" s="44">
        <v>284545</v>
      </c>
      <c r="F107" s="177" t="s">
        <v>118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176</v>
      </c>
      <c r="C108" s="206" t="s">
        <v>130</v>
      </c>
      <c r="D108" s="49" t="s">
        <v>118</v>
      </c>
      <c r="E108" s="44">
        <v>120557.6</v>
      </c>
      <c r="F108" s="177" t="s">
        <v>118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177</v>
      </c>
      <c r="C109" s="206" t="s">
        <v>130</v>
      </c>
      <c r="D109" s="49" t="s">
        <v>118</v>
      </c>
      <c r="E109" s="44">
        <v>31797.599999999999</v>
      </c>
      <c r="F109" s="177" t="s">
        <v>118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178</v>
      </c>
      <c r="C110" s="206" t="s">
        <v>130</v>
      </c>
      <c r="D110" s="49" t="s">
        <v>118</v>
      </c>
      <c r="E110" s="44">
        <v>25200</v>
      </c>
      <c r="F110" s="177" t="s">
        <v>118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179</v>
      </c>
      <c r="C111" s="206" t="s">
        <v>130</v>
      </c>
      <c r="D111" s="49" t="s">
        <v>118</v>
      </c>
      <c r="E111" s="44">
        <v>131707</v>
      </c>
      <c r="F111" s="177" t="s">
        <v>118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180</v>
      </c>
      <c r="C112" s="206" t="s">
        <v>130</v>
      </c>
      <c r="D112" s="49" t="s">
        <v>118</v>
      </c>
      <c r="E112" s="44">
        <v>446666</v>
      </c>
      <c r="F112" s="177" t="s">
        <v>118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181</v>
      </c>
      <c r="C113" s="206" t="s">
        <v>130</v>
      </c>
      <c r="D113" s="49" t="s">
        <v>182</v>
      </c>
      <c r="E113" s="44">
        <v>97321</v>
      </c>
      <c r="F113" s="177" t="s">
        <v>182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183</v>
      </c>
      <c r="C114" s="206" t="s">
        <v>130</v>
      </c>
      <c r="D114" s="49" t="s">
        <v>182</v>
      </c>
      <c r="E114" s="44">
        <v>99191</v>
      </c>
      <c r="F114" s="177" t="s">
        <v>182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184</v>
      </c>
      <c r="C115" s="206" t="s">
        <v>130</v>
      </c>
      <c r="D115" s="49" t="s">
        <v>118</v>
      </c>
      <c r="E115" s="44">
        <v>30600</v>
      </c>
      <c r="F115" s="177" t="s">
        <v>118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185</v>
      </c>
      <c r="C116" s="206" t="s">
        <v>130</v>
      </c>
      <c r="D116" s="49" t="s">
        <v>118</v>
      </c>
      <c r="E116" s="44">
        <v>27800</v>
      </c>
      <c r="F116" s="177" t="s">
        <v>118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186</v>
      </c>
      <c r="C117" s="206" t="s">
        <v>130</v>
      </c>
      <c r="D117" s="49" t="s">
        <v>118</v>
      </c>
      <c r="E117" s="44">
        <v>25955</v>
      </c>
      <c r="F117" s="177" t="s">
        <v>118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187</v>
      </c>
      <c r="C118" s="206" t="s">
        <v>130</v>
      </c>
      <c r="D118" s="49" t="s">
        <v>118</v>
      </c>
      <c r="E118" s="44">
        <v>58187.6</v>
      </c>
      <c r="F118" s="177" t="s">
        <v>118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188</v>
      </c>
      <c r="C119" s="206" t="s">
        <v>130</v>
      </c>
      <c r="D119" s="49" t="s">
        <v>118</v>
      </c>
      <c r="E119" s="44">
        <v>40505.5</v>
      </c>
      <c r="F119" s="177" t="s">
        <v>118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189</v>
      </c>
      <c r="C120" s="206" t="s">
        <v>130</v>
      </c>
      <c r="D120" s="49" t="s">
        <v>118</v>
      </c>
      <c r="E120" s="44">
        <v>28585</v>
      </c>
      <c r="F120" s="177" t="s">
        <v>118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190</v>
      </c>
      <c r="C121" s="206" t="s">
        <v>130</v>
      </c>
      <c r="D121" s="49" t="s">
        <v>118</v>
      </c>
      <c r="E121" s="44">
        <v>204785</v>
      </c>
      <c r="F121" s="177" t="s">
        <v>118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191</v>
      </c>
      <c r="C122" s="206" t="s">
        <v>130</v>
      </c>
      <c r="D122" s="49" t="s">
        <v>118</v>
      </c>
      <c r="E122" s="44">
        <v>64500</v>
      </c>
      <c r="F122" s="177" t="s">
        <v>118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192</v>
      </c>
      <c r="C123" s="206" t="s">
        <v>130</v>
      </c>
      <c r="D123" s="49" t="s">
        <v>118</v>
      </c>
      <c r="E123" s="44">
        <v>111250</v>
      </c>
      <c r="F123" s="177" t="s">
        <v>118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193</v>
      </c>
      <c r="C124" s="206" t="s">
        <v>130</v>
      </c>
      <c r="D124" s="49" t="s">
        <v>118</v>
      </c>
      <c r="E124" s="44">
        <v>79000</v>
      </c>
      <c r="F124" s="177" t="s">
        <v>118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194</v>
      </c>
      <c r="C125" s="206" t="s">
        <v>130</v>
      </c>
      <c r="D125" s="49" t="s">
        <v>118</v>
      </c>
      <c r="E125" s="44">
        <v>108010</v>
      </c>
      <c r="F125" s="177" t="s">
        <v>118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195</v>
      </c>
      <c r="C126" s="206" t="s">
        <v>130</v>
      </c>
      <c r="D126" s="49" t="s">
        <v>118</v>
      </c>
      <c r="E126" s="44">
        <v>71816.5</v>
      </c>
      <c r="F126" s="177" t="s">
        <v>118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196</v>
      </c>
      <c r="C127" s="206" t="s">
        <v>130</v>
      </c>
      <c r="D127" s="49" t="s">
        <v>118</v>
      </c>
      <c r="E127" s="44">
        <v>89211</v>
      </c>
      <c r="F127" s="177" t="s">
        <v>118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197</v>
      </c>
      <c r="C128" s="206" t="s">
        <v>130</v>
      </c>
      <c r="D128" s="49" t="s">
        <v>118</v>
      </c>
      <c r="E128" s="44">
        <v>603076</v>
      </c>
      <c r="F128" s="177" t="s">
        <v>118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198</v>
      </c>
      <c r="C129" s="206" t="s">
        <v>130</v>
      </c>
      <c r="D129" s="49" t="s">
        <v>118</v>
      </c>
      <c r="E129" s="44">
        <v>248532</v>
      </c>
      <c r="F129" s="177" t="s">
        <v>118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199</v>
      </c>
      <c r="C130" s="206" t="s">
        <v>130</v>
      </c>
      <c r="D130" s="49" t="s">
        <v>118</v>
      </c>
      <c r="E130" s="44">
        <v>33000</v>
      </c>
      <c r="F130" s="177" t="s">
        <v>118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200</v>
      </c>
      <c r="C131" s="206" t="s">
        <v>130</v>
      </c>
      <c r="D131" s="49" t="s">
        <v>118</v>
      </c>
      <c r="E131" s="44">
        <v>26141</v>
      </c>
      <c r="F131" s="177" t="s">
        <v>118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201</v>
      </c>
      <c r="C132" s="206" t="s">
        <v>130</v>
      </c>
      <c r="D132" s="49" t="s">
        <v>118</v>
      </c>
      <c r="E132" s="44">
        <v>9818</v>
      </c>
      <c r="F132" s="177" t="s">
        <v>118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202</v>
      </c>
      <c r="C133" s="206" t="s">
        <v>130</v>
      </c>
      <c r="D133" s="49" t="s">
        <v>118</v>
      </c>
      <c r="E133" s="44">
        <v>37905</v>
      </c>
      <c r="F133" s="177" t="s">
        <v>118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203</v>
      </c>
      <c r="C134" s="206" t="s">
        <v>130</v>
      </c>
      <c r="D134" s="49" t="s">
        <v>118</v>
      </c>
      <c r="E134" s="44">
        <v>17500</v>
      </c>
      <c r="F134" s="177" t="s">
        <v>118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204</v>
      </c>
      <c r="C135" s="206" t="s">
        <v>130</v>
      </c>
      <c r="D135" s="49" t="s">
        <v>182</v>
      </c>
      <c r="E135" s="44">
        <v>47662</v>
      </c>
      <c r="F135" s="177" t="s">
        <v>182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205</v>
      </c>
      <c r="C136" s="206" t="s">
        <v>130</v>
      </c>
      <c r="D136" s="49" t="s">
        <v>182</v>
      </c>
      <c r="E136" s="44">
        <v>8533</v>
      </c>
      <c r="F136" s="177" t="s">
        <v>182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206</v>
      </c>
      <c r="C137" s="206" t="s">
        <v>130</v>
      </c>
      <c r="D137" s="49" t="s">
        <v>182</v>
      </c>
      <c r="E137" s="44">
        <v>8367</v>
      </c>
      <c r="F137" s="177" t="s">
        <v>182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207</v>
      </c>
      <c r="C138" s="206" t="s">
        <v>130</v>
      </c>
      <c r="D138" s="49" t="s">
        <v>182</v>
      </c>
      <c r="E138" s="44">
        <v>32859</v>
      </c>
      <c r="F138" s="177" t="s">
        <v>182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208</v>
      </c>
      <c r="C139" s="206" t="s">
        <v>130</v>
      </c>
      <c r="D139" s="49" t="s">
        <v>182</v>
      </c>
      <c r="E139" s="44">
        <v>9366</v>
      </c>
      <c r="F139" s="177" t="s">
        <v>182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209</v>
      </c>
      <c r="C140" s="206" t="s">
        <v>130</v>
      </c>
      <c r="D140" s="49" t="s">
        <v>182</v>
      </c>
      <c r="E140" s="44">
        <v>54502</v>
      </c>
      <c r="F140" s="177" t="s">
        <v>182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210</v>
      </c>
      <c r="C141" s="206" t="s">
        <v>130</v>
      </c>
      <c r="D141" s="49" t="s">
        <v>211</v>
      </c>
      <c r="E141" s="44">
        <v>14170</v>
      </c>
      <c r="F141" s="177" t="s">
        <v>211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212</v>
      </c>
      <c r="C142" s="206" t="s">
        <v>130</v>
      </c>
      <c r="D142" s="49" t="s">
        <v>118</v>
      </c>
      <c r="E142" s="44">
        <v>57850</v>
      </c>
      <c r="F142" s="177" t="s">
        <v>118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213</v>
      </c>
      <c r="C143" s="206" t="s">
        <v>130</v>
      </c>
      <c r="D143" s="49" t="s">
        <v>214</v>
      </c>
      <c r="E143" s="44">
        <v>33800</v>
      </c>
      <c r="F143" s="177" t="s">
        <v>118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215</v>
      </c>
      <c r="C144" s="206" t="s">
        <v>130</v>
      </c>
      <c r="D144" s="49" t="s">
        <v>216</v>
      </c>
      <c r="E144" s="44">
        <v>50178</v>
      </c>
      <c r="F144" s="177" t="s">
        <v>216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217</v>
      </c>
      <c r="C145" s="206" t="s">
        <v>130</v>
      </c>
      <c r="D145" s="49" t="s">
        <v>182</v>
      </c>
      <c r="E145" s="44">
        <v>35105</v>
      </c>
      <c r="F145" s="177" t="s">
        <v>182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218</v>
      </c>
      <c r="C146" s="206" t="s">
        <v>130</v>
      </c>
      <c r="D146" s="49" t="s">
        <v>118</v>
      </c>
      <c r="E146" s="44">
        <v>175000</v>
      </c>
      <c r="F146" s="177" t="s">
        <v>118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219</v>
      </c>
      <c r="C147" s="206" t="s">
        <v>130</v>
      </c>
      <c r="D147" s="49" t="s">
        <v>118</v>
      </c>
      <c r="E147" s="44">
        <v>283333.33333333331</v>
      </c>
      <c r="F147" s="177" t="s">
        <v>118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220</v>
      </c>
      <c r="C148" s="206" t="s">
        <v>130</v>
      </c>
      <c r="D148" s="49" t="s">
        <v>118</v>
      </c>
      <c r="E148" s="44">
        <v>40333.5</v>
      </c>
      <c r="F148" s="177" t="s">
        <v>118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221</v>
      </c>
      <c r="C149" s="206" t="s">
        <v>130</v>
      </c>
      <c r="D149" s="49" t="s">
        <v>118</v>
      </c>
      <c r="E149" s="44">
        <v>15547.5</v>
      </c>
      <c r="F149" s="177" t="s">
        <v>118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222</v>
      </c>
      <c r="C150" s="206" t="s">
        <v>130</v>
      </c>
      <c r="D150" s="49" t="s">
        <v>118</v>
      </c>
      <c r="E150" s="44">
        <v>18172.599999999999</v>
      </c>
      <c r="F150" s="177" t="s">
        <v>118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223</v>
      </c>
      <c r="C151" s="206" t="s">
        <v>130</v>
      </c>
      <c r="D151" s="49" t="s">
        <v>224</v>
      </c>
      <c r="E151" s="44">
        <v>38591.666666666664</v>
      </c>
      <c r="F151" s="177" t="s">
        <v>224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225</v>
      </c>
      <c r="C152" s="206" t="s">
        <v>130</v>
      </c>
      <c r="D152" s="49" t="s">
        <v>182</v>
      </c>
      <c r="E152" s="44">
        <v>22134</v>
      </c>
      <c r="F152" s="177" t="s">
        <v>182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226</v>
      </c>
      <c r="C153" s="206" t="s">
        <v>130</v>
      </c>
      <c r="D153" s="49" t="s">
        <v>118</v>
      </c>
      <c r="E153" s="44">
        <v>18125</v>
      </c>
      <c r="F153" s="177" t="s">
        <v>118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227</v>
      </c>
      <c r="C154" s="206" t="s">
        <v>130</v>
      </c>
      <c r="D154" s="49" t="s">
        <v>118</v>
      </c>
      <c r="E154" s="44">
        <v>102685</v>
      </c>
      <c r="F154" s="177" t="s">
        <v>118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228</v>
      </c>
      <c r="C155" s="206" t="s">
        <v>130</v>
      </c>
      <c r="D155" s="49" t="s">
        <v>118</v>
      </c>
      <c r="E155" s="44">
        <v>25163</v>
      </c>
      <c r="F155" s="177" t="s">
        <v>118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229</v>
      </c>
      <c r="C156" s="206" t="s">
        <v>130</v>
      </c>
      <c r="D156" s="49" t="s">
        <v>182</v>
      </c>
      <c r="E156" s="44">
        <v>149370</v>
      </c>
      <c r="F156" s="177" t="s">
        <v>182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230</v>
      </c>
      <c r="C157" s="206" t="s">
        <v>130</v>
      </c>
      <c r="D157" s="49" t="s">
        <v>118</v>
      </c>
      <c r="E157" s="44">
        <v>83922.5</v>
      </c>
      <c r="F157" s="177" t="s">
        <v>118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231</v>
      </c>
      <c r="C158" s="206" t="s">
        <v>130</v>
      </c>
      <c r="D158" s="49" t="s">
        <v>118</v>
      </c>
      <c r="E158" s="44">
        <v>547525</v>
      </c>
      <c r="F158" s="177" t="s">
        <v>118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232</v>
      </c>
      <c r="C159" s="206" t="s">
        <v>130</v>
      </c>
      <c r="D159" s="49" t="s">
        <v>216</v>
      </c>
      <c r="E159" s="44">
        <v>8850</v>
      </c>
      <c r="F159" s="177" t="s">
        <v>216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233</v>
      </c>
      <c r="C160" s="206" t="s">
        <v>130</v>
      </c>
      <c r="D160" s="49" t="s">
        <v>234</v>
      </c>
      <c r="E160" s="44">
        <v>135533.5</v>
      </c>
      <c r="F160" s="177" t="s">
        <v>234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235</v>
      </c>
      <c r="C161" s="206" t="s">
        <v>130</v>
      </c>
      <c r="D161" s="49" t="s">
        <v>118</v>
      </c>
      <c r="E161" s="44">
        <v>313317.5</v>
      </c>
      <c r="F161" s="177" t="s">
        <v>118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236</v>
      </c>
      <c r="C162" s="206" t="s">
        <v>130</v>
      </c>
      <c r="D162" s="49" t="s">
        <v>118</v>
      </c>
      <c r="E162" s="44">
        <v>22214</v>
      </c>
      <c r="F162" s="177" t="s">
        <v>118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237</v>
      </c>
      <c r="C163" s="206" t="s">
        <v>130</v>
      </c>
      <c r="D163" s="49" t="s">
        <v>118</v>
      </c>
      <c r="E163" s="44">
        <v>293333.33500000002</v>
      </c>
      <c r="F163" s="177" t="s">
        <v>118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238</v>
      </c>
      <c r="C164" s="206" t="s">
        <v>130</v>
      </c>
      <c r="D164" s="49" t="s">
        <v>118</v>
      </c>
      <c r="E164" s="44">
        <v>30290</v>
      </c>
      <c r="F164" s="177" t="s">
        <v>118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239</v>
      </c>
      <c r="C165" s="206" t="s">
        <v>130</v>
      </c>
      <c r="D165" s="49" t="s">
        <v>118</v>
      </c>
      <c r="E165" s="44">
        <v>69202</v>
      </c>
      <c r="F165" s="177" t="s">
        <v>118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240</v>
      </c>
      <c r="C166" s="206" t="s">
        <v>130</v>
      </c>
      <c r="D166" s="49" t="s">
        <v>224</v>
      </c>
      <c r="E166" s="44">
        <v>90800</v>
      </c>
      <c r="F166" s="177" t="s">
        <v>224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241</v>
      </c>
      <c r="C167" s="206" t="s">
        <v>130</v>
      </c>
      <c r="D167" s="49" t="s">
        <v>118</v>
      </c>
      <c r="E167" s="44">
        <v>79333.666666666672</v>
      </c>
      <c r="F167" s="177" t="s">
        <v>118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242</v>
      </c>
      <c r="C168" s="206" t="s">
        <v>130</v>
      </c>
      <c r="D168" s="49" t="s">
        <v>118</v>
      </c>
      <c r="E168" s="44">
        <v>27500</v>
      </c>
      <c r="F168" s="177" t="s">
        <v>118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243</v>
      </c>
      <c r="C169" s="206" t="s">
        <v>130</v>
      </c>
      <c r="D169" s="49" t="s">
        <v>118</v>
      </c>
      <c r="E169" s="44">
        <v>16548</v>
      </c>
      <c r="F169" s="177" t="s">
        <v>118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128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99</v>
      </c>
      <c r="B215" s="269">
        <f>SUBTOTAL(3,(B217:B430))</f>
        <v>214</v>
      </c>
      <c r="C215" s="117"/>
      <c r="D215" s="117"/>
      <c r="E215"/>
      <c r="F215" s="178"/>
      <c r="H215"/>
      <c r="I215"/>
    </row>
    <row r="216" spans="1:11" ht="47.25">
      <c r="A216" s="115" t="s">
        <v>79</v>
      </c>
      <c r="B216" s="120" t="s">
        <v>101</v>
      </c>
      <c r="C216" s="116" t="s">
        <v>102</v>
      </c>
      <c r="D216" s="100" t="s">
        <v>103</v>
      </c>
      <c r="E216" s="68" t="s">
        <v>104</v>
      </c>
      <c r="F216" s="176" t="s">
        <v>105</v>
      </c>
      <c r="G216" s="70" t="s">
        <v>106</v>
      </c>
      <c r="H216" s="71" t="s">
        <v>107</v>
      </c>
      <c r="I216" s="71" t="s">
        <v>108</v>
      </c>
      <c r="J216" s="277" t="s">
        <v>109</v>
      </c>
      <c r="K216" s="278" t="s">
        <v>110</v>
      </c>
    </row>
    <row r="217" spans="1:11" ht="15" customHeight="1">
      <c r="A217" s="42">
        <v>1</v>
      </c>
      <c r="B217" s="189" t="s">
        <v>244</v>
      </c>
      <c r="C217" s="206" t="s">
        <v>33</v>
      </c>
      <c r="D217" s="49" t="s">
        <v>182</v>
      </c>
      <c r="E217" s="44">
        <v>760</v>
      </c>
      <c r="F217" s="177" t="s">
        <v>182</v>
      </c>
      <c r="G217" s="40">
        <f>IF(BD!$E217="","",(E217/(H217*I217)))</f>
        <v>760</v>
      </c>
      <c r="H217" s="8">
        <v>1</v>
      </c>
      <c r="I217" s="8">
        <v>1</v>
      </c>
      <c r="J217" s="207" t="str">
        <f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79" t="s">
        <v>245</v>
      </c>
      <c r="C218" s="206" t="s">
        <v>33</v>
      </c>
      <c r="D218" s="49" t="s">
        <v>246</v>
      </c>
      <c r="E218" s="44"/>
      <c r="F218" s="177" t="s">
        <v>95</v>
      </c>
      <c r="G218" s="40" t="str">
        <f>IF(BD!$E218="","",(E218/(H218*I218)))</f>
        <v/>
      </c>
      <c r="H218" s="8">
        <v>1</v>
      </c>
      <c r="I218" s="8">
        <v>100</v>
      </c>
      <c r="J218" s="207" t="str">
        <f>CONCATENATE(LEFT(C218,1),MID(C218,SEARCH("_",C218)+1,2),TEXT(A218,"000"))</f>
        <v>SME128</v>
      </c>
      <c r="K218" s="117"/>
    </row>
    <row r="219" spans="1:11" ht="15" customHeight="1">
      <c r="A219" s="42">
        <v>2</v>
      </c>
      <c r="B219" s="189" t="s">
        <v>247</v>
      </c>
      <c r="C219" s="206" t="s">
        <v>33</v>
      </c>
      <c r="D219" s="49" t="s">
        <v>248</v>
      </c>
      <c r="E219" s="44">
        <v>45667</v>
      </c>
      <c r="F219" s="177" t="s">
        <v>248</v>
      </c>
      <c r="G219" s="40">
        <f>IF(BD!$E219="","",(E219/(H219*I219)))</f>
        <v>45667</v>
      </c>
      <c r="H219" s="8">
        <v>1</v>
      </c>
      <c r="I219" s="8">
        <v>1</v>
      </c>
      <c r="J219" s="207" t="str">
        <f>CONCATENATE(LEFT(C219,1),MID(C219,SEARCH("_",C219)+1,2),TEXT(A219,"000"))</f>
        <v>SME002</v>
      </c>
      <c r="K219" s="117"/>
    </row>
    <row r="220" spans="1:11" ht="15" customHeight="1">
      <c r="A220" s="42">
        <v>128</v>
      </c>
      <c r="B220" s="279" t="s">
        <v>249</v>
      </c>
      <c r="C220" s="206" t="s">
        <v>33</v>
      </c>
      <c r="D220" s="49" t="s">
        <v>246</v>
      </c>
      <c r="E220" s="44"/>
      <c r="F220" s="177" t="s">
        <v>95</v>
      </c>
      <c r="G220" s="40" t="str">
        <f>IF(BD!$E220="","",(E220/(H220*I220)))</f>
        <v/>
      </c>
      <c r="H220" s="8">
        <v>1</v>
      </c>
      <c r="I220" s="8">
        <v>100</v>
      </c>
      <c r="J220" s="207" t="str">
        <f>CONCATENATE(LEFT(C220,1),MID(C220,SEARCH("_",C220)+1,2),TEXT(A220,"000"))</f>
        <v>SME128</v>
      </c>
      <c r="K220" s="117"/>
    </row>
    <row r="221" spans="1:11" ht="15" customHeight="1">
      <c r="A221" s="42">
        <v>128</v>
      </c>
      <c r="B221" s="279" t="s">
        <v>250</v>
      </c>
      <c r="C221" s="206" t="s">
        <v>33</v>
      </c>
      <c r="D221" s="49" t="s">
        <v>246</v>
      </c>
      <c r="E221" s="44"/>
      <c r="F221" s="177" t="s">
        <v>95</v>
      </c>
      <c r="G221" s="40" t="str">
        <f>IF(BD!$E221="","",(E221/(H221*I221)))</f>
        <v/>
      </c>
      <c r="H221" s="8">
        <v>1</v>
      </c>
      <c r="I221" s="8">
        <v>100</v>
      </c>
      <c r="J221" s="207" t="str">
        <f>CONCATENATE(LEFT(C221,1),MID(C221,SEARCH("_",C221)+1,2),TEXT(A221,"000"))</f>
        <v>SME128</v>
      </c>
      <c r="K221" s="117"/>
    </row>
    <row r="222" spans="1:11" ht="15" customHeight="1">
      <c r="A222" s="42">
        <v>128</v>
      </c>
      <c r="B222" s="279" t="s">
        <v>251</v>
      </c>
      <c r="C222" s="206" t="s">
        <v>33</v>
      </c>
      <c r="D222" s="49" t="s">
        <v>246</v>
      </c>
      <c r="E222" s="44"/>
      <c r="F222" s="177" t="s">
        <v>95</v>
      </c>
      <c r="G222" s="40" t="str">
        <f>IF(BD!$E222="","",(E222/(H222*I222)))</f>
        <v/>
      </c>
      <c r="H222" s="8">
        <v>1</v>
      </c>
      <c r="I222" s="8">
        <v>100</v>
      </c>
      <c r="J222" s="207" t="str">
        <f>CONCATENATE(LEFT(C222,1),MID(C222,SEARCH("_",C222)+1,2),TEXT(A222,"000"))</f>
        <v>SME128</v>
      </c>
      <c r="K222" s="117"/>
    </row>
    <row r="223" spans="1:11" ht="15" customHeight="1">
      <c r="A223" s="42">
        <v>128</v>
      </c>
      <c r="B223" s="279" t="s">
        <v>252</v>
      </c>
      <c r="C223" s="206" t="s">
        <v>33</v>
      </c>
      <c r="D223" s="49" t="s">
        <v>246</v>
      </c>
      <c r="E223" s="44"/>
      <c r="F223" s="177" t="s">
        <v>95</v>
      </c>
      <c r="G223" s="40" t="str">
        <f>IF(BD!$E223="","",(E223/(H223*I223)))</f>
        <v/>
      </c>
      <c r="H223" s="8">
        <v>1</v>
      </c>
      <c r="I223" s="8">
        <v>100</v>
      </c>
      <c r="J223" s="207" t="str">
        <f>CONCATENATE(LEFT(C223,1),MID(C223,SEARCH("_",C223)+1,2),TEXT(A223,"000"))</f>
        <v>SME128</v>
      </c>
      <c r="K223" s="117"/>
    </row>
    <row r="224" spans="1:11" ht="15" customHeight="1">
      <c r="A224" s="42">
        <v>128</v>
      </c>
      <c r="B224" s="279" t="s">
        <v>253</v>
      </c>
      <c r="C224" s="206" t="s">
        <v>33</v>
      </c>
      <c r="D224" s="49" t="s">
        <v>246</v>
      </c>
      <c r="E224" s="44"/>
      <c r="F224" s="177" t="s">
        <v>95</v>
      </c>
      <c r="G224" s="40" t="str">
        <f>IF(BD!$E224="","",(E224/(H224*I224)))</f>
        <v/>
      </c>
      <c r="H224" s="8">
        <v>1</v>
      </c>
      <c r="I224" s="8">
        <v>100</v>
      </c>
      <c r="J224" s="207" t="str">
        <f>CONCATENATE(LEFT(C224,1),MID(C224,SEARCH("_",C224)+1,2),TEXT(A224,"000"))</f>
        <v>SME128</v>
      </c>
      <c r="K224" s="117"/>
    </row>
    <row r="225" spans="1:11" ht="15" customHeight="1">
      <c r="A225" s="42">
        <v>128</v>
      </c>
      <c r="B225" s="279" t="s">
        <v>254</v>
      </c>
      <c r="C225" s="206" t="s">
        <v>33</v>
      </c>
      <c r="D225" s="49" t="s">
        <v>246</v>
      </c>
      <c r="E225" s="44"/>
      <c r="F225" s="177" t="s">
        <v>95</v>
      </c>
      <c r="G225" s="40" t="str">
        <f>IF(BD!$E225="","",(E225/(H225*I225)))</f>
        <v/>
      </c>
      <c r="H225" s="8">
        <v>1</v>
      </c>
      <c r="I225" s="8">
        <v>100</v>
      </c>
      <c r="J225" s="207" t="str">
        <f>CONCATENATE(LEFT(C225,1),MID(C225,SEARCH("_",C225)+1,2),TEXT(A225,"000"))</f>
        <v>SME128</v>
      </c>
      <c r="K225" s="117"/>
    </row>
    <row r="226" spans="1:11" ht="15" customHeight="1">
      <c r="A226" s="42">
        <v>128</v>
      </c>
      <c r="B226" s="279" t="s">
        <v>255</v>
      </c>
      <c r="C226" s="206" t="s">
        <v>33</v>
      </c>
      <c r="D226" s="49" t="s">
        <v>246</v>
      </c>
      <c r="E226" s="44"/>
      <c r="F226" s="177" t="s">
        <v>95</v>
      </c>
      <c r="G226" s="40" t="str">
        <f>IF(BD!$E226="","",(E226/(H226*I226)))</f>
        <v/>
      </c>
      <c r="H226" s="8">
        <v>1</v>
      </c>
      <c r="I226" s="8">
        <v>100</v>
      </c>
      <c r="J226" s="207" t="str">
        <f>CONCATENATE(LEFT(C226,1),MID(C226,SEARCH("_",C226)+1,2),TEXT(A226,"000"))</f>
        <v>SME128</v>
      </c>
      <c r="K226" s="117"/>
    </row>
    <row r="227" spans="1:11" ht="15" customHeight="1">
      <c r="A227" s="42">
        <v>128</v>
      </c>
      <c r="B227" s="279" t="s">
        <v>256</v>
      </c>
      <c r="C227" s="206" t="s">
        <v>33</v>
      </c>
      <c r="D227" s="49" t="s">
        <v>246</v>
      </c>
      <c r="E227" s="44"/>
      <c r="F227" s="177" t="s">
        <v>95</v>
      </c>
      <c r="G227" s="40" t="str">
        <f>IF(BD!$E227="","",(E227/(H227*I227)))</f>
        <v/>
      </c>
      <c r="H227" s="136">
        <v>1</v>
      </c>
      <c r="I227" s="8">
        <v>100</v>
      </c>
      <c r="J227" s="207" t="str">
        <f>CONCATENATE(LEFT(C227,1),MID(C227,SEARCH("_",C227)+1,2),TEXT(A227,"000"))</f>
        <v>SME128</v>
      </c>
      <c r="K227" s="117"/>
    </row>
    <row r="228" spans="1:11" ht="15" customHeight="1">
      <c r="A228" s="42">
        <v>128</v>
      </c>
      <c r="B228" s="279" t="s">
        <v>257</v>
      </c>
      <c r="C228" s="206" t="s">
        <v>33</v>
      </c>
      <c r="D228" s="49" t="s">
        <v>246</v>
      </c>
      <c r="E228" s="44"/>
      <c r="F228" s="177" t="s">
        <v>95</v>
      </c>
      <c r="G228" s="40" t="str">
        <f>IF(BD!$E228="","",(E228/(H228*I228)))</f>
        <v/>
      </c>
      <c r="H228" s="136">
        <v>1</v>
      </c>
      <c r="I228" s="8">
        <v>100</v>
      </c>
      <c r="J228" s="207" t="str">
        <f>CONCATENATE(LEFT(C228,1),MID(C228,SEARCH("_",C228)+1,2),TEXT(A228,"000"))</f>
        <v>SME128</v>
      </c>
      <c r="K228" s="117"/>
    </row>
    <row r="229" spans="1:11" ht="15" customHeight="1">
      <c r="A229" s="42">
        <v>3</v>
      </c>
      <c r="B229" s="189" t="s">
        <v>258</v>
      </c>
      <c r="C229" s="206" t="s">
        <v>33</v>
      </c>
      <c r="D229" s="49" t="s">
        <v>259</v>
      </c>
      <c r="E229" s="44">
        <v>41000</v>
      </c>
      <c r="F229" s="177" t="s">
        <v>246</v>
      </c>
      <c r="G229" s="40">
        <f>IF(BD!$E229="","",(E229/(H229*I229)))</f>
        <v>410</v>
      </c>
      <c r="H229" s="136">
        <v>100</v>
      </c>
      <c r="I229" s="8">
        <v>1</v>
      </c>
      <c r="J229" s="207" t="str">
        <f>CONCATENATE(LEFT(C229,1),MID(C229,SEARCH("_",C229)+1,2),TEXT(A229,"000"))</f>
        <v>SME003</v>
      </c>
      <c r="K229" s="117"/>
    </row>
    <row r="230" spans="1:11" ht="15" customHeight="1">
      <c r="A230" s="42">
        <v>4</v>
      </c>
      <c r="B230" s="189" t="s">
        <v>260</v>
      </c>
      <c r="C230" s="206" t="s">
        <v>33</v>
      </c>
      <c r="D230" s="49" t="s">
        <v>259</v>
      </c>
      <c r="E230" s="44">
        <v>58500</v>
      </c>
      <c r="F230" s="177" t="s">
        <v>246</v>
      </c>
      <c r="G230" s="40">
        <f>IF(BD!$E230="","",(E230/(H230*I230)))</f>
        <v>585</v>
      </c>
      <c r="H230" s="136">
        <v>100</v>
      </c>
      <c r="I230" s="8">
        <v>1</v>
      </c>
      <c r="J230" s="207" t="str">
        <f>CONCATENATE(LEFT(C230,1),MID(C230,SEARCH("_",C230)+1,2),TEXT(A230,"000"))</f>
        <v>SME004</v>
      </c>
      <c r="K230" s="117"/>
    </row>
    <row r="231" spans="1:11" ht="15" customHeight="1">
      <c r="A231" s="42">
        <v>5</v>
      </c>
      <c r="B231" s="189" t="s">
        <v>261</v>
      </c>
      <c r="C231" s="206" t="s">
        <v>33</v>
      </c>
      <c r="D231" s="49" t="s">
        <v>248</v>
      </c>
      <c r="E231" s="44">
        <v>17830</v>
      </c>
      <c r="F231" s="177" t="s">
        <v>262</v>
      </c>
      <c r="G231" s="40">
        <f>IF(BD!$E231="","",(E231/(H231*I231)))</f>
        <v>1.2735714285714286</v>
      </c>
      <c r="H231" s="136">
        <v>140</v>
      </c>
      <c r="I231" s="8">
        <v>100</v>
      </c>
      <c r="J231" s="207" t="str">
        <f>CONCATENATE(LEFT(C231,1),MID(C231,SEARCH("_",C231)+1,2),TEXT(A231,"000"))</f>
        <v>SME005</v>
      </c>
      <c r="K231" s="117"/>
    </row>
    <row r="232" spans="1:11" ht="15" customHeight="1">
      <c r="A232" s="42">
        <v>42</v>
      </c>
      <c r="B232" s="189" t="s">
        <v>263</v>
      </c>
      <c r="C232" s="206" t="s">
        <v>33</v>
      </c>
      <c r="D232" s="49" t="s">
        <v>182</v>
      </c>
      <c r="E232" s="44">
        <v>639</v>
      </c>
      <c r="F232" s="177" t="s">
        <v>182</v>
      </c>
      <c r="G232" s="40">
        <f>IF(BD!$E232="","",(E232/(H232*I232)))</f>
        <v>639</v>
      </c>
      <c r="H232" s="136">
        <v>1</v>
      </c>
      <c r="I232" s="8">
        <v>1</v>
      </c>
      <c r="J232" s="207" t="str">
        <f>CONCATENATE(LEFT(C232,1),MID(C232,SEARCH("_",C232)+1,2),TEXT(A232,"000"))</f>
        <v>SME042</v>
      </c>
      <c r="K232" s="117"/>
    </row>
    <row r="233" spans="1:11" ht="15" customHeight="1">
      <c r="A233" s="42">
        <v>43</v>
      </c>
      <c r="B233" s="189" t="s">
        <v>264</v>
      </c>
      <c r="C233" s="206" t="s">
        <v>33</v>
      </c>
      <c r="D233" s="49" t="s">
        <v>182</v>
      </c>
      <c r="E233" s="44">
        <v>639</v>
      </c>
      <c r="F233" s="177" t="s">
        <v>182</v>
      </c>
      <c r="G233" s="40">
        <f>IF(BD!$E233="","",(E233/(H233*I233)))</f>
        <v>639</v>
      </c>
      <c r="H233" s="136">
        <v>1</v>
      </c>
      <c r="I233" s="8">
        <v>1</v>
      </c>
      <c r="J233" s="207" t="str">
        <f>CONCATENATE(LEFT(C233,1),MID(C233,SEARCH("_",C233)+1,2),TEXT(A233,"000"))</f>
        <v>SME043</v>
      </c>
      <c r="K233" s="117"/>
    </row>
    <row r="234" spans="1:11" ht="15" customHeight="1">
      <c r="A234" s="42">
        <v>44</v>
      </c>
      <c r="B234" s="189" t="s">
        <v>265</v>
      </c>
      <c r="C234" s="206" t="s">
        <v>33</v>
      </c>
      <c r="D234" s="49" t="s">
        <v>182</v>
      </c>
      <c r="E234" s="44">
        <v>639</v>
      </c>
      <c r="F234" s="177" t="s">
        <v>182</v>
      </c>
      <c r="G234" s="40">
        <f>IF(BD!$E234="","",(E234/(H234*I234)))</f>
        <v>639</v>
      </c>
      <c r="H234" s="136">
        <v>1</v>
      </c>
      <c r="I234" s="8">
        <v>1</v>
      </c>
      <c r="J234" s="207" t="str">
        <f>CONCATENATE(LEFT(C234,1),MID(C234,SEARCH("_",C234)+1,2),TEXT(A234,"000"))</f>
        <v>SME044</v>
      </c>
      <c r="K234" s="117"/>
    </row>
    <row r="235" spans="1:11" ht="15" customHeight="1">
      <c r="A235" s="42">
        <v>45</v>
      </c>
      <c r="B235" s="189" t="s">
        <v>266</v>
      </c>
      <c r="C235" s="206" t="s">
        <v>33</v>
      </c>
      <c r="D235" s="49" t="s">
        <v>182</v>
      </c>
      <c r="E235" s="63">
        <v>639</v>
      </c>
      <c r="F235" s="177" t="s">
        <v>182</v>
      </c>
      <c r="G235" s="40">
        <f>IF(BD!$E235="","",(E235/(H235*I235)))</f>
        <v>639</v>
      </c>
      <c r="H235" s="136">
        <v>1</v>
      </c>
      <c r="I235" s="8">
        <v>1</v>
      </c>
      <c r="J235" s="207" t="str">
        <f>CONCATENATE(LEFT(C235,1),MID(C235,SEARCH("_",C235)+1,2),TEXT(A235,"000"))</f>
        <v>SME045</v>
      </c>
      <c r="K235" s="117"/>
    </row>
    <row r="236" spans="1:11" ht="15" customHeight="1">
      <c r="A236" s="42">
        <v>46</v>
      </c>
      <c r="B236" s="189" t="s">
        <v>267</v>
      </c>
      <c r="C236" s="206" t="s">
        <v>33</v>
      </c>
      <c r="D236" s="49" t="s">
        <v>182</v>
      </c>
      <c r="E236" s="63">
        <v>639</v>
      </c>
      <c r="F236" s="177" t="s">
        <v>182</v>
      </c>
      <c r="G236" s="40">
        <f>IF(BD!$E236="","",(E236/(H236*I236)))</f>
        <v>639</v>
      </c>
      <c r="H236" s="136">
        <v>1</v>
      </c>
      <c r="I236" s="8">
        <v>1</v>
      </c>
      <c r="J236" s="207" t="str">
        <f>CONCATENATE(LEFT(C236,1),MID(C236,SEARCH("_",C236)+1,2),TEXT(A236,"000"))</f>
        <v>SME046</v>
      </c>
      <c r="K236" s="117"/>
    </row>
    <row r="237" spans="1:11" ht="15" customHeight="1">
      <c r="A237" s="42">
        <v>47</v>
      </c>
      <c r="B237" s="189" t="s">
        <v>268</v>
      </c>
      <c r="C237" s="206" t="s">
        <v>33</v>
      </c>
      <c r="D237" s="49" t="s">
        <v>182</v>
      </c>
      <c r="E237" s="63">
        <v>639</v>
      </c>
      <c r="F237" s="177" t="s">
        <v>182</v>
      </c>
      <c r="G237" s="40">
        <f>IF(BD!$E237="","",(E237/(H237*I237)))</f>
        <v>639</v>
      </c>
      <c r="H237" s="136">
        <v>1</v>
      </c>
      <c r="I237" s="8">
        <v>1</v>
      </c>
      <c r="J237" s="207" t="str">
        <f>CONCATENATE(LEFT(C237,1),MID(C237,SEARCH("_",C237)+1,2),TEXT(A237,"000"))</f>
        <v>SME047</v>
      </c>
      <c r="K237" s="117"/>
    </row>
    <row r="238" spans="1:11" ht="15" customHeight="1">
      <c r="A238" s="42">
        <v>48</v>
      </c>
      <c r="B238" s="189" t="s">
        <v>269</v>
      </c>
      <c r="C238" s="206" t="s">
        <v>33</v>
      </c>
      <c r="D238" s="49" t="s">
        <v>182</v>
      </c>
      <c r="E238" s="63">
        <v>639</v>
      </c>
      <c r="F238" s="177" t="s">
        <v>182</v>
      </c>
      <c r="G238" s="40">
        <f>IF(BD!$E238="","",(E238/(H238*I238)))</f>
        <v>639</v>
      </c>
      <c r="H238" s="136">
        <v>1</v>
      </c>
      <c r="I238" s="8">
        <v>1</v>
      </c>
      <c r="J238" s="207" t="str">
        <f>CONCATENATE(LEFT(C238,1),MID(C238,SEARCH("_",C238)+1,2),TEXT(A238,"000"))</f>
        <v>SME048</v>
      </c>
      <c r="K238" s="117"/>
    </row>
    <row r="239" spans="1:11" ht="15" customHeight="1">
      <c r="A239" s="42">
        <v>49</v>
      </c>
      <c r="B239" s="189" t="s">
        <v>270</v>
      </c>
      <c r="C239" s="206" t="s">
        <v>33</v>
      </c>
      <c r="D239" s="49" t="s">
        <v>182</v>
      </c>
      <c r="E239" s="63">
        <v>639</v>
      </c>
      <c r="F239" s="177" t="s">
        <v>182</v>
      </c>
      <c r="G239" s="40">
        <f>IF(BD!$E239="","",(E239/(H239*I239)))</f>
        <v>639</v>
      </c>
      <c r="H239" s="136">
        <v>1</v>
      </c>
      <c r="I239" s="8">
        <v>1</v>
      </c>
      <c r="J239" s="207" t="str">
        <f>CONCATENATE(LEFT(C239,1),MID(C239,SEARCH("_",C239)+1,2),TEXT(A239,"000"))</f>
        <v>SME049</v>
      </c>
      <c r="K239" s="117"/>
    </row>
    <row r="240" spans="1:11" ht="15" customHeight="1">
      <c r="A240" s="42">
        <v>6</v>
      </c>
      <c r="B240" s="189" t="s">
        <v>271</v>
      </c>
      <c r="C240" s="206" t="s">
        <v>33</v>
      </c>
      <c r="D240" s="49" t="s">
        <v>182</v>
      </c>
      <c r="E240" s="63">
        <v>639</v>
      </c>
      <c r="F240" s="49" t="s">
        <v>182</v>
      </c>
      <c r="G240" s="40">
        <f>IF(BD!$E240="","",(E240/(H240*I240)))</f>
        <v>639</v>
      </c>
      <c r="H240" s="136">
        <v>1</v>
      </c>
      <c r="I240" s="8">
        <v>1</v>
      </c>
      <c r="J240" s="207" t="str">
        <f>CONCATENATE(LEFT(C240,1),MID(C240,SEARCH("_",C240)+1,2),TEXT(A240,"000"))</f>
        <v>SME006</v>
      </c>
      <c r="K240" s="117"/>
    </row>
    <row r="241" spans="1:11" ht="15" customHeight="1">
      <c r="A241" s="42">
        <v>7</v>
      </c>
      <c r="B241" s="189" t="s">
        <v>272</v>
      </c>
      <c r="C241" s="206" t="s">
        <v>33</v>
      </c>
      <c r="D241" s="49" t="s">
        <v>182</v>
      </c>
      <c r="E241" s="63">
        <v>639</v>
      </c>
      <c r="F241" s="49" t="s">
        <v>182</v>
      </c>
      <c r="G241" s="40">
        <f>IF(BD!$E241="","",(E241/(H241*I241)))</f>
        <v>639</v>
      </c>
      <c r="H241" s="136">
        <v>1</v>
      </c>
      <c r="I241" s="8">
        <v>1</v>
      </c>
      <c r="J241" s="207" t="str">
        <f>CONCATENATE(LEFT(C241,1),MID(C241,SEARCH("_",C241)+1,2),TEXT(A241,"000"))</f>
        <v>SME007</v>
      </c>
      <c r="K241" s="117"/>
    </row>
    <row r="242" spans="1:11" ht="15" customHeight="1">
      <c r="A242" s="42">
        <v>8</v>
      </c>
      <c r="B242" s="189" t="s">
        <v>273</v>
      </c>
      <c r="C242" s="206" t="s">
        <v>33</v>
      </c>
      <c r="D242" s="49" t="s">
        <v>182</v>
      </c>
      <c r="E242" s="63">
        <v>639</v>
      </c>
      <c r="F242" s="49" t="s">
        <v>182</v>
      </c>
      <c r="G242" s="40">
        <f>IF(BD!$E242="","",(E242/(H242*I242)))</f>
        <v>639</v>
      </c>
      <c r="H242" s="136">
        <v>1</v>
      </c>
      <c r="I242" s="8">
        <v>1</v>
      </c>
      <c r="J242" s="207" t="str">
        <f>CONCATENATE(LEFT(C242,1),MID(C242,SEARCH("_",C242)+1,2),TEXT(A242,"000"))</f>
        <v>SME008</v>
      </c>
      <c r="K242" s="117"/>
    </row>
    <row r="243" spans="1:11" ht="15" customHeight="1">
      <c r="A243" s="42">
        <v>9</v>
      </c>
      <c r="B243" s="189" t="s">
        <v>274</v>
      </c>
      <c r="C243" s="206" t="s">
        <v>33</v>
      </c>
      <c r="D243" s="49" t="s">
        <v>182</v>
      </c>
      <c r="E243" s="63">
        <v>639</v>
      </c>
      <c r="F243" s="49" t="s">
        <v>182</v>
      </c>
      <c r="G243" s="40">
        <f>IF(BD!$E243="","",(E243/(H243*I243)))</f>
        <v>639</v>
      </c>
      <c r="H243" s="136">
        <v>1</v>
      </c>
      <c r="I243" s="8">
        <v>1</v>
      </c>
      <c r="J243" s="207" t="str">
        <f>CONCATENATE(LEFT(C243,1),MID(C243,SEARCH("_",C243)+1,2),TEXT(A243,"000"))</f>
        <v>SME009</v>
      </c>
      <c r="K243" s="117"/>
    </row>
    <row r="244" spans="1:11" ht="15" customHeight="1">
      <c r="A244" s="42">
        <v>12</v>
      </c>
      <c r="B244" s="189" t="s">
        <v>275</v>
      </c>
      <c r="C244" s="206" t="s">
        <v>33</v>
      </c>
      <c r="D244" s="59" t="s">
        <v>182</v>
      </c>
      <c r="E244" s="63">
        <v>639</v>
      </c>
      <c r="F244" s="59" t="s">
        <v>182</v>
      </c>
      <c r="G244" s="40">
        <f>IF(BD!$E244="","",(E244/(H244*I244)))</f>
        <v>639</v>
      </c>
      <c r="H244" s="136">
        <v>1</v>
      </c>
      <c r="I244" s="8">
        <v>1</v>
      </c>
      <c r="J244" s="207" t="str">
        <f>CONCATENATE(LEFT(C244,1),MID(C244,SEARCH("_",C244)+1,2),TEXT(A244,"000"))</f>
        <v>SME012</v>
      </c>
      <c r="K244" s="117"/>
    </row>
    <row r="245" spans="1:11" ht="15" customHeight="1">
      <c r="A245" s="42">
        <v>13</v>
      </c>
      <c r="B245" s="189" t="s">
        <v>276</v>
      </c>
      <c r="C245" s="206" t="s">
        <v>33</v>
      </c>
      <c r="D245" s="59" t="s">
        <v>182</v>
      </c>
      <c r="E245" s="63">
        <v>639</v>
      </c>
      <c r="F245" s="59" t="s">
        <v>182</v>
      </c>
      <c r="G245" s="40">
        <f>IF(BD!$E245="","",(E245/(H245*I245)))</f>
        <v>639</v>
      </c>
      <c r="H245" s="136">
        <v>1</v>
      </c>
      <c r="I245" s="8">
        <v>1</v>
      </c>
      <c r="J245" s="207" t="str">
        <f>CONCATENATE(LEFT(C245,1),MID(C245,SEARCH("_",C245)+1,2),TEXT(A245,"000"))</f>
        <v>SME013</v>
      </c>
      <c r="K245" s="117"/>
    </row>
    <row r="246" spans="1:11" ht="15" customHeight="1">
      <c r="A246" s="42">
        <v>14</v>
      </c>
      <c r="B246" s="189" t="s">
        <v>277</v>
      </c>
      <c r="C246" s="206" t="s">
        <v>33</v>
      </c>
      <c r="D246" s="59" t="s">
        <v>182</v>
      </c>
      <c r="E246" s="63">
        <v>639</v>
      </c>
      <c r="F246" s="59" t="s">
        <v>182</v>
      </c>
      <c r="G246" s="40">
        <f>IF(BD!$E246="","",(E246/(H246*I246)))</f>
        <v>639</v>
      </c>
      <c r="H246" s="136">
        <v>1</v>
      </c>
      <c r="I246" s="8">
        <v>1</v>
      </c>
      <c r="J246" s="207" t="str">
        <f>CONCATENATE(LEFT(C246,1),MID(C246,SEARCH("_",C246)+1,2),TEXT(A246,"000"))</f>
        <v>SME014</v>
      </c>
      <c r="K246" s="117"/>
    </row>
    <row r="247" spans="1:11" ht="15" customHeight="1">
      <c r="A247" s="42">
        <v>15</v>
      </c>
      <c r="B247" s="189" t="s">
        <v>278</v>
      </c>
      <c r="C247" s="206" t="s">
        <v>33</v>
      </c>
      <c r="D247" s="59" t="s">
        <v>182</v>
      </c>
      <c r="E247" s="63">
        <v>639</v>
      </c>
      <c r="F247" s="59" t="s">
        <v>182</v>
      </c>
      <c r="G247" s="40">
        <f>IF(BD!$E247="","",(E247/(H247*I247)))</f>
        <v>639</v>
      </c>
      <c r="H247" s="136">
        <v>1</v>
      </c>
      <c r="I247" s="8">
        <v>1</v>
      </c>
      <c r="J247" s="207" t="str">
        <f>CONCATENATE(LEFT(C247,1),MID(C247,SEARCH("_",C247)+1,2),TEXT(A247,"000"))</f>
        <v>SME015</v>
      </c>
      <c r="K247" s="117"/>
    </row>
    <row r="248" spans="1:11" ht="15" customHeight="1">
      <c r="A248" s="42">
        <v>16</v>
      </c>
      <c r="B248" s="189" t="s">
        <v>279</v>
      </c>
      <c r="C248" s="206" t="s">
        <v>33</v>
      </c>
      <c r="D248" s="59" t="s">
        <v>182</v>
      </c>
      <c r="E248" s="63">
        <v>639</v>
      </c>
      <c r="F248" s="59" t="s">
        <v>182</v>
      </c>
      <c r="G248" s="40">
        <f>IF(BD!$E248="","",(E248/(H248*I248)))</f>
        <v>639</v>
      </c>
      <c r="H248" s="136">
        <v>1</v>
      </c>
      <c r="I248" s="8">
        <v>1</v>
      </c>
      <c r="J248" s="207" t="str">
        <f>CONCATENATE(LEFT(C248,1),MID(C248,SEARCH("_",C248)+1,2),TEXT(A248,"000"))</f>
        <v>SME016</v>
      </c>
      <c r="K248" s="117"/>
    </row>
    <row r="249" spans="1:11" ht="15" customHeight="1">
      <c r="A249" s="42">
        <v>50</v>
      </c>
      <c r="B249" s="189" t="s">
        <v>280</v>
      </c>
      <c r="C249" s="206" t="s">
        <v>33</v>
      </c>
      <c r="D249" s="59" t="s">
        <v>182</v>
      </c>
      <c r="E249" s="63">
        <v>639</v>
      </c>
      <c r="F249" s="180" t="s">
        <v>182</v>
      </c>
      <c r="G249" s="40">
        <f>IF(BD!$E249="","",(E249/(H249*I249)))</f>
        <v>639</v>
      </c>
      <c r="H249" s="136">
        <v>1</v>
      </c>
      <c r="I249" s="8">
        <v>1</v>
      </c>
      <c r="J249" s="207" t="str">
        <f>CONCATENATE(LEFT(C249,1),MID(C249,SEARCH("_",C249)+1,2),TEXT(A249,"000"))</f>
        <v>SME050</v>
      </c>
      <c r="K249" s="117"/>
    </row>
    <row r="250" spans="1:11" ht="15" customHeight="1">
      <c r="A250" s="42">
        <v>51</v>
      </c>
      <c r="B250" s="189" t="s">
        <v>281</v>
      </c>
      <c r="C250" s="206" t="s">
        <v>33</v>
      </c>
      <c r="D250" s="59" t="s">
        <v>182</v>
      </c>
      <c r="E250" s="63">
        <v>639</v>
      </c>
      <c r="F250" s="180" t="s">
        <v>182</v>
      </c>
      <c r="G250" s="40">
        <f>IF(BD!$E250="","",(E250/(H250*I250)))</f>
        <v>639</v>
      </c>
      <c r="H250" s="136">
        <v>1</v>
      </c>
      <c r="I250" s="8">
        <v>1</v>
      </c>
      <c r="J250" s="207" t="str">
        <f>CONCATENATE(LEFT(C250,1),MID(C250,SEARCH("_",C250)+1,2),TEXT(A250,"000"))</f>
        <v>SME051</v>
      </c>
      <c r="K250" s="117"/>
    </row>
    <row r="251" spans="1:11" ht="15" customHeight="1">
      <c r="A251" s="42">
        <v>52</v>
      </c>
      <c r="B251" s="189" t="s">
        <v>282</v>
      </c>
      <c r="C251" s="206" t="s">
        <v>33</v>
      </c>
      <c r="D251" s="49" t="s">
        <v>182</v>
      </c>
      <c r="E251" s="44">
        <v>639</v>
      </c>
      <c r="F251" s="177" t="s">
        <v>182</v>
      </c>
      <c r="G251" s="40">
        <f>IF(BD!$E251="","",(E251/(H251*I251)))</f>
        <v>639</v>
      </c>
      <c r="H251" s="136">
        <v>1</v>
      </c>
      <c r="I251" s="8">
        <v>1</v>
      </c>
      <c r="J251" s="207" t="str">
        <f>CONCATENATE(LEFT(C251,1),MID(C251,SEARCH("_",C251)+1,2),TEXT(A251,"000"))</f>
        <v>SME052</v>
      </c>
      <c r="K251" s="117"/>
    </row>
    <row r="252" spans="1:11" ht="15" customHeight="1">
      <c r="A252" s="42">
        <v>53</v>
      </c>
      <c r="B252" s="189" t="s">
        <v>283</v>
      </c>
      <c r="C252" s="206" t="s">
        <v>33</v>
      </c>
      <c r="D252" s="49" t="s">
        <v>182</v>
      </c>
      <c r="E252" s="44">
        <v>639</v>
      </c>
      <c r="F252" s="177" t="s">
        <v>182</v>
      </c>
      <c r="G252" s="40">
        <f>IF(BD!$E252="","",(E252/(H252*I252)))</f>
        <v>639</v>
      </c>
      <c r="H252" s="8">
        <v>1</v>
      </c>
      <c r="I252" s="8">
        <v>1</v>
      </c>
      <c r="J252" s="207" t="str">
        <f>CONCATENATE(LEFT(C252,1),MID(C252,SEARCH("_",C252)+1,2),TEXT(A252,"000"))</f>
        <v>SME053</v>
      </c>
      <c r="K252" s="117"/>
    </row>
    <row r="253" spans="1:11" ht="15" customHeight="1">
      <c r="A253" s="42">
        <v>54</v>
      </c>
      <c r="B253" s="189" t="s">
        <v>284</v>
      </c>
      <c r="C253" s="206" t="s">
        <v>33</v>
      </c>
      <c r="D253" s="49" t="s">
        <v>182</v>
      </c>
      <c r="E253" s="44">
        <v>639</v>
      </c>
      <c r="F253" s="177" t="s">
        <v>182</v>
      </c>
      <c r="G253" s="40">
        <f>IF(BD!$E253="","",(E253/(H253*I253)))</f>
        <v>639</v>
      </c>
      <c r="H253" s="8">
        <v>1</v>
      </c>
      <c r="I253" s="8">
        <v>1</v>
      </c>
      <c r="J253" s="207" t="str">
        <f>CONCATENATE(LEFT(C253,1),MID(C253,SEARCH("_",C253)+1,2),TEXT(A253,"000"))</f>
        <v>SME054</v>
      </c>
      <c r="K253" s="117"/>
    </row>
    <row r="254" spans="1:11" ht="15" customHeight="1">
      <c r="A254" s="42">
        <v>55</v>
      </c>
      <c r="B254" s="189" t="s">
        <v>285</v>
      </c>
      <c r="C254" s="206" t="s">
        <v>33</v>
      </c>
      <c r="D254" s="144" t="s">
        <v>182</v>
      </c>
      <c r="E254" s="145">
        <v>639</v>
      </c>
      <c r="F254" s="177" t="s">
        <v>182</v>
      </c>
      <c r="G254" s="40">
        <f>IF(BD!$E254="","",(E254/(H254*I254)))</f>
        <v>639</v>
      </c>
      <c r="H254" s="8">
        <v>1</v>
      </c>
      <c r="I254" s="8">
        <v>1</v>
      </c>
      <c r="J254" s="207" t="str">
        <f>CONCATENATE(LEFT(C254,1),MID(C254,SEARCH("_",C254)+1,2),TEXT(A254,"000"))</f>
        <v>SME055</v>
      </c>
      <c r="K254" s="117"/>
    </row>
    <row r="255" spans="1:11" ht="15" customHeight="1">
      <c r="A255" s="42">
        <v>56</v>
      </c>
      <c r="B255" s="189" t="s">
        <v>286</v>
      </c>
      <c r="C255" s="206" t="s">
        <v>33</v>
      </c>
      <c r="D255" s="49" t="s">
        <v>182</v>
      </c>
      <c r="E255" s="44">
        <v>639</v>
      </c>
      <c r="F255" s="177" t="s">
        <v>182</v>
      </c>
      <c r="G255" s="40">
        <f>IF(BD!$E255="","",(E255/(H255*I255)))</f>
        <v>639</v>
      </c>
      <c r="H255" s="8">
        <v>1</v>
      </c>
      <c r="I255" s="8">
        <v>1</v>
      </c>
      <c r="J255" s="207" t="str">
        <f>CONCATENATE(LEFT(C255,1),MID(C255,SEARCH("_",C255)+1,2),TEXT(A255,"000"))</f>
        <v>SME056</v>
      </c>
      <c r="K255" s="117"/>
    </row>
    <row r="256" spans="1:11" ht="15" customHeight="1">
      <c r="A256" s="42">
        <v>57</v>
      </c>
      <c r="B256" s="189" t="s">
        <v>287</v>
      </c>
      <c r="C256" s="206" t="s">
        <v>33</v>
      </c>
      <c r="D256" s="144" t="s">
        <v>182</v>
      </c>
      <c r="E256" s="145">
        <v>475.34</v>
      </c>
      <c r="F256" s="177" t="s">
        <v>182</v>
      </c>
      <c r="G256" s="40">
        <f>IF(BD!$E256="","",(E256/(H256*I256)))</f>
        <v>475.34</v>
      </c>
      <c r="H256" s="8">
        <v>1</v>
      </c>
      <c r="I256" s="8">
        <v>1</v>
      </c>
      <c r="J256" s="207" t="str">
        <f>CONCATENATE(LEFT(C256,1),MID(C256,SEARCH("_",C256)+1,2),TEXT(A256,"000"))</f>
        <v>SME057</v>
      </c>
      <c r="K256" s="117"/>
    </row>
    <row r="257" spans="1:11" ht="15" customHeight="1">
      <c r="A257" s="42">
        <v>17</v>
      </c>
      <c r="B257" s="189" t="s">
        <v>288</v>
      </c>
      <c r="C257" s="206" t="s">
        <v>33</v>
      </c>
      <c r="D257" s="144" t="s">
        <v>182</v>
      </c>
      <c r="E257" s="145">
        <v>475</v>
      </c>
      <c r="F257" s="49" t="s">
        <v>182</v>
      </c>
      <c r="G257" s="40">
        <f>IF(BD!$E257="","",(E257/(H257*I257)))</f>
        <v>475</v>
      </c>
      <c r="H257" s="8">
        <v>1</v>
      </c>
      <c r="I257" s="8">
        <v>1</v>
      </c>
      <c r="J257" s="207" t="str">
        <f>CONCATENATE(LEFT(C257,1),MID(C257,SEARCH("_",C257)+1,2),TEXT(A257,"000"))</f>
        <v>SME017</v>
      </c>
      <c r="K257" s="117"/>
    </row>
    <row r="258" spans="1:11" ht="15" customHeight="1">
      <c r="A258" s="42">
        <v>18</v>
      </c>
      <c r="B258" s="189" t="s">
        <v>289</v>
      </c>
      <c r="C258" s="206" t="s">
        <v>33</v>
      </c>
      <c r="D258" s="144" t="s">
        <v>182</v>
      </c>
      <c r="E258" s="145">
        <v>475</v>
      </c>
      <c r="F258" s="49" t="s">
        <v>182</v>
      </c>
      <c r="G258" s="40">
        <f>IF(BD!$E258="","",(E258/(H258*I258)))</f>
        <v>475</v>
      </c>
      <c r="H258" s="8">
        <v>1</v>
      </c>
      <c r="I258" s="8">
        <v>1</v>
      </c>
      <c r="J258" s="207" t="str">
        <f>CONCATENATE(LEFT(C258,1),MID(C258,SEARCH("_",C258)+1,2),TEXT(A258,"000"))</f>
        <v>SME018</v>
      </c>
      <c r="K258" s="117"/>
    </row>
    <row r="259" spans="1:11" ht="15" customHeight="1">
      <c r="A259" s="42">
        <v>19</v>
      </c>
      <c r="B259" s="189" t="s">
        <v>290</v>
      </c>
      <c r="C259" s="206" t="s">
        <v>33</v>
      </c>
      <c r="D259" s="144" t="s">
        <v>182</v>
      </c>
      <c r="E259" s="145">
        <v>475</v>
      </c>
      <c r="F259" s="49" t="s">
        <v>182</v>
      </c>
      <c r="G259" s="40">
        <f>IF(BD!$E259="","",(E259/(H259*I259)))</f>
        <v>475</v>
      </c>
      <c r="H259" s="8">
        <v>1</v>
      </c>
      <c r="I259" s="8">
        <v>1</v>
      </c>
      <c r="J259" s="207" t="str">
        <f>CONCATENATE(LEFT(C259,1),MID(C259,SEARCH("_",C259)+1,2),TEXT(A259,"000"))</f>
        <v>SME019</v>
      </c>
      <c r="K259" s="117"/>
    </row>
    <row r="260" spans="1:11" ht="15" customHeight="1">
      <c r="A260" s="42">
        <v>20</v>
      </c>
      <c r="B260" s="189" t="s">
        <v>291</v>
      </c>
      <c r="C260" s="206" t="s">
        <v>33</v>
      </c>
      <c r="D260" s="144" t="s">
        <v>182</v>
      </c>
      <c r="E260" s="145">
        <v>475</v>
      </c>
      <c r="F260" s="49" t="s">
        <v>182</v>
      </c>
      <c r="G260" s="40">
        <f>IF(BD!$E260="","",(E260/(H260*I260)))</f>
        <v>475</v>
      </c>
      <c r="H260" s="8">
        <v>1</v>
      </c>
      <c r="I260" s="8">
        <v>1</v>
      </c>
      <c r="J260" s="207" t="str">
        <f>CONCATENATE(LEFT(C260,1),MID(C260,SEARCH("_",C260)+1,2),TEXT(A260,"000"))</f>
        <v>SME020</v>
      </c>
      <c r="K260" s="117"/>
    </row>
    <row r="261" spans="1:11" ht="15" customHeight="1">
      <c r="A261" s="42">
        <v>21</v>
      </c>
      <c r="B261" s="189" t="s">
        <v>292</v>
      </c>
      <c r="C261" s="206" t="s">
        <v>33</v>
      </c>
      <c r="D261" s="144" t="s">
        <v>182</v>
      </c>
      <c r="E261" s="145">
        <v>475</v>
      </c>
      <c r="F261" s="49" t="s">
        <v>182</v>
      </c>
      <c r="G261" s="40">
        <f>IF(BD!$E261="","",(E261/(H261*I261)))</f>
        <v>475</v>
      </c>
      <c r="H261" s="8">
        <v>1</v>
      </c>
      <c r="I261" s="8">
        <v>1</v>
      </c>
      <c r="J261" s="207" t="str">
        <f>CONCATENATE(LEFT(C261,1),MID(C261,SEARCH("_",C261)+1,2),TEXT(A261,"000"))</f>
        <v>SME021</v>
      </c>
      <c r="K261" s="117"/>
    </row>
    <row r="262" spans="1:11" ht="15" customHeight="1">
      <c r="A262" s="42">
        <v>22</v>
      </c>
      <c r="B262" s="189" t="s">
        <v>293</v>
      </c>
      <c r="C262" s="206" t="s">
        <v>33</v>
      </c>
      <c r="D262" s="144" t="s">
        <v>182</v>
      </c>
      <c r="E262" s="145">
        <v>475</v>
      </c>
      <c r="F262" s="49" t="s">
        <v>182</v>
      </c>
      <c r="G262" s="40">
        <f>IF(BD!$E262="","",(E262/(H262*I262)))</f>
        <v>475</v>
      </c>
      <c r="H262" s="8">
        <v>1</v>
      </c>
      <c r="I262" s="8">
        <v>1</v>
      </c>
      <c r="J262" s="207" t="str">
        <f>CONCATENATE(LEFT(C262,1),MID(C262,SEARCH("_",C262)+1,2),TEXT(A262,"000"))</f>
        <v>SME022</v>
      </c>
      <c r="K262" s="117"/>
    </row>
    <row r="263" spans="1:11" ht="15" customHeight="1">
      <c r="A263" s="42">
        <v>23</v>
      </c>
      <c r="B263" s="189" t="s">
        <v>294</v>
      </c>
      <c r="C263" s="206" t="s">
        <v>33</v>
      </c>
      <c r="D263" s="49" t="s">
        <v>182</v>
      </c>
      <c r="E263" s="44">
        <v>475</v>
      </c>
      <c r="F263" s="49" t="s">
        <v>182</v>
      </c>
      <c r="G263" s="40">
        <f>IF(BD!$E263="","",(E263/(H263*I263)))</f>
        <v>475</v>
      </c>
      <c r="H263" s="8">
        <v>1</v>
      </c>
      <c r="I263" s="8">
        <v>1</v>
      </c>
      <c r="J263" s="207" t="str">
        <f>CONCATENATE(LEFT(C263,1),MID(C263,SEARCH("_",C263)+1,2),TEXT(A263,"000"))</f>
        <v>SME023</v>
      </c>
      <c r="K263" s="117"/>
    </row>
    <row r="264" spans="1:11" ht="15" customHeight="1">
      <c r="A264" s="42">
        <v>24</v>
      </c>
      <c r="B264" s="189" t="s">
        <v>295</v>
      </c>
      <c r="C264" s="206" t="s">
        <v>33</v>
      </c>
      <c r="D264" s="144" t="s">
        <v>182</v>
      </c>
      <c r="E264" s="145">
        <v>475</v>
      </c>
      <c r="F264" s="49" t="s">
        <v>182</v>
      </c>
      <c r="G264" s="40">
        <f>IF(BD!$E264="","",(E264/(H264*I264)))</f>
        <v>475</v>
      </c>
      <c r="H264" s="162">
        <v>1</v>
      </c>
      <c r="I264" s="8">
        <v>1</v>
      </c>
      <c r="J264" s="207" t="str">
        <f>CONCATENATE(LEFT(C264,1),MID(C264,SEARCH("_",C264)+1,2),TEXT(A264,"000"))</f>
        <v>SME024</v>
      </c>
      <c r="K264" s="117"/>
    </row>
    <row r="265" spans="1:11" ht="15" customHeight="1">
      <c r="A265" s="42">
        <v>25</v>
      </c>
      <c r="B265" s="189" t="s">
        <v>296</v>
      </c>
      <c r="C265" s="206" t="s">
        <v>33</v>
      </c>
      <c r="D265" s="144" t="s">
        <v>182</v>
      </c>
      <c r="E265" s="145">
        <v>475</v>
      </c>
      <c r="F265" s="49" t="s">
        <v>182</v>
      </c>
      <c r="G265" s="40">
        <f>IF(BD!$E265="","",(E265/(H265*I265)))</f>
        <v>475</v>
      </c>
      <c r="H265" s="162">
        <v>1</v>
      </c>
      <c r="I265" s="8">
        <v>1</v>
      </c>
      <c r="J265" s="207" t="str">
        <f>CONCATENATE(LEFT(C265,1),MID(C265,SEARCH("_",C265)+1,2),TEXT(A265,"000"))</f>
        <v>SME025</v>
      </c>
      <c r="K265" s="117"/>
    </row>
    <row r="266" spans="1:11" ht="15" customHeight="1">
      <c r="A266" s="42">
        <v>26</v>
      </c>
      <c r="B266" s="189" t="s">
        <v>297</v>
      </c>
      <c r="C266" s="206" t="s">
        <v>33</v>
      </c>
      <c r="D266" s="144" t="s">
        <v>182</v>
      </c>
      <c r="E266" s="145">
        <v>475</v>
      </c>
      <c r="F266" s="49" t="s">
        <v>182</v>
      </c>
      <c r="G266" s="40">
        <f>IF(BD!$E266="","",(E266/(H266*I266)))</f>
        <v>475</v>
      </c>
      <c r="H266" s="162">
        <v>1</v>
      </c>
      <c r="I266" s="8">
        <v>1</v>
      </c>
      <c r="J266" s="207" t="str">
        <f>CONCATENATE(LEFT(C266,1),MID(C266,SEARCH("_",C266)+1,2),TEXT(A266,"000"))</f>
        <v>SME026</v>
      </c>
      <c r="K266" s="117"/>
    </row>
    <row r="267" spans="1:11" ht="15" customHeight="1">
      <c r="A267" s="42">
        <v>27</v>
      </c>
      <c r="B267" s="189" t="s">
        <v>298</v>
      </c>
      <c r="C267" s="206" t="s">
        <v>33</v>
      </c>
      <c r="D267" s="144" t="s">
        <v>182</v>
      </c>
      <c r="E267" s="145">
        <v>475</v>
      </c>
      <c r="F267" s="49" t="s">
        <v>182</v>
      </c>
      <c r="G267" s="40">
        <f>IF(BD!$E267="","",(E267/(H267*I267)))</f>
        <v>475</v>
      </c>
      <c r="H267" s="162">
        <v>1</v>
      </c>
      <c r="I267" s="8">
        <v>1</v>
      </c>
      <c r="J267" s="207" t="str">
        <f>CONCATENATE(LEFT(C267,1),MID(C267,SEARCH("_",C267)+1,2),TEXT(A267,"000"))</f>
        <v>SME027</v>
      </c>
      <c r="K267" s="117"/>
    </row>
    <row r="268" spans="1:11" ht="15" customHeight="1">
      <c r="A268" s="42">
        <v>28</v>
      </c>
      <c r="B268" s="189" t="s">
        <v>299</v>
      </c>
      <c r="C268" s="206" t="s">
        <v>33</v>
      </c>
      <c r="D268" s="144" t="s">
        <v>182</v>
      </c>
      <c r="E268" s="145">
        <v>475</v>
      </c>
      <c r="F268" s="49" t="s">
        <v>182</v>
      </c>
      <c r="G268" s="40">
        <f>IF(BD!$E268="","",(E268/(H268*I268)))</f>
        <v>475</v>
      </c>
      <c r="H268" s="162">
        <v>1</v>
      </c>
      <c r="I268" s="8">
        <v>1</v>
      </c>
      <c r="J268" s="207" t="str">
        <f>CONCATENATE(LEFT(C268,1),MID(C268,SEARCH("_",C268)+1,2),TEXT(A268,"000"))</f>
        <v>SME028</v>
      </c>
      <c r="K268" s="117"/>
    </row>
    <row r="269" spans="1:11" ht="15" customHeight="1">
      <c r="A269" s="42">
        <v>29</v>
      </c>
      <c r="B269" s="189" t="s">
        <v>300</v>
      </c>
      <c r="C269" s="206" t="s">
        <v>33</v>
      </c>
      <c r="D269" s="49" t="s">
        <v>182</v>
      </c>
      <c r="E269" s="44">
        <v>475</v>
      </c>
      <c r="F269" s="49" t="s">
        <v>182</v>
      </c>
      <c r="G269" s="40">
        <f>IF(BD!$E269="","",(E269/(H269*I269)))</f>
        <v>475</v>
      </c>
      <c r="H269" s="162">
        <v>1</v>
      </c>
      <c r="I269" s="8">
        <v>1</v>
      </c>
      <c r="J269" s="207" t="str">
        <f>CONCATENATE(LEFT(C269,1),MID(C269,SEARCH("_",C269)+1,2),TEXT(A269,"000"))</f>
        <v>SME029</v>
      </c>
      <c r="K269" s="117"/>
    </row>
    <row r="270" spans="1:11" ht="15" customHeight="1">
      <c r="A270" s="42">
        <v>31</v>
      </c>
      <c r="B270" s="189" t="s">
        <v>301</v>
      </c>
      <c r="C270" s="206" t="s">
        <v>33</v>
      </c>
      <c r="D270" s="49" t="s">
        <v>182</v>
      </c>
      <c r="E270" s="157">
        <v>475</v>
      </c>
      <c r="F270" s="181" t="s">
        <v>182</v>
      </c>
      <c r="G270" s="40">
        <f>IF(BD!$E270="","",(E270/(H270*I270)))</f>
        <v>475</v>
      </c>
      <c r="H270" s="163">
        <v>1</v>
      </c>
      <c r="I270" s="8">
        <v>1</v>
      </c>
      <c r="J270" s="207" t="str">
        <f>CONCATENATE(LEFT(C270,1),MID(C270,SEARCH("_",C270)+1,2),TEXT(A270,"000"))</f>
        <v>SME031</v>
      </c>
      <c r="K270" s="117"/>
    </row>
    <row r="271" spans="1:11" ht="15" customHeight="1">
      <c r="A271" s="42">
        <v>32</v>
      </c>
      <c r="B271" s="189" t="s">
        <v>302</v>
      </c>
      <c r="C271" s="206" t="s">
        <v>33</v>
      </c>
      <c r="D271" s="49" t="s">
        <v>182</v>
      </c>
      <c r="E271" s="157">
        <v>475</v>
      </c>
      <c r="F271" s="181" t="s">
        <v>182</v>
      </c>
      <c r="G271" s="40">
        <f>IF(BD!$E271="","",(E271/(H271*I271)))</f>
        <v>475</v>
      </c>
      <c r="H271" s="163">
        <v>1</v>
      </c>
      <c r="I271" s="8">
        <v>1</v>
      </c>
      <c r="J271" s="207" t="str">
        <f>CONCATENATE(LEFT(C271,1),MID(C271,SEARCH("_",C271)+1,2),TEXT(A271,"000"))</f>
        <v>SME032</v>
      </c>
      <c r="K271" s="117"/>
    </row>
    <row r="272" spans="1:11" ht="15" customHeight="1">
      <c r="A272" s="42">
        <v>33</v>
      </c>
      <c r="B272" s="189" t="s">
        <v>303</v>
      </c>
      <c r="C272" s="206" t="s">
        <v>33</v>
      </c>
      <c r="D272" s="49" t="s">
        <v>182</v>
      </c>
      <c r="E272" s="157">
        <v>475</v>
      </c>
      <c r="F272" s="181" t="s">
        <v>182</v>
      </c>
      <c r="G272" s="40">
        <f>IF(BD!$E272="","",(E272/(H272*I272)))</f>
        <v>475</v>
      </c>
      <c r="H272" s="163">
        <v>1</v>
      </c>
      <c r="I272" s="8">
        <v>1</v>
      </c>
      <c r="J272" s="207" t="str">
        <f>CONCATENATE(LEFT(C272,1),MID(C272,SEARCH("_",C272)+1,2),TEXT(A272,"000"))</f>
        <v>SME033</v>
      </c>
      <c r="K272" s="117"/>
    </row>
    <row r="273" spans="1:11" ht="15" customHeight="1">
      <c r="A273" s="42">
        <v>34</v>
      </c>
      <c r="B273" s="139" t="s">
        <v>304</v>
      </c>
      <c r="C273" s="206" t="s">
        <v>33</v>
      </c>
      <c r="D273" s="49" t="s">
        <v>182</v>
      </c>
      <c r="E273" s="44">
        <v>475</v>
      </c>
      <c r="F273" s="182" t="s">
        <v>182</v>
      </c>
      <c r="G273" s="40">
        <f>IF(BD!$E273="","",(E273/(H273*I273)))</f>
        <v>475</v>
      </c>
      <c r="H273" s="162">
        <v>1</v>
      </c>
      <c r="I273" s="8">
        <v>1</v>
      </c>
      <c r="J273" s="207" t="str">
        <f>CONCATENATE(LEFT(C273,1),MID(C273,SEARCH("_",C273)+1,2),TEXT(A273,"000"))</f>
        <v>SME034</v>
      </c>
      <c r="K273" s="117"/>
    </row>
    <row r="274" spans="1:11" ht="15" customHeight="1">
      <c r="A274" s="42">
        <v>35</v>
      </c>
      <c r="B274" s="147" t="s">
        <v>305</v>
      </c>
      <c r="C274" s="206" t="s">
        <v>33</v>
      </c>
      <c r="D274" s="50" t="s">
        <v>182</v>
      </c>
      <c r="E274" s="157">
        <v>475</v>
      </c>
      <c r="F274" s="281" t="s">
        <v>182</v>
      </c>
      <c r="G274" s="40">
        <f>IF(BD!$E274="","",(E274/(H274*I274)))</f>
        <v>475</v>
      </c>
      <c r="H274" s="163">
        <v>1</v>
      </c>
      <c r="I274" s="163">
        <v>1</v>
      </c>
      <c r="J274" s="207" t="str">
        <f>CONCATENATE(LEFT(C274,1),MID(C274,SEARCH("_",C274)+1,2),TEXT(A274,"000"))</f>
        <v>SME035</v>
      </c>
      <c r="K274" s="117"/>
    </row>
    <row r="275" spans="1:11" ht="15" customHeight="1">
      <c r="A275" s="42">
        <v>36</v>
      </c>
      <c r="B275" s="147" t="s">
        <v>306</v>
      </c>
      <c r="C275" s="206" t="s">
        <v>33</v>
      </c>
      <c r="D275" s="50" t="s">
        <v>182</v>
      </c>
      <c r="E275" s="157">
        <v>475</v>
      </c>
      <c r="F275" s="281" t="s">
        <v>182</v>
      </c>
      <c r="G275" s="40">
        <f>IF(BD!$E275="","",(E275/(H275*I275)))</f>
        <v>475</v>
      </c>
      <c r="H275" s="163">
        <v>1</v>
      </c>
      <c r="I275" s="163">
        <v>1</v>
      </c>
      <c r="J275" s="207" t="str">
        <f>CONCATENATE(LEFT(C275,1),MID(C275,SEARCH("_",C275)+1,2),TEXT(A275,"000"))</f>
        <v>SME036</v>
      </c>
      <c r="K275" s="117"/>
    </row>
    <row r="276" spans="1:11" ht="15" customHeight="1">
      <c r="A276" s="42">
        <v>37</v>
      </c>
      <c r="B276" s="147" t="s">
        <v>307</v>
      </c>
      <c r="C276" s="206" t="s">
        <v>33</v>
      </c>
      <c r="D276" s="50" t="s">
        <v>182</v>
      </c>
      <c r="E276" s="157">
        <v>475</v>
      </c>
      <c r="F276" s="281" t="s">
        <v>182</v>
      </c>
      <c r="G276" s="40">
        <f>IF(BD!$E276="","",(E276/(H276*I276)))</f>
        <v>475</v>
      </c>
      <c r="H276" s="163">
        <v>1</v>
      </c>
      <c r="I276" s="163">
        <v>1</v>
      </c>
      <c r="J276" s="207" t="str">
        <f>CONCATENATE(LEFT(C276,1),MID(C276,SEARCH("_",C276)+1,2),TEXT(A276,"000"))</f>
        <v>SME037</v>
      </c>
      <c r="K276" s="117"/>
    </row>
    <row r="277" spans="1:11" ht="15" customHeight="1">
      <c r="A277" s="42">
        <v>38</v>
      </c>
      <c r="B277" s="147" t="s">
        <v>308</v>
      </c>
      <c r="C277" s="206" t="s">
        <v>33</v>
      </c>
      <c r="D277" s="50" t="s">
        <v>182</v>
      </c>
      <c r="E277" s="157">
        <v>475</v>
      </c>
      <c r="F277" s="281" t="s">
        <v>182</v>
      </c>
      <c r="G277" s="40">
        <f>IF(BD!$E277="","",(E277/(H277*I277)))</f>
        <v>475</v>
      </c>
      <c r="H277" s="163">
        <v>1</v>
      </c>
      <c r="I277" s="163">
        <v>1</v>
      </c>
      <c r="J277" s="207" t="str">
        <f>CONCATENATE(LEFT(C277,1),MID(C277,SEARCH("_",C277)+1,2),TEXT(A277,"000"))</f>
        <v>SME038</v>
      </c>
      <c r="K277" s="117"/>
    </row>
    <row r="278" spans="1:11" ht="15" customHeight="1">
      <c r="A278" s="42">
        <v>39</v>
      </c>
      <c r="B278" s="147" t="s">
        <v>309</v>
      </c>
      <c r="C278" s="206" t="s">
        <v>33</v>
      </c>
      <c r="D278" s="50" t="s">
        <v>182</v>
      </c>
      <c r="E278" s="157">
        <v>475</v>
      </c>
      <c r="F278" s="281" t="s">
        <v>182</v>
      </c>
      <c r="G278" s="40">
        <f>IF(BD!$E278="","",(E278/(H278*I278)))</f>
        <v>475</v>
      </c>
      <c r="H278" s="163">
        <v>1</v>
      </c>
      <c r="I278" s="163">
        <v>1</v>
      </c>
      <c r="J278" s="207" t="str">
        <f>CONCATENATE(LEFT(C278,1),MID(C278,SEARCH("_",C278)+1,2),TEXT(A278,"000"))</f>
        <v>SME039</v>
      </c>
      <c r="K278" s="117"/>
    </row>
    <row r="279" spans="1:11" ht="15" customHeight="1">
      <c r="A279" s="42">
        <v>40</v>
      </c>
      <c r="B279" s="147" t="s">
        <v>310</v>
      </c>
      <c r="C279" s="206" t="s">
        <v>33</v>
      </c>
      <c r="D279" s="50" t="s">
        <v>182</v>
      </c>
      <c r="E279" s="157">
        <v>475</v>
      </c>
      <c r="F279" s="281" t="s">
        <v>182</v>
      </c>
      <c r="G279" s="40">
        <f>IF(BD!$E279="","",(E279/(H279*I279)))</f>
        <v>475</v>
      </c>
      <c r="H279" s="163">
        <v>1</v>
      </c>
      <c r="I279" s="163">
        <v>1</v>
      </c>
      <c r="J279" s="207" t="str">
        <f>CONCATENATE(LEFT(C279,1),MID(C279,SEARCH("_",C279)+1,2),TEXT(A279,"000"))</f>
        <v>SME040</v>
      </c>
      <c r="K279" s="117"/>
    </row>
    <row r="280" spans="1:11" ht="15" customHeight="1">
      <c r="A280" s="42">
        <v>41</v>
      </c>
      <c r="B280" s="147" t="s">
        <v>311</v>
      </c>
      <c r="C280" s="206" t="s">
        <v>33</v>
      </c>
      <c r="D280" s="49" t="s">
        <v>182</v>
      </c>
      <c r="E280" s="157">
        <v>475</v>
      </c>
      <c r="F280" s="181" t="s">
        <v>182</v>
      </c>
      <c r="G280" s="40">
        <f>IF(BD!$E280="","",(E280/(H280*I280)))</f>
        <v>475</v>
      </c>
      <c r="H280" s="163">
        <v>1</v>
      </c>
      <c r="I280" s="163">
        <v>1</v>
      </c>
      <c r="J280" s="207" t="str">
        <f>CONCATENATE(LEFT(C280,1),MID(C280,SEARCH("_",C280)+1,2),TEXT(A280,"000"))</f>
        <v>SME041</v>
      </c>
      <c r="K280" s="117"/>
    </row>
    <row r="281" spans="1:11" ht="15" customHeight="1">
      <c r="A281" s="42">
        <v>58</v>
      </c>
      <c r="B281" s="147" t="s">
        <v>312</v>
      </c>
      <c r="C281" s="206" t="s">
        <v>33</v>
      </c>
      <c r="D281" s="49" t="s">
        <v>182</v>
      </c>
      <c r="E281" s="157">
        <v>475.34</v>
      </c>
      <c r="F281" s="181" t="s">
        <v>182</v>
      </c>
      <c r="G281" s="40">
        <f>IF(BD!$E281="","",(E281/(H281*I281)))</f>
        <v>475.34</v>
      </c>
      <c r="H281" s="163">
        <v>1</v>
      </c>
      <c r="I281" s="163">
        <v>1</v>
      </c>
      <c r="J281" s="207" t="str">
        <f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313</v>
      </c>
      <c r="C282" s="206" t="s">
        <v>33</v>
      </c>
      <c r="D282" s="49" t="s">
        <v>182</v>
      </c>
      <c r="E282" s="157">
        <v>475.34</v>
      </c>
      <c r="F282" s="181" t="s">
        <v>182</v>
      </c>
      <c r="G282" s="40">
        <f>IF(BD!$E282="","",(E282/(H282*I282)))</f>
        <v>475.34</v>
      </c>
      <c r="H282" s="163">
        <v>1</v>
      </c>
      <c r="I282" s="163">
        <v>1</v>
      </c>
      <c r="J282" s="207" t="str">
        <f>CONCATENATE(LEFT(C282,1),MID(C282,SEARCH("_",C282)+1,2),TEXT(A282,"000"))</f>
        <v>SME059</v>
      </c>
      <c r="K282" s="117"/>
    </row>
    <row r="283" spans="1:11" ht="15" customHeight="1">
      <c r="A283" s="42">
        <v>60</v>
      </c>
      <c r="B283" t="s">
        <v>314</v>
      </c>
      <c r="C283" s="206" t="s">
        <v>33</v>
      </c>
      <c r="D283" s="49" t="s">
        <v>182</v>
      </c>
      <c r="E283" s="157">
        <v>475.34</v>
      </c>
      <c r="F283" s="181" t="s">
        <v>182</v>
      </c>
      <c r="G283" s="40">
        <f>IF(BD!$E283="","",(E283/(H283*I283)))</f>
        <v>475.34</v>
      </c>
      <c r="H283" s="163">
        <v>1</v>
      </c>
      <c r="I283" s="163">
        <v>1</v>
      </c>
      <c r="J283" s="207" t="str">
        <f>CONCATENATE(LEFT(C283,1),MID(C283,SEARCH("_",C283)+1,2),TEXT(A283,"000"))</f>
        <v>SME060</v>
      </c>
      <c r="K283" s="117"/>
    </row>
    <row r="284" spans="1:11" ht="15" customHeight="1">
      <c r="A284" s="42">
        <v>61</v>
      </c>
      <c r="B284" t="s">
        <v>315</v>
      </c>
      <c r="C284" s="206" t="s">
        <v>33</v>
      </c>
      <c r="D284" s="49" t="s">
        <v>182</v>
      </c>
      <c r="E284" s="157">
        <v>475.34</v>
      </c>
      <c r="F284" s="181" t="s">
        <v>182</v>
      </c>
      <c r="G284" s="40">
        <f>IF(BD!$E284="","",(E284/(H284*I284)))</f>
        <v>475.34</v>
      </c>
      <c r="H284" s="163">
        <v>1</v>
      </c>
      <c r="I284" s="163">
        <v>1</v>
      </c>
      <c r="J284" s="207" t="str">
        <f>CONCATENATE(LEFT(C284,1),MID(C284,SEARCH("_",C284)+1,2),TEXT(A284,"000"))</f>
        <v>SME061</v>
      </c>
      <c r="K284" s="117"/>
    </row>
    <row r="285" spans="1:11" ht="15" customHeight="1">
      <c r="A285" s="42">
        <v>62</v>
      </c>
      <c r="B285" t="s">
        <v>316</v>
      </c>
      <c r="C285" s="206" t="s">
        <v>33</v>
      </c>
      <c r="D285" s="49" t="s">
        <v>182</v>
      </c>
      <c r="E285" s="157">
        <v>475.34</v>
      </c>
      <c r="F285" s="181" t="s">
        <v>182</v>
      </c>
      <c r="G285" s="40">
        <f>IF(BD!$E285="","",(E285/(H285*I285)))</f>
        <v>475.34</v>
      </c>
      <c r="H285" s="163">
        <v>1</v>
      </c>
      <c r="I285" s="163">
        <v>1</v>
      </c>
      <c r="J285" s="207" t="str">
        <f>CONCATENATE(LEFT(C285,1),MID(C285,SEARCH("_",C285)+1,2),TEXT(A285,"000"))</f>
        <v>SME062</v>
      </c>
      <c r="K285" s="117"/>
    </row>
    <row r="286" spans="1:11" ht="15" customHeight="1">
      <c r="A286" s="42">
        <v>63</v>
      </c>
      <c r="B286" t="s">
        <v>317</v>
      </c>
      <c r="C286" s="206" t="s">
        <v>33</v>
      </c>
      <c r="D286" s="49" t="s">
        <v>182</v>
      </c>
      <c r="E286" s="157">
        <v>475.34</v>
      </c>
      <c r="F286" s="181" t="s">
        <v>182</v>
      </c>
      <c r="G286" s="40">
        <f>IF(BD!$E286="","",(E286/(H286*I286)))</f>
        <v>475.34</v>
      </c>
      <c r="H286" s="163">
        <v>1</v>
      </c>
      <c r="I286" s="163">
        <v>1</v>
      </c>
      <c r="J286" s="207" t="str">
        <f>CONCATENATE(LEFT(C286,1),MID(C286,SEARCH("_",C286)+1,2),TEXT(A286,"000"))</f>
        <v>SME063</v>
      </c>
      <c r="K286" s="117"/>
    </row>
    <row r="287" spans="1:11" ht="15" customHeight="1">
      <c r="A287" s="42">
        <v>64</v>
      </c>
      <c r="B287" t="s">
        <v>318</v>
      </c>
      <c r="C287" s="206" t="s">
        <v>33</v>
      </c>
      <c r="D287" s="49" t="s">
        <v>182</v>
      </c>
      <c r="E287" s="157">
        <v>475.34</v>
      </c>
      <c r="F287" s="181" t="s">
        <v>182</v>
      </c>
      <c r="G287" s="40">
        <f>IF(BD!$E287="","",(E287/(H287*I287)))</f>
        <v>475.34</v>
      </c>
      <c r="H287" s="163">
        <v>1</v>
      </c>
      <c r="I287" s="163">
        <v>1</v>
      </c>
      <c r="J287" s="207" t="str">
        <f>CONCATENATE(LEFT(C287,1),MID(C287,SEARCH("_",C287)+1,2),TEXT(A287,"000"))</f>
        <v>SME064</v>
      </c>
      <c r="K287" s="117"/>
    </row>
    <row r="288" spans="1:11" ht="15" customHeight="1">
      <c r="A288" s="42">
        <v>65</v>
      </c>
      <c r="B288" t="s">
        <v>319</v>
      </c>
      <c r="C288" s="206" t="s">
        <v>33</v>
      </c>
      <c r="D288" s="49" t="s">
        <v>182</v>
      </c>
      <c r="E288" s="157">
        <v>475.34</v>
      </c>
      <c r="F288" s="181" t="s">
        <v>182</v>
      </c>
      <c r="G288" s="40">
        <f>IF(BD!$E288="","",(E288/(H288*I288)))</f>
        <v>475.34</v>
      </c>
      <c r="H288" s="163">
        <v>1</v>
      </c>
      <c r="I288" s="163">
        <v>1</v>
      </c>
      <c r="J288" s="207" t="str">
        <f>CONCATENATE(LEFT(C288,1),MID(C288,SEARCH("_",C288)+1,2),TEXT(A288,"000"))</f>
        <v>SME065</v>
      </c>
      <c r="K288" s="117"/>
    </row>
    <row r="289" spans="1:11" ht="15" customHeight="1">
      <c r="A289" s="42">
        <v>128</v>
      </c>
      <c r="B289" s="279" t="s">
        <v>320</v>
      </c>
      <c r="C289" s="206" t="s">
        <v>33</v>
      </c>
      <c r="D289" s="49" t="s">
        <v>246</v>
      </c>
      <c r="E289" s="157"/>
      <c r="F289" s="181" t="s">
        <v>95</v>
      </c>
      <c r="G289" s="40" t="str">
        <f>IF(BD!$E289="","",(E289/(H289*I289)))</f>
        <v/>
      </c>
      <c r="H289" s="163">
        <v>1</v>
      </c>
      <c r="I289" s="163">
        <v>100</v>
      </c>
      <c r="J289" s="207" t="str">
        <f>CONCATENATE(LEFT(C289,1),MID(C289,SEARCH("_",C289)+1,2),TEXT(A289,"000"))</f>
        <v>SME128</v>
      </c>
      <c r="K289" s="117"/>
    </row>
    <row r="290" spans="1:11" ht="15" customHeight="1">
      <c r="A290" s="42">
        <v>128</v>
      </c>
      <c r="B290" s="280" t="s">
        <v>321</v>
      </c>
      <c r="C290" s="206" t="s">
        <v>33</v>
      </c>
      <c r="D290" s="49" t="s">
        <v>246</v>
      </c>
      <c r="E290" s="157"/>
      <c r="F290" s="181" t="s">
        <v>95</v>
      </c>
      <c r="G290" s="40" t="str">
        <f>IF(BD!$E290="","",(E290/(H290*I290)))</f>
        <v/>
      </c>
      <c r="H290" s="163">
        <v>1</v>
      </c>
      <c r="I290" s="163">
        <v>100</v>
      </c>
      <c r="J290" s="207" t="str">
        <f>CONCATENATE(LEFT(C290,1),MID(C290,SEARCH("_",C290)+1,2),TEXT(A290,"000"))</f>
        <v>SME128</v>
      </c>
      <c r="K290" s="117"/>
    </row>
    <row r="291" spans="1:11" ht="15" customHeight="1">
      <c r="A291" s="42">
        <v>128</v>
      </c>
      <c r="B291" s="280" t="s">
        <v>322</v>
      </c>
      <c r="C291" s="206" t="s">
        <v>33</v>
      </c>
      <c r="D291" s="49" t="s">
        <v>246</v>
      </c>
      <c r="E291" s="44"/>
      <c r="F291" s="182" t="s">
        <v>95</v>
      </c>
      <c r="G291" s="40" t="str">
        <f>IF(BD!$E291="","",(E291/(H291*I291)))</f>
        <v/>
      </c>
      <c r="H291" s="162">
        <v>1</v>
      </c>
      <c r="I291" s="8">
        <v>100</v>
      </c>
      <c r="J291" s="207" t="str">
        <f>CONCATENATE(LEFT(C291,1),MID(C291,SEARCH("_",C291)+1,2),TEXT(A291,"000"))</f>
        <v>SME128</v>
      </c>
      <c r="K291" s="117"/>
    </row>
    <row r="292" spans="1:11" ht="15" customHeight="1">
      <c r="A292" s="42">
        <v>128</v>
      </c>
      <c r="B292" s="280" t="s">
        <v>323</v>
      </c>
      <c r="C292" s="206" t="s">
        <v>33</v>
      </c>
      <c r="D292" s="49" t="s">
        <v>246</v>
      </c>
      <c r="E292" s="44"/>
      <c r="F292" s="182" t="s">
        <v>95</v>
      </c>
      <c r="G292" s="40" t="str">
        <f>IF(BD!$E292="","",(E292/(H292*I292)))</f>
        <v/>
      </c>
      <c r="H292" s="162">
        <v>1</v>
      </c>
      <c r="I292" s="136">
        <v>100</v>
      </c>
      <c r="J292" s="207" t="str">
        <f>CONCATENATE(LEFT(C292,1),MID(C292,SEARCH("_",C292)+1,2),TEXT(A292,"000"))</f>
        <v>SME128</v>
      </c>
      <c r="K292" s="117"/>
    </row>
    <row r="293" spans="1:11" ht="15" customHeight="1">
      <c r="A293" s="42">
        <v>128</v>
      </c>
      <c r="B293" s="280" t="s">
        <v>324</v>
      </c>
      <c r="C293" s="206" t="s">
        <v>33</v>
      </c>
      <c r="D293" s="49" t="s">
        <v>246</v>
      </c>
      <c r="E293" s="44"/>
      <c r="F293" s="182" t="s">
        <v>95</v>
      </c>
      <c r="G293" s="40" t="str">
        <f>IF(BD!$E293="","",(E293/(H293*I293)))</f>
        <v/>
      </c>
      <c r="H293" s="162">
        <v>1</v>
      </c>
      <c r="I293" s="136">
        <v>100</v>
      </c>
      <c r="J293" s="207" t="str">
        <f>CONCATENATE(LEFT(C293,1),MID(C293,SEARCH("_",C293)+1,2),TEXT(A293,"000"))</f>
        <v>SME128</v>
      </c>
      <c r="K293" s="117"/>
    </row>
    <row r="294" spans="1:11" ht="15" customHeight="1">
      <c r="A294" s="42">
        <v>66</v>
      </c>
      <c r="B294" t="s">
        <v>325</v>
      </c>
      <c r="C294" s="206" t="s">
        <v>33</v>
      </c>
      <c r="D294" s="49" t="s">
        <v>182</v>
      </c>
      <c r="E294" s="44">
        <v>475.34</v>
      </c>
      <c r="F294" s="182" t="s">
        <v>182</v>
      </c>
      <c r="G294" s="40">
        <f>IF(BD!$E294="","",(E294/(H294*I294)))</f>
        <v>475.34</v>
      </c>
      <c r="H294" s="162">
        <v>1</v>
      </c>
      <c r="I294" s="136">
        <v>1</v>
      </c>
      <c r="J294" s="207" t="str">
        <f>CONCATENATE(LEFT(C294,1),MID(C294,SEARCH("_",C294)+1,2),TEXT(A294,"000"))</f>
        <v>SME066</v>
      </c>
      <c r="K294" s="117"/>
    </row>
    <row r="295" spans="1:11" ht="15" customHeight="1">
      <c r="A295" s="42">
        <v>67</v>
      </c>
      <c r="B295" s="190" t="s">
        <v>326</v>
      </c>
      <c r="C295" s="206" t="s">
        <v>33</v>
      </c>
      <c r="D295" s="49" t="s">
        <v>246</v>
      </c>
      <c r="E295" s="44">
        <v>9800</v>
      </c>
      <c r="F295" s="182" t="s">
        <v>95</v>
      </c>
      <c r="G295" s="40">
        <f>IF(BD!$E295="","",(E295/(H295*I295)))</f>
        <v>98</v>
      </c>
      <c r="H295" s="162">
        <v>100</v>
      </c>
      <c r="I295" s="136">
        <v>1</v>
      </c>
      <c r="J295" s="207" t="str">
        <f>CONCATENATE(LEFT(C295,1),MID(C295,SEARCH("_",C295)+1,2),TEXT(A295,"000"))</f>
        <v>SME067</v>
      </c>
      <c r="K295" s="117"/>
    </row>
    <row r="296" spans="1:11" ht="15" customHeight="1">
      <c r="A296" s="42">
        <v>68</v>
      </c>
      <c r="B296" t="s">
        <v>327</v>
      </c>
      <c r="C296" s="206" t="s">
        <v>33</v>
      </c>
      <c r="D296" s="49" t="s">
        <v>246</v>
      </c>
      <c r="E296" s="44">
        <v>943.5</v>
      </c>
      <c r="F296" s="182" t="s">
        <v>95</v>
      </c>
      <c r="G296" s="40">
        <f>IF(BD!$E296="","",(E296/(H296*I296)))</f>
        <v>9.4350000000000005</v>
      </c>
      <c r="H296" s="162">
        <v>100</v>
      </c>
      <c r="I296" s="136">
        <v>1</v>
      </c>
      <c r="J296" s="207" t="str">
        <f>CONCATENATE(LEFT(C296,1),MID(C296,SEARCH("_",C296)+1,2),TEXT(A296,"000"))</f>
        <v>SME068</v>
      </c>
      <c r="K296" s="117"/>
    </row>
    <row r="297" spans="1:11" ht="15" customHeight="1">
      <c r="A297" s="42">
        <v>69</v>
      </c>
      <c r="B297" t="s">
        <v>328</v>
      </c>
      <c r="C297" s="206" t="s">
        <v>33</v>
      </c>
      <c r="D297" s="49" t="s">
        <v>246</v>
      </c>
      <c r="E297" s="44">
        <v>943.5</v>
      </c>
      <c r="F297" s="182" t="s">
        <v>95</v>
      </c>
      <c r="G297" s="40">
        <f>IF(BD!$E297="","",(E297/(H297*I297)))</f>
        <v>9.4350000000000005</v>
      </c>
      <c r="H297" s="162">
        <v>100</v>
      </c>
      <c r="I297" s="136">
        <v>1</v>
      </c>
      <c r="J297" s="207" t="str">
        <f>CONCATENATE(LEFT(C297,1),MID(C297,SEARCH("_",C297)+1,2),TEXT(A297,"000"))</f>
        <v>SME069</v>
      </c>
      <c r="K297" s="117"/>
    </row>
    <row r="298" spans="1:11" ht="15" customHeight="1">
      <c r="A298" s="42">
        <v>70</v>
      </c>
      <c r="B298" s="94" t="s">
        <v>329</v>
      </c>
      <c r="C298" s="38" t="s">
        <v>33</v>
      </c>
      <c r="D298" s="49" t="s">
        <v>246</v>
      </c>
      <c r="E298" s="44">
        <v>1223</v>
      </c>
      <c r="F298" s="182" t="s">
        <v>95</v>
      </c>
      <c r="G298" s="40">
        <f>IF(BD!$E298="","",(E298/(H298*I298)))</f>
        <v>12.23</v>
      </c>
      <c r="H298" s="162">
        <v>100</v>
      </c>
      <c r="I298" s="8">
        <v>1</v>
      </c>
      <c r="J298" s="207" t="str">
        <f>CONCATENATE(LEFT(C298,1),MID(C298,SEARCH("_",C298)+1,2),TEXT(A298,"000"))</f>
        <v>SME070</v>
      </c>
      <c r="K298" s="117"/>
    </row>
    <row r="299" spans="1:11" ht="15" customHeight="1">
      <c r="A299" s="234">
        <v>71</v>
      </c>
      <c r="B299" s="94" t="s">
        <v>330</v>
      </c>
      <c r="C299" s="237" t="s">
        <v>33</v>
      </c>
      <c r="D299" s="238" t="s">
        <v>248</v>
      </c>
      <c r="E299" s="135">
        <v>16471.25</v>
      </c>
      <c r="F299" s="182" t="s">
        <v>248</v>
      </c>
      <c r="G299" s="40">
        <f>IF(BD!$E299="","",(E299/(H299*I299)))</f>
        <v>16471.25</v>
      </c>
      <c r="H299" s="162">
        <v>1</v>
      </c>
      <c r="I299" s="136">
        <v>1</v>
      </c>
      <c r="J299" s="207" t="str">
        <f>CONCATENATE(LEFT(C299,1),MID(C299,SEARCH("_",C299)+1,2),TEXT(A299,"000"))</f>
        <v>SME071</v>
      </c>
      <c r="K299" s="117"/>
    </row>
    <row r="300" spans="1:11" ht="15" customHeight="1">
      <c r="A300" s="234">
        <v>72</v>
      </c>
      <c r="B300" s="94" t="s">
        <v>331</v>
      </c>
      <c r="C300" s="237" t="s">
        <v>33</v>
      </c>
      <c r="D300" s="238" t="s">
        <v>248</v>
      </c>
      <c r="E300" s="135">
        <v>32931.5</v>
      </c>
      <c r="F300" s="182" t="s">
        <v>248</v>
      </c>
      <c r="G300" s="40">
        <f>IF(BD!$E300="","",(E300/(H300*I300)))</f>
        <v>32931.5</v>
      </c>
      <c r="H300" s="162">
        <v>1</v>
      </c>
      <c r="I300" s="136">
        <v>1</v>
      </c>
      <c r="J300" s="207" t="str">
        <f>CONCATENATE(LEFT(C300,1),MID(C300,SEARCH("_",C300)+1,2),TEXT(A300,"000"))</f>
        <v>SME072</v>
      </c>
      <c r="K300" s="117"/>
    </row>
    <row r="301" spans="1:11" ht="15" customHeight="1">
      <c r="A301" s="234">
        <v>73</v>
      </c>
      <c r="B301" s="94" t="s">
        <v>332</v>
      </c>
      <c r="C301" s="237" t="s">
        <v>33</v>
      </c>
      <c r="D301" s="238" t="s">
        <v>248</v>
      </c>
      <c r="E301" s="135">
        <v>16209.5</v>
      </c>
      <c r="F301" s="182" t="s">
        <v>248</v>
      </c>
      <c r="G301" s="40">
        <f>IF(BD!$E301="","",(E301/(H301*I301)))</f>
        <v>16209.5</v>
      </c>
      <c r="H301" s="162">
        <v>1</v>
      </c>
      <c r="I301" s="136">
        <v>1</v>
      </c>
      <c r="J301" s="207" t="str">
        <f>CONCATENATE(LEFT(C301,1),MID(C301,SEARCH("_",C301)+1,2),TEXT(A301,"000"))</f>
        <v>SME073</v>
      </c>
      <c r="K301" s="117"/>
    </row>
    <row r="302" spans="1:11" ht="15" customHeight="1">
      <c r="A302" s="234">
        <v>74</v>
      </c>
      <c r="B302" s="94" t="s">
        <v>333</v>
      </c>
      <c r="C302" s="237" t="s">
        <v>33</v>
      </c>
      <c r="D302" s="238" t="s">
        <v>248</v>
      </c>
      <c r="E302" s="135">
        <v>32417</v>
      </c>
      <c r="F302" s="182" t="s">
        <v>248</v>
      </c>
      <c r="G302" s="40">
        <f>IF(BD!$E302="","",(E302/(H302*I302)))</f>
        <v>32417</v>
      </c>
      <c r="H302" s="162">
        <v>1</v>
      </c>
      <c r="I302" s="136">
        <v>1</v>
      </c>
      <c r="J302" s="207" t="str">
        <f>CONCATENATE(LEFT(C302,1),MID(C302,SEARCH("_",C302)+1,2),TEXT(A302,"000"))</f>
        <v>SME074</v>
      </c>
      <c r="K302" s="117"/>
    </row>
    <row r="303" spans="1:11" ht="15" customHeight="1">
      <c r="A303" s="234">
        <v>75</v>
      </c>
      <c r="B303" s="94" t="s">
        <v>334</v>
      </c>
      <c r="C303" s="237" t="s">
        <v>33</v>
      </c>
      <c r="D303" s="238" t="s">
        <v>248</v>
      </c>
      <c r="E303" s="135">
        <v>50250</v>
      </c>
      <c r="F303" s="182" t="s">
        <v>248</v>
      </c>
      <c r="G303" s="40">
        <f>IF(BD!$E303="","",(E303/(H303*I303)))</f>
        <v>50250</v>
      </c>
      <c r="H303" s="162">
        <v>1</v>
      </c>
      <c r="I303" s="136">
        <v>1</v>
      </c>
      <c r="J303" s="207" t="str">
        <f>CONCATENATE(LEFT(C303,1),MID(C303,SEARCH("_",C303)+1,2),TEXT(A303,"000"))</f>
        <v>SME075</v>
      </c>
      <c r="K303" s="117"/>
    </row>
    <row r="304" spans="1:11" ht="15" customHeight="1">
      <c r="A304" s="234">
        <v>76</v>
      </c>
      <c r="B304" s="39" t="s">
        <v>335</v>
      </c>
      <c r="C304" s="237" t="s">
        <v>33</v>
      </c>
      <c r="D304" s="238" t="s">
        <v>248</v>
      </c>
      <c r="E304" s="135">
        <v>25131.5</v>
      </c>
      <c r="F304" s="182" t="s">
        <v>248</v>
      </c>
      <c r="G304" s="40">
        <f>IF(BD!$E304="","",(E304/(H304*I304)))</f>
        <v>25131.5</v>
      </c>
      <c r="H304" s="162">
        <v>1</v>
      </c>
      <c r="I304" s="136">
        <v>1</v>
      </c>
      <c r="J304" s="207" t="str">
        <f>CONCATENATE(LEFT(C304,1),MID(C304,SEARCH("_",C304)+1,2),TEXT(A304,"000"))</f>
        <v>SME076</v>
      </c>
      <c r="K304" s="117"/>
    </row>
    <row r="305" spans="1:11" ht="15" customHeight="1">
      <c r="A305" s="234">
        <v>77</v>
      </c>
      <c r="B305" s="94" t="s">
        <v>336</v>
      </c>
      <c r="C305" s="237" t="s">
        <v>33</v>
      </c>
      <c r="D305" s="238" t="s">
        <v>259</v>
      </c>
      <c r="E305" s="135">
        <v>3700</v>
      </c>
      <c r="F305" s="182" t="s">
        <v>262</v>
      </c>
      <c r="G305" s="40">
        <f>IF(BD!$E305="","",(E305/(H305*I305)))</f>
        <v>26.428571428571427</v>
      </c>
      <c r="H305" s="162">
        <v>140</v>
      </c>
      <c r="I305" s="136">
        <v>1</v>
      </c>
      <c r="J305" s="207" t="str">
        <f>CONCATENATE(LEFT(C305,1),MID(C305,SEARCH("_",C305)+1,2),TEXT(A305,"000"))</f>
        <v>SME077</v>
      </c>
      <c r="K305" s="117"/>
    </row>
    <row r="306" spans="1:11" ht="15" customHeight="1">
      <c r="A306" s="234">
        <v>78</v>
      </c>
      <c r="B306" s="94" t="s">
        <v>337</v>
      </c>
      <c r="C306" s="237" t="s">
        <v>33</v>
      </c>
      <c r="D306" s="238" t="s">
        <v>246</v>
      </c>
      <c r="E306" s="135">
        <v>92</v>
      </c>
      <c r="F306" s="182" t="s">
        <v>246</v>
      </c>
      <c r="G306" s="40">
        <f>IF(BD!$E306="","",(E306/(H306*I306)))</f>
        <v>92</v>
      </c>
      <c r="H306" s="162">
        <v>1</v>
      </c>
      <c r="I306" s="136">
        <v>1</v>
      </c>
      <c r="J306" s="207" t="str">
        <f>CONCATENATE(LEFT(C306,1),MID(C306,SEARCH("_",C306)+1,2),TEXT(A306,"000"))</f>
        <v>SME078</v>
      </c>
      <c r="K306" s="117"/>
    </row>
    <row r="307" spans="1:11" ht="15" customHeight="1">
      <c r="A307" s="234">
        <v>79</v>
      </c>
      <c r="B307" s="94" t="s">
        <v>338</v>
      </c>
      <c r="C307" s="237" t="s">
        <v>33</v>
      </c>
      <c r="D307" s="238" t="s">
        <v>246</v>
      </c>
      <c r="E307" s="135">
        <v>92</v>
      </c>
      <c r="F307" s="182" t="s">
        <v>246</v>
      </c>
      <c r="G307" s="40">
        <f>IF(BD!$E307="","",(E307/(H307*I307)))</f>
        <v>92</v>
      </c>
      <c r="H307" s="162">
        <v>1</v>
      </c>
      <c r="I307" s="136">
        <v>1</v>
      </c>
      <c r="J307" s="207" t="str">
        <f>CONCATENATE(LEFT(C307,1),MID(C307,SEARCH("_",C307)+1,2),TEXT(A307,"000"))</f>
        <v>SME079</v>
      </c>
      <c r="K307" s="117"/>
    </row>
    <row r="308" spans="1:11" ht="15" customHeight="1">
      <c r="A308" s="234">
        <v>80</v>
      </c>
      <c r="B308" s="94" t="s">
        <v>339</v>
      </c>
      <c r="C308" s="237" t="s">
        <v>33</v>
      </c>
      <c r="D308" s="238" t="s">
        <v>246</v>
      </c>
      <c r="E308" s="135">
        <v>92</v>
      </c>
      <c r="F308" s="182" t="s">
        <v>246</v>
      </c>
      <c r="G308" s="40">
        <f>IF(BD!$E308="","",(E308/(H308*I308)))</f>
        <v>92</v>
      </c>
      <c r="H308" s="162">
        <v>1</v>
      </c>
      <c r="I308" s="136">
        <v>1</v>
      </c>
      <c r="J308" s="207" t="str">
        <f>CONCATENATE(LEFT(C308,1),MID(C308,SEARCH("_",C308)+1,2),TEXT(A308,"000"))</f>
        <v>SME080</v>
      </c>
      <c r="K308" s="117"/>
    </row>
    <row r="309" spans="1:11" ht="15" customHeight="1">
      <c r="A309" s="234">
        <v>81</v>
      </c>
      <c r="B309" s="94" t="s">
        <v>340</v>
      </c>
      <c r="C309" s="237" t="s">
        <v>33</v>
      </c>
      <c r="D309" s="238" t="s">
        <v>262</v>
      </c>
      <c r="E309" s="135">
        <v>8591.7999999999993</v>
      </c>
      <c r="F309" s="182" t="s">
        <v>246</v>
      </c>
      <c r="G309" s="40">
        <f>IF(BD!$E309="","",(E309/(H309*I309)))</f>
        <v>0.35799166666666665</v>
      </c>
      <c r="H309" s="162">
        <v>200</v>
      </c>
      <c r="I309" s="136">
        <v>120</v>
      </c>
      <c r="J309" s="207" t="str">
        <f>CONCATENATE(LEFT(C309,1),MID(C309,SEARCH("_",C309)+1,2),TEXT(A309,"000"))</f>
        <v>SME081</v>
      </c>
      <c r="K309" s="117"/>
    </row>
    <row r="310" spans="1:11" ht="15" customHeight="1">
      <c r="A310" s="234">
        <v>82</v>
      </c>
      <c r="B310" s="39" t="s">
        <v>341</v>
      </c>
      <c r="C310" s="237" t="s">
        <v>33</v>
      </c>
      <c r="D310" s="238" t="s">
        <v>246</v>
      </c>
      <c r="E310" s="135">
        <v>10740.701999999999</v>
      </c>
      <c r="F310" s="182" t="s">
        <v>246</v>
      </c>
      <c r="G310" s="40">
        <f>IF(BD!$E310="","",(E310/(H310*I310)))</f>
        <v>10740.701999999999</v>
      </c>
      <c r="H310" s="162">
        <v>1</v>
      </c>
      <c r="I310" s="136">
        <v>1</v>
      </c>
      <c r="J310" s="207" t="str">
        <f>CONCATENATE(LEFT(C310,1),MID(C310,SEARCH("_",C310)+1,2),TEXT(A310,"000"))</f>
        <v>SME082</v>
      </c>
      <c r="K310" s="117"/>
    </row>
    <row r="311" spans="1:11" ht="15" customHeight="1">
      <c r="A311" s="234">
        <v>83</v>
      </c>
      <c r="B311" s="94" t="s">
        <v>342</v>
      </c>
      <c r="C311" s="237" t="s">
        <v>33</v>
      </c>
      <c r="D311" s="238" t="s">
        <v>246</v>
      </c>
      <c r="E311" s="135">
        <v>28000</v>
      </c>
      <c r="F311" s="182" t="s">
        <v>262</v>
      </c>
      <c r="G311" s="40">
        <f>IF(BD!$E311="","",(E311/(H311*I311)))</f>
        <v>1.4</v>
      </c>
      <c r="H311" s="162">
        <v>200</v>
      </c>
      <c r="I311" s="136">
        <v>100</v>
      </c>
      <c r="J311" s="207" t="str">
        <f>CONCATENATE(LEFT(C311,1),MID(C311,SEARCH("_",C311)+1,2),TEXT(A311,"000"))</f>
        <v>SME083</v>
      </c>
      <c r="K311" s="117"/>
    </row>
    <row r="312" spans="1:11" ht="15" customHeight="1">
      <c r="A312" s="234">
        <v>84</v>
      </c>
      <c r="B312" s="94" t="s">
        <v>343</v>
      </c>
      <c r="C312" s="237" t="s">
        <v>33</v>
      </c>
      <c r="D312" s="238" t="s">
        <v>246</v>
      </c>
      <c r="E312" s="135">
        <v>20000</v>
      </c>
      <c r="F312" s="182" t="s">
        <v>262</v>
      </c>
      <c r="G312" s="40">
        <f>IF(BD!$E312="","",(E312/(H312*I312)))</f>
        <v>1</v>
      </c>
      <c r="H312" s="162">
        <v>200</v>
      </c>
      <c r="I312" s="136">
        <v>100</v>
      </c>
      <c r="J312" s="207" t="str">
        <f>CONCATENATE(LEFT(C312,1),MID(C312,SEARCH("_",C312)+1,2),TEXT(A312,"000"))</f>
        <v>SME084</v>
      </c>
      <c r="K312" s="117"/>
    </row>
    <row r="313" spans="1:11" ht="15" customHeight="1">
      <c r="A313" s="234">
        <v>128</v>
      </c>
      <c r="B313" s="270" t="s">
        <v>344</v>
      </c>
      <c r="C313" s="237" t="s">
        <v>33</v>
      </c>
      <c r="D313" s="238" t="s">
        <v>246</v>
      </c>
      <c r="E313" s="135"/>
      <c r="F313" s="182" t="s">
        <v>95</v>
      </c>
      <c r="G313" s="40" t="str">
        <f>IF(BD!$E313="","",(E313/(H313*I313)))</f>
        <v/>
      </c>
      <c r="H313" s="162">
        <v>1</v>
      </c>
      <c r="I313" s="136">
        <v>100</v>
      </c>
      <c r="J313" s="207" t="str">
        <f>CONCATENATE(LEFT(C313,1),MID(C313,SEARCH("_",C313)+1,2),TEXT(A313,"000"))</f>
        <v>SME128</v>
      </c>
      <c r="K313" s="117"/>
    </row>
    <row r="314" spans="1:11" ht="15" customHeight="1">
      <c r="A314" s="234">
        <v>128</v>
      </c>
      <c r="B314" s="270" t="s">
        <v>345</v>
      </c>
      <c r="C314" s="237" t="s">
        <v>33</v>
      </c>
      <c r="D314" s="238" t="s">
        <v>246</v>
      </c>
      <c r="E314" s="135"/>
      <c r="F314" s="182" t="s">
        <v>95</v>
      </c>
      <c r="G314" s="40" t="str">
        <f>IF(BD!$E314="","",(E314/(H314*I314)))</f>
        <v/>
      </c>
      <c r="H314" s="162">
        <v>1</v>
      </c>
      <c r="I314" s="136">
        <v>100</v>
      </c>
      <c r="J314" s="207" t="str">
        <f>CONCATENATE(LEFT(C314,1),MID(C314,SEARCH("_",C314)+1,2),TEXT(A314,"000"))</f>
        <v>SME128</v>
      </c>
      <c r="K314" s="117"/>
    </row>
    <row r="315" spans="1:11" ht="15" customHeight="1">
      <c r="A315" s="234">
        <v>128</v>
      </c>
      <c r="B315" s="270" t="s">
        <v>346</v>
      </c>
      <c r="C315" s="237" t="s">
        <v>33</v>
      </c>
      <c r="D315" s="238" t="s">
        <v>246</v>
      </c>
      <c r="E315" s="135"/>
      <c r="F315" s="182" t="s">
        <v>95</v>
      </c>
      <c r="G315" s="40" t="str">
        <f>IF(BD!$E315="","",(E315/(H315*I315)))</f>
        <v/>
      </c>
      <c r="H315" s="162">
        <v>1</v>
      </c>
      <c r="I315" s="136">
        <v>100</v>
      </c>
      <c r="J315" s="207" t="str">
        <f>CONCATENATE(LEFT(C315,1),MID(C315,SEARCH("_",C315)+1,2),TEXT(A315,"000"))</f>
        <v>SME128</v>
      </c>
      <c r="K315" s="117"/>
    </row>
    <row r="316" spans="1:11" ht="15" customHeight="1">
      <c r="A316" s="234">
        <v>128</v>
      </c>
      <c r="B316" s="270" t="s">
        <v>347</v>
      </c>
      <c r="C316" s="237" t="s">
        <v>33</v>
      </c>
      <c r="D316" s="238" t="s">
        <v>246</v>
      </c>
      <c r="E316" s="135"/>
      <c r="F316" s="182" t="s">
        <v>95</v>
      </c>
      <c r="G316" s="40" t="str">
        <f>IF(BD!$E316="","",(E316/(H316*I316)))</f>
        <v/>
      </c>
      <c r="H316" s="162">
        <v>1</v>
      </c>
      <c r="I316" s="136">
        <v>100</v>
      </c>
      <c r="J316" s="207" t="str">
        <f>CONCATENATE(LEFT(C316,1),MID(C316,SEARCH("_",C316)+1,2),TEXT(A316,"000"))</f>
        <v>SME128</v>
      </c>
      <c r="K316" s="117"/>
    </row>
    <row r="317" spans="1:11" ht="15" customHeight="1">
      <c r="A317" s="234">
        <v>85</v>
      </c>
      <c r="B317" s="139" t="s">
        <v>348</v>
      </c>
      <c r="C317" s="237" t="s">
        <v>33</v>
      </c>
      <c r="D317" s="238" t="s">
        <v>246</v>
      </c>
      <c r="E317" s="135">
        <v>7000</v>
      </c>
      <c r="F317" s="182" t="s">
        <v>349</v>
      </c>
      <c r="G317" s="40">
        <f>IF(BD!$E317="","",(E317/(H317*I317)))</f>
        <v>7000</v>
      </c>
      <c r="H317" s="162">
        <v>1</v>
      </c>
      <c r="I317" s="136">
        <v>1</v>
      </c>
      <c r="J317" s="207" t="str">
        <f>CONCATENATE(LEFT(C317,1),MID(C317,SEARCH("_",C317)+1,2),TEXT(A317,"000"))</f>
        <v>SME085</v>
      </c>
      <c r="K317" s="117"/>
    </row>
    <row r="318" spans="1:11" ht="15" customHeight="1">
      <c r="A318" s="234">
        <v>128</v>
      </c>
      <c r="B318" s="270" t="s">
        <v>350</v>
      </c>
      <c r="C318" s="237" t="s">
        <v>33</v>
      </c>
      <c r="D318" s="238" t="s">
        <v>246</v>
      </c>
      <c r="E318" s="135"/>
      <c r="F318" s="182" t="s">
        <v>95</v>
      </c>
      <c r="G318" s="40" t="str">
        <f>IF(BD!$E318="","",(E318/(H318*I318)))</f>
        <v/>
      </c>
      <c r="H318" s="162">
        <v>1</v>
      </c>
      <c r="I318" s="136">
        <v>100</v>
      </c>
      <c r="J318" s="207" t="str">
        <f>CONCATENATE(LEFT(C318,1),MID(C318,SEARCH("_",C318)+1,2),TEXT(A318,"000"))</f>
        <v>SME128</v>
      </c>
      <c r="K318" s="117"/>
    </row>
    <row r="319" spans="1:11" ht="15" customHeight="1">
      <c r="A319" s="234">
        <v>128</v>
      </c>
      <c r="B319" s="270" t="s">
        <v>351</v>
      </c>
      <c r="C319" s="237" t="s">
        <v>33</v>
      </c>
      <c r="D319" s="238" t="s">
        <v>246</v>
      </c>
      <c r="E319" s="135"/>
      <c r="F319" s="182" t="s">
        <v>95</v>
      </c>
      <c r="G319" s="40" t="str">
        <f>IF(BD!$E319="","",(E319/(H319*I319)))</f>
        <v/>
      </c>
      <c r="H319" s="162">
        <v>1</v>
      </c>
      <c r="I319" s="136">
        <v>100</v>
      </c>
      <c r="J319" s="207" t="str">
        <f>CONCATENATE(LEFT(C319,1),MID(C319,SEARCH("_",C319)+1,2),TEXT(A319,"000"))</f>
        <v>SME128</v>
      </c>
      <c r="K319" s="117"/>
    </row>
    <row r="320" spans="1:11" ht="15" customHeight="1">
      <c r="A320" s="234">
        <v>128</v>
      </c>
      <c r="B320" s="270" t="s">
        <v>352</v>
      </c>
      <c r="C320" s="237" t="s">
        <v>33</v>
      </c>
      <c r="D320" s="238" t="s">
        <v>246</v>
      </c>
      <c r="E320" s="135"/>
      <c r="F320" s="182" t="s">
        <v>95</v>
      </c>
      <c r="G320" s="40" t="str">
        <f>IF(BD!$E320="","",(E320/(H320*I320)))</f>
        <v/>
      </c>
      <c r="H320" s="162">
        <v>1</v>
      </c>
      <c r="I320" s="136">
        <v>100</v>
      </c>
      <c r="J320" s="207" t="str">
        <f>CONCATENATE(LEFT(C320,1),MID(C320,SEARCH("_",C320)+1,2),TEXT(A320,"000"))</f>
        <v>SME128</v>
      </c>
      <c r="K320" s="117"/>
    </row>
    <row r="321" spans="1:11" ht="15" customHeight="1">
      <c r="A321" s="234">
        <v>128</v>
      </c>
      <c r="B321" s="270" t="s">
        <v>353</v>
      </c>
      <c r="C321" s="237" t="s">
        <v>33</v>
      </c>
      <c r="D321" s="238" t="s">
        <v>246</v>
      </c>
      <c r="E321" s="135"/>
      <c r="F321" s="182" t="s">
        <v>95</v>
      </c>
      <c r="G321" s="40" t="str">
        <f>IF(BD!$E321="","",(E321/(H321*I321)))</f>
        <v/>
      </c>
      <c r="H321" s="162">
        <v>1</v>
      </c>
      <c r="I321" s="136">
        <v>100</v>
      </c>
      <c r="J321" s="207" t="str">
        <f>CONCATENATE(LEFT(C321,1),MID(C321,SEARCH("_",C321)+1,2),TEXT(A321,"000"))</f>
        <v>SME128</v>
      </c>
      <c r="K321" s="117"/>
    </row>
    <row r="322" spans="1:11" ht="15" customHeight="1">
      <c r="A322" s="234">
        <v>128</v>
      </c>
      <c r="B322" s="270" t="s">
        <v>354</v>
      </c>
      <c r="C322" s="237" t="s">
        <v>33</v>
      </c>
      <c r="D322" s="238" t="s">
        <v>246</v>
      </c>
      <c r="E322" s="135"/>
      <c r="F322" s="182" t="s">
        <v>95</v>
      </c>
      <c r="G322" s="40" t="str">
        <f>IF(BD!$E322="","",(E322/(H322*I322)))</f>
        <v/>
      </c>
      <c r="H322" s="162">
        <v>1</v>
      </c>
      <c r="I322" s="136">
        <v>100</v>
      </c>
      <c r="J322" s="207" t="str">
        <f>CONCATENATE(LEFT(C322,1),MID(C322,SEARCH("_",C322)+1,2),TEXT(A322,"000"))</f>
        <v>SME128</v>
      </c>
      <c r="K322" s="117"/>
    </row>
    <row r="323" spans="1:11" ht="15" customHeight="1">
      <c r="A323" s="234">
        <v>128</v>
      </c>
      <c r="B323" s="270" t="s">
        <v>355</v>
      </c>
      <c r="C323" s="237" t="s">
        <v>33</v>
      </c>
      <c r="D323" s="238" t="s">
        <v>246</v>
      </c>
      <c r="E323" s="135"/>
      <c r="F323" s="182" t="s">
        <v>95</v>
      </c>
      <c r="G323" s="40" t="str">
        <f>IF(BD!$E323="","",(E323/(H323*I323)))</f>
        <v/>
      </c>
      <c r="H323" s="162">
        <v>1</v>
      </c>
      <c r="I323" s="136">
        <v>100</v>
      </c>
      <c r="J323" s="207" t="str">
        <f>CONCATENATE(LEFT(C323,1),MID(C323,SEARCH("_",C323)+1,2),TEXT(A323,"000"))</f>
        <v>SME128</v>
      </c>
      <c r="K323" s="117"/>
    </row>
    <row r="324" spans="1:11" ht="15" customHeight="1">
      <c r="A324" s="234">
        <v>128</v>
      </c>
      <c r="B324" s="270" t="s">
        <v>356</v>
      </c>
      <c r="C324" s="237" t="s">
        <v>33</v>
      </c>
      <c r="D324" s="238" t="s">
        <v>246</v>
      </c>
      <c r="E324" s="135"/>
      <c r="F324" s="182" t="s">
        <v>95</v>
      </c>
      <c r="G324" s="40" t="str">
        <f>IF(BD!$E324="","",(E324/(H324*I324)))</f>
        <v/>
      </c>
      <c r="H324" s="162">
        <v>1</v>
      </c>
      <c r="I324" s="136">
        <v>100</v>
      </c>
      <c r="J324" s="207" t="str">
        <f>CONCATENATE(LEFT(C324,1),MID(C324,SEARCH("_",C324)+1,2),TEXT(A324,"000"))</f>
        <v>SME128</v>
      </c>
      <c r="K324" s="117"/>
    </row>
    <row r="325" spans="1:11" ht="15" customHeight="1">
      <c r="A325" s="234">
        <v>86</v>
      </c>
      <c r="B325" s="139" t="s">
        <v>357</v>
      </c>
      <c r="C325" s="237" t="s">
        <v>33</v>
      </c>
      <c r="D325" s="238" t="s">
        <v>259</v>
      </c>
      <c r="E325" s="135">
        <v>12000</v>
      </c>
      <c r="F325" s="182" t="s">
        <v>349</v>
      </c>
      <c r="G325" s="40">
        <f>IF(BD!$E325="","",(E325/(H325*I325)))</f>
        <v>12000</v>
      </c>
      <c r="H325" s="162">
        <v>1</v>
      </c>
      <c r="I325" s="136">
        <v>1</v>
      </c>
      <c r="J325" s="207" t="str">
        <f>CONCATENATE(LEFT(C325,1),MID(C325,SEARCH("_",C325)+1,2),TEXT(A325,"000"))</f>
        <v>SME086</v>
      </c>
      <c r="K325" s="117"/>
    </row>
    <row r="326" spans="1:11" ht="15" customHeight="1">
      <c r="A326" s="234">
        <v>87</v>
      </c>
      <c r="B326" s="139" t="s">
        <v>358</v>
      </c>
      <c r="C326" s="237" t="s">
        <v>33</v>
      </c>
      <c r="D326" s="238" t="s">
        <v>118</v>
      </c>
      <c r="E326" s="135">
        <v>7266.666666666667</v>
      </c>
      <c r="F326" s="182" t="s">
        <v>349</v>
      </c>
      <c r="G326" s="40">
        <f>IF(BD!$E326="","",(E326/(H326*I326)))</f>
        <v>7266.666666666667</v>
      </c>
      <c r="H326" s="162">
        <v>1</v>
      </c>
      <c r="I326" s="136">
        <v>1</v>
      </c>
      <c r="J326" s="207" t="str">
        <f>CONCATENATE(LEFT(C326,1),MID(C326,SEARCH("_",C326)+1,2),TEXT(A326,"000"))</f>
        <v>SME087</v>
      </c>
      <c r="K326" s="117"/>
    </row>
    <row r="327" spans="1:11" ht="15" customHeight="1">
      <c r="A327" s="234">
        <v>88</v>
      </c>
      <c r="B327" s="139" t="s">
        <v>359</v>
      </c>
      <c r="C327" s="237" t="s">
        <v>33</v>
      </c>
      <c r="D327" s="238" t="s">
        <v>118</v>
      </c>
      <c r="E327" s="135">
        <v>7266.666666666667</v>
      </c>
      <c r="F327" s="182" t="s">
        <v>349</v>
      </c>
      <c r="G327" s="40">
        <f>IF(BD!$E327="","",(E327/(H327*I327)))</f>
        <v>7266.666666666667</v>
      </c>
      <c r="H327" s="162">
        <v>1</v>
      </c>
      <c r="I327" s="136">
        <v>1</v>
      </c>
      <c r="J327" s="207" t="str">
        <f>CONCATENATE(LEFT(C327,1),MID(C327,SEARCH("_",C327)+1,2),TEXT(A327,"000"))</f>
        <v>SME088</v>
      </c>
      <c r="K327" s="117"/>
    </row>
    <row r="328" spans="1:11" ht="15" customHeight="1">
      <c r="A328" s="234">
        <v>89</v>
      </c>
      <c r="B328" s="139" t="s">
        <v>360</v>
      </c>
      <c r="C328" s="237" t="s">
        <v>33</v>
      </c>
      <c r="D328" s="238" t="s">
        <v>118</v>
      </c>
      <c r="E328" s="135">
        <v>7266.665</v>
      </c>
      <c r="F328" s="182" t="s">
        <v>349</v>
      </c>
      <c r="G328" s="40">
        <f>IF(BD!$E328="","",(E328/(H328*I328)))</f>
        <v>7266.665</v>
      </c>
      <c r="H328" s="162">
        <v>1</v>
      </c>
      <c r="I328" s="136">
        <v>1</v>
      </c>
      <c r="J328" s="207" t="str">
        <f>CONCATENATE(LEFT(C328,1),MID(C328,SEARCH("_",C328)+1,2),TEXT(A328,"000"))</f>
        <v>SME089</v>
      </c>
      <c r="K328" s="117"/>
    </row>
    <row r="329" spans="1:11" ht="15" customHeight="1">
      <c r="A329" s="234">
        <v>90</v>
      </c>
      <c r="B329" s="139" t="s">
        <v>361</v>
      </c>
      <c r="C329" s="237" t="s">
        <v>33</v>
      </c>
      <c r="D329" s="238" t="s">
        <v>259</v>
      </c>
      <c r="E329" s="135">
        <v>5000</v>
      </c>
      <c r="F329" s="182" t="s">
        <v>349</v>
      </c>
      <c r="G329" s="40">
        <f>IF(BD!$E329="","",(E329/(H329*I329)))</f>
        <v>5000</v>
      </c>
      <c r="H329" s="162">
        <v>1</v>
      </c>
      <c r="I329" s="136">
        <v>1</v>
      </c>
      <c r="J329" s="207" t="str">
        <f>CONCATENATE(LEFT(C329,1),MID(C329,SEARCH("_",C329)+1,2),TEXT(A329,"000"))</f>
        <v>SME090</v>
      </c>
      <c r="K329" s="117"/>
    </row>
    <row r="330" spans="1:11" ht="15" customHeight="1">
      <c r="A330" s="234">
        <v>128</v>
      </c>
      <c r="B330" s="270" t="s">
        <v>362</v>
      </c>
      <c r="C330" s="237" t="s">
        <v>33</v>
      </c>
      <c r="D330" s="238" t="s">
        <v>246</v>
      </c>
      <c r="E330" s="135"/>
      <c r="F330" s="182" t="s">
        <v>95</v>
      </c>
      <c r="G330" s="40" t="str">
        <f>IF(BD!$E330="","",(E330/(H330*I330)))</f>
        <v/>
      </c>
      <c r="H330" s="162">
        <v>1</v>
      </c>
      <c r="I330" s="136">
        <v>100</v>
      </c>
      <c r="J330" s="207" t="str">
        <f>CONCATENATE(LEFT(C330,1),MID(C330,SEARCH("_",C330)+1,2),TEXT(A330,"000"))</f>
        <v>SME128</v>
      </c>
      <c r="K330" s="117"/>
    </row>
    <row r="331" spans="1:11" ht="15" customHeight="1">
      <c r="A331" s="234">
        <v>128</v>
      </c>
      <c r="B331" s="270" t="s">
        <v>363</v>
      </c>
      <c r="C331" s="237" t="s">
        <v>33</v>
      </c>
      <c r="D331" s="238" t="s">
        <v>246</v>
      </c>
      <c r="E331" s="135"/>
      <c r="F331" s="182" t="s">
        <v>95</v>
      </c>
      <c r="G331" s="40" t="str">
        <f>IF(BD!$E331="","",(E331/(H331*I331)))</f>
        <v/>
      </c>
      <c r="H331" s="162">
        <v>1</v>
      </c>
      <c r="I331" s="136">
        <v>100</v>
      </c>
      <c r="J331" s="207" t="str">
        <f>CONCATENATE(LEFT(C331,1),MID(C331,SEARCH("_",C331)+1,2),TEXT(A331,"000"))</f>
        <v>SME128</v>
      </c>
      <c r="K331" s="117"/>
    </row>
    <row r="332" spans="1:11" ht="15" customHeight="1">
      <c r="A332" s="234">
        <v>128</v>
      </c>
      <c r="B332" s="270" t="s">
        <v>364</v>
      </c>
      <c r="C332" s="237" t="s">
        <v>33</v>
      </c>
      <c r="D332" s="238" t="s">
        <v>246</v>
      </c>
      <c r="E332" s="135"/>
      <c r="F332" s="182" t="s">
        <v>95</v>
      </c>
      <c r="G332" s="40" t="str">
        <f>IF(BD!$E332="","",(E332/(H332*I332)))</f>
        <v/>
      </c>
      <c r="H332" s="162">
        <v>1</v>
      </c>
      <c r="I332" s="136">
        <v>100</v>
      </c>
      <c r="J332" s="207" t="str">
        <f>CONCATENATE(LEFT(C332,1),MID(C332,SEARCH("_",C332)+1,2),TEXT(A332,"000"))</f>
        <v>SME128</v>
      </c>
      <c r="K332" s="117"/>
    </row>
    <row r="333" spans="1:11" ht="15" customHeight="1">
      <c r="A333" s="234">
        <v>128</v>
      </c>
      <c r="B333" s="270" t="s">
        <v>365</v>
      </c>
      <c r="C333" s="237" t="s">
        <v>33</v>
      </c>
      <c r="D333" s="238" t="s">
        <v>246</v>
      </c>
      <c r="E333" s="135"/>
      <c r="F333" s="182" t="s">
        <v>95</v>
      </c>
      <c r="G333" s="40" t="str">
        <f>IF(BD!$E333="","",(E333/(H333*I333)))</f>
        <v/>
      </c>
      <c r="H333" s="162">
        <v>1</v>
      </c>
      <c r="I333" s="136">
        <v>100</v>
      </c>
      <c r="J333" s="207" t="str">
        <f>CONCATENATE(LEFT(C333,1),MID(C333,SEARCH("_",C333)+1,2),TEXT(A333,"000"))</f>
        <v>SME128</v>
      </c>
      <c r="K333" s="117"/>
    </row>
    <row r="334" spans="1:11" ht="15" customHeight="1">
      <c r="A334" s="234">
        <v>128</v>
      </c>
      <c r="B334" s="270" t="s">
        <v>366</v>
      </c>
      <c r="C334" s="237" t="s">
        <v>33</v>
      </c>
      <c r="D334" s="238" t="s">
        <v>246</v>
      </c>
      <c r="E334" s="135"/>
      <c r="F334" s="182" t="s">
        <v>95</v>
      </c>
      <c r="G334" s="40" t="str">
        <f>IF(BD!$E334="","",(E334/(H334*I334)))</f>
        <v/>
      </c>
      <c r="H334" s="162">
        <v>1</v>
      </c>
      <c r="I334" s="136">
        <v>100</v>
      </c>
      <c r="J334" s="207" t="str">
        <f>CONCATENATE(LEFT(C334,1),MID(C334,SEARCH("_",C334)+1,2),TEXT(A334,"000"))</f>
        <v>SME128</v>
      </c>
      <c r="K334" s="117"/>
    </row>
    <row r="335" spans="1:11" ht="15" customHeight="1">
      <c r="A335" s="234">
        <v>128</v>
      </c>
      <c r="B335" s="270" t="s">
        <v>367</v>
      </c>
      <c r="C335" s="237" t="s">
        <v>33</v>
      </c>
      <c r="D335" s="238" t="s">
        <v>246</v>
      </c>
      <c r="E335" s="135"/>
      <c r="F335" s="182" t="s">
        <v>95</v>
      </c>
      <c r="G335" s="40" t="str">
        <f>IF(BD!$E335="","",(E335/(H335*I335)))</f>
        <v/>
      </c>
      <c r="H335" s="162">
        <v>1</v>
      </c>
      <c r="I335" s="136">
        <v>100</v>
      </c>
      <c r="J335" s="207" t="str">
        <f>CONCATENATE(LEFT(C335,1),MID(C335,SEARCH("_",C335)+1,2),TEXT(A335,"000"))</f>
        <v>SME128</v>
      </c>
      <c r="K335" s="117"/>
    </row>
    <row r="336" spans="1:11" ht="15" customHeight="1">
      <c r="A336" s="234">
        <v>128</v>
      </c>
      <c r="B336" s="270" t="s">
        <v>368</v>
      </c>
      <c r="C336" s="237" t="s">
        <v>33</v>
      </c>
      <c r="D336" s="238" t="s">
        <v>246</v>
      </c>
      <c r="E336" s="135"/>
      <c r="F336" s="182" t="s">
        <v>95</v>
      </c>
      <c r="G336" s="40" t="str">
        <f>IF(BD!$E336="","",(E336/(H336*I336)))</f>
        <v/>
      </c>
      <c r="H336" s="162">
        <v>1</v>
      </c>
      <c r="I336" s="136">
        <v>100</v>
      </c>
      <c r="J336" s="207" t="str">
        <f>CONCATENATE(LEFT(C336,1),MID(C336,SEARCH("_",C336)+1,2),TEXT(A336,"000"))</f>
        <v>SME128</v>
      </c>
      <c r="K336" s="117"/>
    </row>
    <row r="337" spans="1:11" ht="15" customHeight="1">
      <c r="A337" s="234">
        <v>128</v>
      </c>
      <c r="B337" s="270" t="s">
        <v>369</v>
      </c>
      <c r="C337" s="237" t="s">
        <v>33</v>
      </c>
      <c r="D337" s="238" t="s">
        <v>246</v>
      </c>
      <c r="E337" s="135"/>
      <c r="F337" s="182" t="s">
        <v>95</v>
      </c>
      <c r="G337" s="40" t="str">
        <f>IF(BD!$E337="","",(E337/(H337*I337)))</f>
        <v/>
      </c>
      <c r="H337" s="162">
        <v>1</v>
      </c>
      <c r="I337" s="136">
        <v>100</v>
      </c>
      <c r="J337" s="207" t="str">
        <f>CONCATENATE(LEFT(C337,1),MID(C337,SEARCH("_",C337)+1,2),TEXT(A337,"000"))</f>
        <v>SME128</v>
      </c>
      <c r="K337" s="117"/>
    </row>
    <row r="338" spans="1:11" ht="15" customHeight="1">
      <c r="A338" s="234">
        <v>128</v>
      </c>
      <c r="B338" s="270" t="s">
        <v>370</v>
      </c>
      <c r="C338" s="237" t="s">
        <v>33</v>
      </c>
      <c r="D338" s="238" t="s">
        <v>246</v>
      </c>
      <c r="E338" s="135"/>
      <c r="F338" s="182" t="s">
        <v>95</v>
      </c>
      <c r="G338" s="40" t="str">
        <f>IF(BD!$E338="","",(E338/(H338*I338)))</f>
        <v/>
      </c>
      <c r="H338" s="162">
        <v>1</v>
      </c>
      <c r="I338" s="136">
        <v>100</v>
      </c>
      <c r="J338" s="207" t="str">
        <f>CONCATENATE(LEFT(C338,1),MID(C338,SEARCH("_",C338)+1,2),TEXT(A338,"000"))</f>
        <v>SME128</v>
      </c>
      <c r="K338" s="117"/>
    </row>
    <row r="339" spans="1:11" ht="15" customHeight="1">
      <c r="A339" s="234">
        <v>128</v>
      </c>
      <c r="B339" s="270" t="s">
        <v>371</v>
      </c>
      <c r="C339" s="237" t="s">
        <v>33</v>
      </c>
      <c r="D339" s="238" t="s">
        <v>246</v>
      </c>
      <c r="E339" s="135"/>
      <c r="F339" s="182" t="s">
        <v>95</v>
      </c>
      <c r="G339" s="40" t="str">
        <f>IF(BD!$E339="","",(E339/(H339*I339)))</f>
        <v/>
      </c>
      <c r="H339" s="162">
        <v>1</v>
      </c>
      <c r="I339" s="136">
        <v>100</v>
      </c>
      <c r="J339" s="207" t="str">
        <f>CONCATENATE(LEFT(C339,1),MID(C339,SEARCH("_",C339)+1,2),TEXT(A339,"000"))</f>
        <v>SME128</v>
      </c>
      <c r="K339" s="117"/>
    </row>
    <row r="340" spans="1:11" ht="15" customHeight="1">
      <c r="A340" s="234">
        <v>128</v>
      </c>
      <c r="B340" s="270" t="s">
        <v>372</v>
      </c>
      <c r="C340" s="237" t="s">
        <v>33</v>
      </c>
      <c r="D340" s="238" t="s">
        <v>246</v>
      </c>
      <c r="E340" s="135"/>
      <c r="F340" s="182" t="s">
        <v>95</v>
      </c>
      <c r="G340" s="40" t="str">
        <f>IF(BD!$E340="","",(E340/(H340*I340)))</f>
        <v/>
      </c>
      <c r="H340" s="162">
        <v>1</v>
      </c>
      <c r="I340" s="136">
        <v>100</v>
      </c>
      <c r="J340" s="207" t="str">
        <f>CONCATENATE(LEFT(C340,1),MID(C340,SEARCH("_",C340)+1,2),TEXT(A340,"000"))</f>
        <v>SME128</v>
      </c>
      <c r="K340" s="117"/>
    </row>
    <row r="341" spans="1:11" ht="15" customHeight="1">
      <c r="A341" s="234">
        <v>128</v>
      </c>
      <c r="B341" s="270" t="s">
        <v>373</v>
      </c>
      <c r="C341" s="237" t="s">
        <v>33</v>
      </c>
      <c r="D341" s="238" t="s">
        <v>246</v>
      </c>
      <c r="E341" s="135"/>
      <c r="F341" s="182" t="s">
        <v>95</v>
      </c>
      <c r="G341" s="40" t="str">
        <f>IF(BD!$E341="","",(E341/(H341*I341)))</f>
        <v/>
      </c>
      <c r="H341" s="162">
        <v>1</v>
      </c>
      <c r="I341" s="136">
        <v>100</v>
      </c>
      <c r="J341" s="207" t="str">
        <f>CONCATENATE(LEFT(C341,1),MID(C341,SEARCH("_",C341)+1,2),TEXT(A341,"000"))</f>
        <v>SME128</v>
      </c>
      <c r="K341" s="117"/>
    </row>
    <row r="342" spans="1:11" ht="15" customHeight="1">
      <c r="A342" s="234">
        <v>128</v>
      </c>
      <c r="B342" s="270" t="s">
        <v>374</v>
      </c>
      <c r="C342" s="237" t="s">
        <v>33</v>
      </c>
      <c r="D342" s="238" t="s">
        <v>246</v>
      </c>
      <c r="E342" s="44"/>
      <c r="F342" s="182" t="s">
        <v>95</v>
      </c>
      <c r="G342" s="40" t="str">
        <f>IF(BD!$E342="","",(E342/(H342*I342)))</f>
        <v/>
      </c>
      <c r="H342" s="162">
        <v>1</v>
      </c>
      <c r="I342" s="8">
        <v>100</v>
      </c>
      <c r="J342" s="207" t="str">
        <f>CONCATENATE(LEFT(C342,1),MID(C342,SEARCH("_",C342)+1,2),TEXT(A342,"000"))</f>
        <v>SME128</v>
      </c>
      <c r="K342" s="117"/>
    </row>
    <row r="343" spans="1:11" ht="15" customHeight="1">
      <c r="A343" s="234">
        <v>128</v>
      </c>
      <c r="B343" s="270" t="s">
        <v>375</v>
      </c>
      <c r="C343" s="237" t="s">
        <v>33</v>
      </c>
      <c r="D343" s="238" t="s">
        <v>246</v>
      </c>
      <c r="E343" s="135"/>
      <c r="F343" s="182" t="s">
        <v>95</v>
      </c>
      <c r="G343" s="40" t="str">
        <f>IF(BD!$E343="","",(E343/(H343*I343)))</f>
        <v/>
      </c>
      <c r="H343" s="162">
        <v>1</v>
      </c>
      <c r="I343" s="8">
        <v>100</v>
      </c>
      <c r="J343" s="207" t="str">
        <f>CONCATENATE(LEFT(C343,1),MID(C343,SEARCH("_",C343)+1,2),TEXT(A343,"000"))</f>
        <v>SME128</v>
      </c>
      <c r="K343" s="117"/>
    </row>
    <row r="344" spans="1:11" ht="15" customHeight="1">
      <c r="A344" s="234">
        <v>128</v>
      </c>
      <c r="B344" s="270" t="s">
        <v>376</v>
      </c>
      <c r="C344" s="237" t="s">
        <v>33</v>
      </c>
      <c r="D344" s="238" t="s">
        <v>246</v>
      </c>
      <c r="E344" s="135"/>
      <c r="F344" s="182" t="s">
        <v>95</v>
      </c>
      <c r="G344" s="40" t="str">
        <f>IF(BD!$E344="","",(E344/(H344*I344)))</f>
        <v/>
      </c>
      <c r="H344" s="162">
        <v>1</v>
      </c>
      <c r="I344" s="8">
        <v>100</v>
      </c>
      <c r="J344" s="207" t="str">
        <f>CONCATENATE(LEFT(C344,1),MID(C344,SEARCH("_",C344)+1,2),TEXT(A344,"000"))</f>
        <v>SME128</v>
      </c>
      <c r="K344" s="117"/>
    </row>
    <row r="345" spans="1:11" ht="15" customHeight="1">
      <c r="A345" s="234">
        <v>128</v>
      </c>
      <c r="B345" s="270" t="s">
        <v>377</v>
      </c>
      <c r="C345" s="237" t="s">
        <v>33</v>
      </c>
      <c r="D345" s="238" t="s">
        <v>246</v>
      </c>
      <c r="E345" s="135"/>
      <c r="F345" s="182" t="s">
        <v>95</v>
      </c>
      <c r="G345" s="40" t="str">
        <f>IF(BD!$E345="","",(E345/(H345*I345)))</f>
        <v/>
      </c>
      <c r="H345" s="162">
        <v>1</v>
      </c>
      <c r="I345" s="8">
        <v>100</v>
      </c>
      <c r="J345" s="207" t="str">
        <f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70" t="s">
        <v>378</v>
      </c>
      <c r="C346" s="237" t="s">
        <v>33</v>
      </c>
      <c r="D346" s="238" t="s">
        <v>246</v>
      </c>
      <c r="E346" s="135"/>
      <c r="F346" s="182" t="s">
        <v>95</v>
      </c>
      <c r="G346" s="40" t="str">
        <f>IF(BD!$E346="","",(E346/(H346*I346)))</f>
        <v/>
      </c>
      <c r="H346" s="162">
        <v>1</v>
      </c>
      <c r="I346" s="8">
        <v>100</v>
      </c>
      <c r="J346" s="207" t="str">
        <f>CONCATENATE(LEFT(C346,1),MID(C346,SEARCH("_",C346)+1,2),TEXT(A346,"000"))</f>
        <v>SME128</v>
      </c>
      <c r="K346" s="117"/>
    </row>
    <row r="347" spans="1:11" ht="15" customHeight="1">
      <c r="A347" s="234">
        <v>128</v>
      </c>
      <c r="B347" s="270" t="s">
        <v>379</v>
      </c>
      <c r="C347" s="237" t="s">
        <v>33</v>
      </c>
      <c r="D347" s="238" t="s">
        <v>246</v>
      </c>
      <c r="E347" s="135"/>
      <c r="F347" s="182" t="s">
        <v>95</v>
      </c>
      <c r="G347" s="40" t="str">
        <f>IF(BD!$E347="","",(E347/(H347*I347)))</f>
        <v/>
      </c>
      <c r="H347" s="162">
        <v>1</v>
      </c>
      <c r="I347" s="8">
        <v>100</v>
      </c>
      <c r="J347" s="207" t="str">
        <f>CONCATENATE(LEFT(C347,1),MID(C347,SEARCH("_",C347)+1,2),TEXT(A347,"000"))</f>
        <v>SME128</v>
      </c>
      <c r="K347" s="117"/>
    </row>
    <row r="348" spans="1:11" ht="15" customHeight="1">
      <c r="A348" s="234">
        <v>128</v>
      </c>
      <c r="B348" s="270" t="s">
        <v>380</v>
      </c>
      <c r="C348" s="237" t="s">
        <v>33</v>
      </c>
      <c r="D348" s="238" t="s">
        <v>246</v>
      </c>
      <c r="E348" s="135"/>
      <c r="F348" s="182" t="s">
        <v>95</v>
      </c>
      <c r="G348" s="40" t="str">
        <f>IF(BD!$E348="","",(E348/(H348*I348)))</f>
        <v/>
      </c>
      <c r="H348" s="162">
        <v>1</v>
      </c>
      <c r="I348" s="8">
        <v>100</v>
      </c>
      <c r="J348" s="207" t="str">
        <f>CONCATENATE(LEFT(C348,1),MID(C348,SEARCH("_",C348)+1,2),TEXT(A348,"000"))</f>
        <v>SME128</v>
      </c>
      <c r="K348" s="117"/>
    </row>
    <row r="349" spans="1:11" ht="15" customHeight="1">
      <c r="A349" s="234">
        <v>91</v>
      </c>
      <c r="B349" s="139" t="s">
        <v>381</v>
      </c>
      <c r="C349" s="237" t="s">
        <v>33</v>
      </c>
      <c r="D349" s="238" t="s">
        <v>246</v>
      </c>
      <c r="E349" s="135">
        <v>7183</v>
      </c>
      <c r="F349" s="182" t="s">
        <v>262</v>
      </c>
      <c r="G349" s="40">
        <f>IF(BD!$E349="","",(E349/(H349*I349)))</f>
        <v>0.47886666666666666</v>
      </c>
      <c r="H349" s="162">
        <v>150</v>
      </c>
      <c r="I349" s="8">
        <v>100</v>
      </c>
      <c r="J349" s="207" t="str">
        <f>CONCATENATE(LEFT(C349,1),MID(C349,SEARCH("_",C349)+1,2),TEXT(A349,"000"))</f>
        <v>SME091</v>
      </c>
      <c r="K349" s="117"/>
    </row>
    <row r="350" spans="1:11" ht="15" customHeight="1">
      <c r="A350" s="234">
        <v>92</v>
      </c>
      <c r="B350" s="139" t="s">
        <v>382</v>
      </c>
      <c r="C350" s="237" t="s">
        <v>33</v>
      </c>
      <c r="D350" s="238" t="s">
        <v>246</v>
      </c>
      <c r="E350" s="135">
        <v>10597</v>
      </c>
      <c r="F350" s="182" t="s">
        <v>262</v>
      </c>
      <c r="G350" s="40">
        <f>IF(BD!$E350="","",(E350/(H350*I350)))</f>
        <v>0.70646666666666669</v>
      </c>
      <c r="H350" s="162">
        <v>150</v>
      </c>
      <c r="I350" s="8">
        <v>100</v>
      </c>
      <c r="J350" s="207" t="str">
        <f>CONCATENATE(LEFT(C350,1),MID(C350,SEARCH("_",C350)+1,2),TEXT(A350,"000"))</f>
        <v>SME092</v>
      </c>
      <c r="K350" s="117"/>
    </row>
    <row r="351" spans="1:11" ht="15" customHeight="1">
      <c r="A351" s="234">
        <v>128</v>
      </c>
      <c r="B351" s="270" t="s">
        <v>383</v>
      </c>
      <c r="C351" s="237" t="s">
        <v>33</v>
      </c>
      <c r="D351" s="238" t="s">
        <v>246</v>
      </c>
      <c r="E351" s="135"/>
      <c r="F351" s="182" t="s">
        <v>95</v>
      </c>
      <c r="G351" s="40" t="str">
        <f>IF(BD!$E351="","",(E351/(H351*I351)))</f>
        <v/>
      </c>
      <c r="H351" s="162">
        <v>1</v>
      </c>
      <c r="I351" s="8">
        <v>100</v>
      </c>
      <c r="J351" s="207" t="str">
        <f>CONCATENATE(LEFT(C351,1),MID(C351,SEARCH("_",C351)+1,2),TEXT(A351,"000"))</f>
        <v>SME128</v>
      </c>
      <c r="K351" s="117"/>
    </row>
    <row r="352" spans="1:11" ht="15" customHeight="1">
      <c r="A352" s="234">
        <v>128</v>
      </c>
      <c r="B352" s="270" t="s">
        <v>384</v>
      </c>
      <c r="C352" s="237" t="s">
        <v>33</v>
      </c>
      <c r="D352" s="238" t="s">
        <v>246</v>
      </c>
      <c r="E352" s="135"/>
      <c r="F352" s="182" t="s">
        <v>95</v>
      </c>
      <c r="G352" s="40" t="str">
        <f>IF(BD!$E352="","",(E352/(H352*I352)))</f>
        <v/>
      </c>
      <c r="H352" s="162">
        <v>1</v>
      </c>
      <c r="I352" s="8">
        <v>100</v>
      </c>
      <c r="J352" s="207" t="str">
        <f>CONCATENATE(LEFT(C352,1),MID(C352,SEARCH("_",C352)+1,2),TEXT(A352,"000"))</f>
        <v>SME128</v>
      </c>
      <c r="K352" s="117"/>
    </row>
    <row r="353" spans="1:11" ht="15" customHeight="1">
      <c r="A353" s="234">
        <v>93</v>
      </c>
      <c r="B353" s="139" t="s">
        <v>385</v>
      </c>
      <c r="C353" s="237" t="s">
        <v>33</v>
      </c>
      <c r="D353" s="238" t="s">
        <v>118</v>
      </c>
      <c r="E353" s="135">
        <v>2866.6666666666665</v>
      </c>
      <c r="F353" s="182" t="s">
        <v>118</v>
      </c>
      <c r="G353" s="40">
        <f>IF(BD!$E353="","",(E353/(H353*I353)))</f>
        <v>2866.6666666666665</v>
      </c>
      <c r="H353" s="162">
        <v>1</v>
      </c>
      <c r="I353" s="8">
        <v>1</v>
      </c>
      <c r="J353" s="207" t="str">
        <f>CONCATENATE(LEFT(C353,1),MID(C353,SEARCH("_",C353)+1,2),TEXT(A353,"000"))</f>
        <v>SME093</v>
      </c>
      <c r="K353" s="117"/>
    </row>
    <row r="354" spans="1:11" ht="15" customHeight="1">
      <c r="A354" s="234">
        <v>94</v>
      </c>
      <c r="B354" s="139" t="s">
        <v>386</v>
      </c>
      <c r="C354" s="237" t="s">
        <v>33</v>
      </c>
      <c r="D354" s="238" t="s">
        <v>118</v>
      </c>
      <c r="E354" s="135">
        <v>2866.6666666666665</v>
      </c>
      <c r="F354" s="182" t="s">
        <v>118</v>
      </c>
      <c r="G354" s="40">
        <f>IF(BD!$E354="","",(E354/(H354*I354)))</f>
        <v>2866.6666666666665</v>
      </c>
      <c r="H354" s="162">
        <v>1</v>
      </c>
      <c r="I354" s="8">
        <v>1</v>
      </c>
      <c r="J354" s="207" t="str">
        <f>CONCATENATE(LEFT(C354,1),MID(C354,SEARCH("_",C354)+1,2),TEXT(A354,"000"))</f>
        <v>SME094</v>
      </c>
      <c r="K354" s="117"/>
    </row>
    <row r="355" spans="1:11" ht="15" customHeight="1">
      <c r="A355" s="234">
        <v>128</v>
      </c>
      <c r="B355" s="270" t="s">
        <v>387</v>
      </c>
      <c r="C355" s="237" t="s">
        <v>33</v>
      </c>
      <c r="D355" s="238" t="s">
        <v>246</v>
      </c>
      <c r="E355" s="135"/>
      <c r="F355" s="182" t="s">
        <v>95</v>
      </c>
      <c r="G355" s="40" t="str">
        <f>IF(BD!$E355="","",(E355/(H355*I355)))</f>
        <v/>
      </c>
      <c r="H355" s="162">
        <v>1</v>
      </c>
      <c r="I355" s="8">
        <v>100</v>
      </c>
      <c r="J355" s="207" t="str">
        <f>CONCATENATE(LEFT(C355,1),MID(C355,SEARCH("_",C355)+1,2),TEXT(A355,"000"))</f>
        <v>SME128</v>
      </c>
      <c r="K355" s="117"/>
    </row>
    <row r="356" spans="1:11" ht="15" customHeight="1">
      <c r="A356" s="234">
        <v>128</v>
      </c>
      <c r="B356" s="270" t="s">
        <v>388</v>
      </c>
      <c r="C356" s="237" t="s">
        <v>33</v>
      </c>
      <c r="D356" s="238" t="s">
        <v>246</v>
      </c>
      <c r="E356" s="135"/>
      <c r="F356" s="182" t="s">
        <v>95</v>
      </c>
      <c r="G356" s="40" t="str">
        <f>IF(BD!$E356="","",(E356/(H356*I356)))</f>
        <v/>
      </c>
      <c r="H356" s="162">
        <v>1</v>
      </c>
      <c r="I356" s="8">
        <v>100</v>
      </c>
      <c r="J356" s="207" t="str">
        <f>CONCATENATE(LEFT(C356,1),MID(C356,SEARCH("_",C356)+1,2),TEXT(A356,"000"))</f>
        <v>SME128</v>
      </c>
      <c r="K356" s="117"/>
    </row>
    <row r="357" spans="1:11" ht="15" customHeight="1">
      <c r="A357" s="234">
        <v>128</v>
      </c>
      <c r="B357" s="270" t="s">
        <v>388</v>
      </c>
      <c r="C357" s="237" t="s">
        <v>33</v>
      </c>
      <c r="D357" s="238" t="s">
        <v>246</v>
      </c>
      <c r="E357" s="135"/>
      <c r="F357" s="182" t="s">
        <v>95</v>
      </c>
      <c r="G357" s="40" t="str">
        <f>IF(BD!$E357="","",(E357/(H357*I357)))</f>
        <v/>
      </c>
      <c r="H357" s="162">
        <v>1</v>
      </c>
      <c r="I357" s="8">
        <v>100</v>
      </c>
      <c r="J357" s="207" t="str">
        <f>CONCATENATE(LEFT(C357,1),MID(C357,SEARCH("_",C357)+1,2),TEXT(A357,"000"))</f>
        <v>SME128</v>
      </c>
      <c r="K357" s="117"/>
    </row>
    <row r="358" spans="1:11" ht="15" customHeight="1">
      <c r="A358" s="234">
        <v>128</v>
      </c>
      <c r="B358" s="270" t="s">
        <v>389</v>
      </c>
      <c r="C358" s="237" t="s">
        <v>33</v>
      </c>
      <c r="D358" s="238" t="s">
        <v>246</v>
      </c>
      <c r="E358" s="135"/>
      <c r="F358" s="182" t="s">
        <v>95</v>
      </c>
      <c r="G358" s="40" t="str">
        <f>IF(BD!$E358="","",(E358/(H358*I358)))</f>
        <v/>
      </c>
      <c r="H358" s="162">
        <v>1</v>
      </c>
      <c r="I358" s="8">
        <v>100</v>
      </c>
      <c r="J358" s="207" t="str">
        <f>CONCATENATE(LEFT(C358,1),MID(C358,SEARCH("_",C358)+1,2),TEXT(A358,"000"))</f>
        <v>SME128</v>
      </c>
      <c r="K358" s="117"/>
    </row>
    <row r="359" spans="1:11" ht="15" customHeight="1">
      <c r="A359" s="234">
        <v>95</v>
      </c>
      <c r="B359" s="139" t="s">
        <v>390</v>
      </c>
      <c r="C359" s="237" t="s">
        <v>33</v>
      </c>
      <c r="D359" s="238" t="s">
        <v>262</v>
      </c>
      <c r="E359" s="135"/>
      <c r="F359" s="182" t="s">
        <v>262</v>
      </c>
      <c r="G359" s="40" t="str">
        <f>IF(BD!$E359="","",(E359/(H359*I359)))</f>
        <v/>
      </c>
      <c r="H359" s="162">
        <v>100</v>
      </c>
      <c r="I359" s="8">
        <v>100</v>
      </c>
      <c r="J359" s="207" t="str">
        <f>CONCATENATE(LEFT(C359,1),MID(C359,SEARCH("_",C359)+1,2),TEXT(A359,"000"))</f>
        <v>SME095</v>
      </c>
      <c r="K359" s="117"/>
    </row>
    <row r="360" spans="1:11" ht="15" customHeight="1">
      <c r="A360" s="234">
        <v>96</v>
      </c>
      <c r="B360" s="139" t="s">
        <v>391</v>
      </c>
      <c r="C360" s="237" t="s">
        <v>33</v>
      </c>
      <c r="D360" s="238" t="s">
        <v>248</v>
      </c>
      <c r="E360" s="135">
        <v>8000</v>
      </c>
      <c r="F360" s="182" t="s">
        <v>262</v>
      </c>
      <c r="G360" s="40">
        <f>IF(BD!$E360="","",(E360/(H360*I360)))</f>
        <v>0.53333333333333333</v>
      </c>
      <c r="H360" s="162">
        <v>150</v>
      </c>
      <c r="I360" s="8">
        <v>100</v>
      </c>
      <c r="J360" s="207" t="str">
        <f>CONCATENATE(LEFT(C360,1),MID(C360,SEARCH("_",C360)+1,2),TEXT(A360,"000"))</f>
        <v>SME096</v>
      </c>
      <c r="K360" s="117"/>
    </row>
    <row r="361" spans="1:11" ht="15" customHeight="1">
      <c r="A361" s="234">
        <v>97</v>
      </c>
      <c r="B361" s="139" t="s">
        <v>392</v>
      </c>
      <c r="C361" s="237" t="s">
        <v>33</v>
      </c>
      <c r="D361" s="238" t="s">
        <v>248</v>
      </c>
      <c r="E361" s="135">
        <v>10000</v>
      </c>
      <c r="F361" s="182" t="s">
        <v>262</v>
      </c>
      <c r="G361" s="40">
        <f>IF(BD!$E361="","",(E361/(H361*I361)))</f>
        <v>0.66666666666666663</v>
      </c>
      <c r="H361" s="162">
        <v>150</v>
      </c>
      <c r="I361" s="8">
        <v>100</v>
      </c>
      <c r="J361" s="207" t="str">
        <f>CONCATENATE(LEFT(C361,1),MID(C361,SEARCH("_",C361)+1,2),TEXT(A361,"000"))</f>
        <v>SME097</v>
      </c>
      <c r="K361" s="117"/>
    </row>
    <row r="362" spans="1:11" ht="15" customHeight="1">
      <c r="A362" s="234">
        <v>98</v>
      </c>
      <c r="B362" s="139" t="s">
        <v>393</v>
      </c>
      <c r="C362" s="237" t="s">
        <v>33</v>
      </c>
      <c r="D362" s="238" t="s">
        <v>248</v>
      </c>
      <c r="E362" s="135">
        <v>10000</v>
      </c>
      <c r="F362" s="182" t="s">
        <v>262</v>
      </c>
      <c r="G362" s="40">
        <f>IF(BD!$E362="","",(E362/(H362*I362)))</f>
        <v>0.66666666666666663</v>
      </c>
      <c r="H362" s="162">
        <v>150</v>
      </c>
      <c r="I362" s="8">
        <v>100</v>
      </c>
      <c r="J362" s="207" t="str">
        <f>CONCATENATE(LEFT(C362,1),MID(C362,SEARCH("_",C362)+1,2),TEXT(A362,"000"))</f>
        <v>SME098</v>
      </c>
      <c r="K362" s="117"/>
    </row>
    <row r="363" spans="1:11" ht="15" customHeight="1">
      <c r="A363" s="234">
        <v>128</v>
      </c>
      <c r="B363" s="270" t="s">
        <v>394</v>
      </c>
      <c r="C363" s="237" t="s">
        <v>33</v>
      </c>
      <c r="D363" s="238" t="s">
        <v>248</v>
      </c>
      <c r="E363" s="135">
        <v>10000</v>
      </c>
      <c r="F363" s="182" t="s">
        <v>262</v>
      </c>
      <c r="G363" s="40">
        <f>IF(BD!$E363="","",(E363/(H363*I363)))</f>
        <v>1</v>
      </c>
      <c r="H363" s="162">
        <v>100</v>
      </c>
      <c r="I363" s="8">
        <v>100</v>
      </c>
      <c r="J363" s="207" t="str">
        <f>CONCATENATE(LEFT(C363,1),MID(C363,SEARCH("_",C363)+1,2),TEXT(A363,"000"))</f>
        <v>SME128</v>
      </c>
      <c r="K363" s="117"/>
    </row>
    <row r="364" spans="1:11" ht="15" customHeight="1">
      <c r="A364" s="234">
        <v>99</v>
      </c>
      <c r="B364" s="139" t="s">
        <v>395</v>
      </c>
      <c r="C364" s="237" t="s">
        <v>33</v>
      </c>
      <c r="D364" s="238" t="s">
        <v>262</v>
      </c>
      <c r="E364" s="135"/>
      <c r="F364" s="182" t="s">
        <v>262</v>
      </c>
      <c r="G364" s="40" t="str">
        <f>IF(BD!$E364="","",(E364/(H364*I364)))</f>
        <v/>
      </c>
      <c r="H364" s="162">
        <v>100</v>
      </c>
      <c r="I364" s="8">
        <v>100</v>
      </c>
      <c r="J364" s="207" t="str">
        <f>CONCATENATE(LEFT(C364,1),MID(C364,SEARCH("_",C364)+1,2),TEXT(A364,"000"))</f>
        <v>SME099</v>
      </c>
      <c r="K364" s="117"/>
    </row>
    <row r="365" spans="1:11" ht="15" customHeight="1">
      <c r="A365" s="234">
        <v>128</v>
      </c>
      <c r="B365" s="270" t="s">
        <v>396</v>
      </c>
      <c r="C365" s="237" t="s">
        <v>33</v>
      </c>
      <c r="D365" s="238" t="s">
        <v>246</v>
      </c>
      <c r="E365" s="135"/>
      <c r="F365" s="182" t="s">
        <v>95</v>
      </c>
      <c r="G365" s="40" t="str">
        <f>IF(BD!$E365="","",(E365/(H365*I365)))</f>
        <v/>
      </c>
      <c r="H365" s="162">
        <v>1</v>
      </c>
      <c r="I365" s="8">
        <v>100</v>
      </c>
      <c r="J365" s="207" t="str">
        <f>CONCATENATE(LEFT(C365,1),MID(C365,SEARCH("_",C365)+1,2),TEXT(A365,"000"))</f>
        <v>SME128</v>
      </c>
      <c r="K365" s="117"/>
    </row>
    <row r="366" spans="1:11" ht="15" customHeight="1">
      <c r="A366" s="234">
        <v>100</v>
      </c>
      <c r="B366" s="139" t="s">
        <v>397</v>
      </c>
      <c r="C366" s="237" t="s">
        <v>33</v>
      </c>
      <c r="D366" s="238" t="s">
        <v>214</v>
      </c>
      <c r="E366" s="135">
        <v>636792</v>
      </c>
      <c r="F366" s="182" t="s">
        <v>118</v>
      </c>
      <c r="G366" s="40">
        <f>IF(BD!$E366="","",(E366/(H366*I366)))</f>
        <v>53066</v>
      </c>
      <c r="H366" s="162">
        <v>12</v>
      </c>
      <c r="I366" s="8">
        <v>1</v>
      </c>
      <c r="J366" s="207" t="str">
        <f>CONCATENATE(LEFT(C366,1),MID(C366,SEARCH("_",C366)+1,2),TEXT(A366,"000"))</f>
        <v>SME100</v>
      </c>
      <c r="K366" s="117"/>
    </row>
    <row r="367" spans="1:11" ht="15" customHeight="1">
      <c r="A367" s="234">
        <v>128</v>
      </c>
      <c r="B367" s="270" t="s">
        <v>398</v>
      </c>
      <c r="C367" s="237" t="s">
        <v>33</v>
      </c>
      <c r="D367" s="238" t="s">
        <v>246</v>
      </c>
      <c r="E367" s="135"/>
      <c r="F367" s="182" t="s">
        <v>95</v>
      </c>
      <c r="G367" s="40" t="str">
        <f>IF(BD!$E367="","",(E367/(H367*I367)))</f>
        <v/>
      </c>
      <c r="H367" s="162">
        <v>1</v>
      </c>
      <c r="I367" s="8">
        <v>100</v>
      </c>
      <c r="J367" s="207" t="str">
        <f>CONCATENATE(LEFT(C367,1),MID(C367,SEARCH("_",C367)+1,2),TEXT(A367,"000"))</f>
        <v>SME128</v>
      </c>
      <c r="K367" s="117"/>
    </row>
    <row r="368" spans="1:11" ht="15" customHeight="1">
      <c r="A368" s="234">
        <v>128</v>
      </c>
      <c r="B368" s="270" t="s">
        <v>399</v>
      </c>
      <c r="C368" s="237" t="s">
        <v>33</v>
      </c>
      <c r="D368" s="238" t="s">
        <v>246</v>
      </c>
      <c r="E368" s="135"/>
      <c r="F368" s="182" t="s">
        <v>95</v>
      </c>
      <c r="G368" s="40" t="str">
        <f>IF(BD!$E368="","",(E368/(H368*I368)))</f>
        <v/>
      </c>
      <c r="H368" s="162">
        <v>1</v>
      </c>
      <c r="I368" s="8">
        <v>100</v>
      </c>
      <c r="J368" s="207" t="str">
        <f>CONCATENATE(LEFT(C368,1),MID(C368,SEARCH("_",C368)+1,2),TEXT(A368,"000"))</f>
        <v>SME128</v>
      </c>
      <c r="K368" s="117"/>
    </row>
    <row r="369" spans="1:11" ht="15" customHeight="1">
      <c r="A369" s="234">
        <v>128</v>
      </c>
      <c r="B369" s="270" t="s">
        <v>400</v>
      </c>
      <c r="C369" s="237" t="s">
        <v>33</v>
      </c>
      <c r="D369" s="238" t="s">
        <v>246</v>
      </c>
      <c r="E369" s="135"/>
      <c r="F369" s="182" t="s">
        <v>95</v>
      </c>
      <c r="G369" s="40" t="str">
        <f>IF(BD!$E369="","",(E369/(H369*I369)))</f>
        <v/>
      </c>
      <c r="H369" s="162">
        <v>1</v>
      </c>
      <c r="I369" s="8">
        <v>100</v>
      </c>
      <c r="J369" s="207" t="str">
        <f>CONCATENATE(LEFT(C369,1),MID(C369,SEARCH("_",C369)+1,2),TEXT(A369,"000"))</f>
        <v>SME128</v>
      </c>
      <c r="K369" s="117"/>
    </row>
    <row r="370" spans="1:11" ht="15" customHeight="1">
      <c r="A370" s="234">
        <v>128</v>
      </c>
      <c r="B370" s="270" t="s">
        <v>401</v>
      </c>
      <c r="C370" s="237" t="s">
        <v>33</v>
      </c>
      <c r="D370" s="238" t="s">
        <v>246</v>
      </c>
      <c r="E370" s="135"/>
      <c r="F370" s="182" t="s">
        <v>95</v>
      </c>
      <c r="G370" s="40" t="str">
        <f>IF(BD!$E370="","",(E370/(H370*I370)))</f>
        <v/>
      </c>
      <c r="H370" s="162">
        <v>1</v>
      </c>
      <c r="I370" s="8">
        <v>100</v>
      </c>
      <c r="J370" s="207" t="str">
        <f>CONCATENATE(LEFT(C370,1),MID(C370,SEARCH("_",C370)+1,2),TEXT(A370,"000"))</f>
        <v>SME128</v>
      </c>
      <c r="K370" s="117"/>
    </row>
    <row r="371" spans="1:11" ht="15" customHeight="1">
      <c r="A371" s="234">
        <v>128</v>
      </c>
      <c r="B371" s="270" t="s">
        <v>402</v>
      </c>
      <c r="C371" s="237" t="s">
        <v>33</v>
      </c>
      <c r="D371" s="238" t="s">
        <v>246</v>
      </c>
      <c r="E371" s="135"/>
      <c r="F371" s="182" t="s">
        <v>95</v>
      </c>
      <c r="G371" s="40" t="str">
        <f>IF(BD!$E371="","",(E371/(H371*I371)))</f>
        <v/>
      </c>
      <c r="H371" s="162">
        <v>1</v>
      </c>
      <c r="I371" s="8">
        <v>100</v>
      </c>
      <c r="J371" s="207" t="str">
        <f>CONCATENATE(LEFT(C371,1),MID(C371,SEARCH("_",C371)+1,2),TEXT(A371,"000"))</f>
        <v>SME128</v>
      </c>
      <c r="K371" s="117"/>
    </row>
    <row r="372" spans="1:11" ht="15" customHeight="1">
      <c r="A372" s="234">
        <v>128</v>
      </c>
      <c r="B372" s="270" t="s">
        <v>403</v>
      </c>
      <c r="C372" s="237" t="s">
        <v>33</v>
      </c>
      <c r="D372" s="238" t="s">
        <v>246</v>
      </c>
      <c r="E372" s="135"/>
      <c r="F372" s="182" t="s">
        <v>95</v>
      </c>
      <c r="G372" s="40" t="str">
        <f>IF(BD!$E372="","",(E372/(H372*I372)))</f>
        <v/>
      </c>
      <c r="H372" s="162">
        <v>1</v>
      </c>
      <c r="I372" s="8">
        <v>100</v>
      </c>
      <c r="J372" s="207" t="str">
        <f>CONCATENATE(LEFT(C372,1),MID(C372,SEARCH("_",C372)+1,2),TEXT(A372,"000"))</f>
        <v>SME128</v>
      </c>
      <c r="K372" s="117"/>
    </row>
    <row r="373" spans="1:11" ht="15" customHeight="1">
      <c r="A373" s="234">
        <v>128</v>
      </c>
      <c r="B373" s="270" t="s">
        <v>404</v>
      </c>
      <c r="C373" s="237" t="s">
        <v>33</v>
      </c>
      <c r="D373" s="238" t="s">
        <v>246</v>
      </c>
      <c r="E373" s="135"/>
      <c r="F373" s="182" t="s">
        <v>95</v>
      </c>
      <c r="G373" s="40" t="str">
        <f>IF(BD!$E373="","",(E373/(H373*I373)))</f>
        <v/>
      </c>
      <c r="H373" s="162">
        <v>1</v>
      </c>
      <c r="I373" s="8">
        <v>100</v>
      </c>
      <c r="J373" s="207" t="str">
        <f>CONCATENATE(LEFT(C373,1),MID(C373,SEARCH("_",C373)+1,2),TEXT(A373,"000"))</f>
        <v>SME128</v>
      </c>
      <c r="K373" s="117"/>
    </row>
    <row r="374" spans="1:11" ht="15" customHeight="1">
      <c r="A374" s="234">
        <v>128</v>
      </c>
      <c r="B374" s="270" t="s">
        <v>405</v>
      </c>
      <c r="C374" s="237" t="s">
        <v>33</v>
      </c>
      <c r="D374" s="238" t="s">
        <v>246</v>
      </c>
      <c r="E374" s="135"/>
      <c r="F374" s="182" t="s">
        <v>95</v>
      </c>
      <c r="G374" s="40" t="str">
        <f>IF(BD!$E374="","",(E374/(H374*I374)))</f>
        <v/>
      </c>
      <c r="H374" s="162">
        <v>1</v>
      </c>
      <c r="I374" s="8">
        <v>100</v>
      </c>
      <c r="J374" s="207" t="str">
        <f>CONCATENATE(LEFT(C374,1),MID(C374,SEARCH("_",C374)+1,2),TEXT(A374,"000"))</f>
        <v>SME128</v>
      </c>
      <c r="K374" s="117"/>
    </row>
    <row r="375" spans="1:11" ht="15" customHeight="1">
      <c r="A375" s="234">
        <v>128</v>
      </c>
      <c r="B375" s="270" t="s">
        <v>406</v>
      </c>
      <c r="C375" s="237" t="s">
        <v>33</v>
      </c>
      <c r="D375" s="238" t="s">
        <v>246</v>
      </c>
      <c r="E375" s="135"/>
      <c r="F375" s="182" t="s">
        <v>95</v>
      </c>
      <c r="G375" s="40" t="str">
        <f>IF(BD!$E375="","",(E375/(H375*I375)))</f>
        <v/>
      </c>
      <c r="H375" s="162">
        <v>1</v>
      </c>
      <c r="I375" s="8">
        <v>100</v>
      </c>
      <c r="J375" s="207" t="str">
        <f>CONCATENATE(LEFT(C375,1),MID(C375,SEARCH("_",C375)+1,2),TEXT(A375,"000"))</f>
        <v>SME128</v>
      </c>
      <c r="K375" s="117"/>
    </row>
    <row r="376" spans="1:11" ht="15" customHeight="1">
      <c r="A376" s="234">
        <v>128</v>
      </c>
      <c r="B376" s="270" t="s">
        <v>407</v>
      </c>
      <c r="C376" s="237" t="s">
        <v>33</v>
      </c>
      <c r="D376" s="238" t="s">
        <v>246</v>
      </c>
      <c r="E376" s="135"/>
      <c r="F376" s="182" t="s">
        <v>95</v>
      </c>
      <c r="G376" s="40" t="str">
        <f>IF(BD!$E376="","",(E376/(H376*I376)))</f>
        <v/>
      </c>
      <c r="H376" s="162">
        <v>1</v>
      </c>
      <c r="I376" s="8">
        <v>100</v>
      </c>
      <c r="J376" s="207" t="str">
        <f>CONCATENATE(LEFT(C376,1),MID(C376,SEARCH("_",C376)+1,2),TEXT(A376,"000"))</f>
        <v>SME128</v>
      </c>
      <c r="K376" s="117"/>
    </row>
    <row r="377" spans="1:11" ht="15" customHeight="1">
      <c r="A377" s="234">
        <v>128</v>
      </c>
      <c r="B377" s="270" t="s">
        <v>408</v>
      </c>
      <c r="C377" s="237" t="s">
        <v>33</v>
      </c>
      <c r="D377" s="238" t="s">
        <v>246</v>
      </c>
      <c r="E377" s="135"/>
      <c r="F377" s="182" t="s">
        <v>95</v>
      </c>
      <c r="G377" s="40" t="str">
        <f>IF(BD!$E377="","",(E377/(H377*I377)))</f>
        <v/>
      </c>
      <c r="H377" s="162">
        <v>1</v>
      </c>
      <c r="I377" s="8">
        <v>100</v>
      </c>
      <c r="J377" s="207" t="str">
        <f>CONCATENATE(LEFT(C377,1),MID(C377,SEARCH("_",C377)+1,2),TEXT(A377,"000"))</f>
        <v>SME128</v>
      </c>
      <c r="K377" s="117"/>
    </row>
    <row r="378" spans="1:11" ht="15" customHeight="1">
      <c r="A378" s="234">
        <v>128</v>
      </c>
      <c r="B378" s="270" t="s">
        <v>409</v>
      </c>
      <c r="C378" s="237" t="s">
        <v>33</v>
      </c>
      <c r="D378" s="238" t="s">
        <v>246</v>
      </c>
      <c r="E378" s="135"/>
      <c r="F378" s="182" t="s">
        <v>95</v>
      </c>
      <c r="G378" s="40" t="str">
        <f>IF(BD!$E378="","",(E378/(H378*I378)))</f>
        <v/>
      </c>
      <c r="H378" s="162">
        <v>1</v>
      </c>
      <c r="I378" s="8">
        <v>100</v>
      </c>
      <c r="J378" s="207" t="str">
        <f>CONCATENATE(LEFT(C378,1),MID(C378,SEARCH("_",C378)+1,2),TEXT(A378,"000"))</f>
        <v>SME128</v>
      </c>
      <c r="K378" s="117"/>
    </row>
    <row r="379" spans="1:11" ht="15" customHeight="1">
      <c r="A379" s="234">
        <v>128</v>
      </c>
      <c r="B379" s="270" t="s">
        <v>410</v>
      </c>
      <c r="C379" s="237" t="s">
        <v>33</v>
      </c>
      <c r="D379" s="238" t="s">
        <v>246</v>
      </c>
      <c r="E379" s="135"/>
      <c r="F379" s="182" t="s">
        <v>95</v>
      </c>
      <c r="G379" s="40" t="str">
        <f>IF(BD!$E379="","",(E379/(H379*I379)))</f>
        <v/>
      </c>
      <c r="H379" s="162">
        <v>1</v>
      </c>
      <c r="I379" s="8">
        <v>100</v>
      </c>
      <c r="J379" s="207" t="str">
        <f>CONCATENATE(LEFT(C379,1),MID(C379,SEARCH("_",C379)+1,2),TEXT(A379,"000"))</f>
        <v>SME128</v>
      </c>
      <c r="K379" s="117"/>
    </row>
    <row r="380" spans="1:11" ht="15" customHeight="1">
      <c r="A380" s="234">
        <v>128</v>
      </c>
      <c r="B380" s="270" t="s">
        <v>411</v>
      </c>
      <c r="C380" s="237" t="s">
        <v>33</v>
      </c>
      <c r="D380" s="238" t="s">
        <v>246</v>
      </c>
      <c r="E380" s="135"/>
      <c r="F380" s="182" t="s">
        <v>95</v>
      </c>
      <c r="G380" s="40" t="str">
        <f>IF(BD!$E380="","",(E380/(H380*I380)))</f>
        <v/>
      </c>
      <c r="H380" s="162">
        <v>1</v>
      </c>
      <c r="I380" s="8">
        <v>100</v>
      </c>
      <c r="J380" s="207" t="str">
        <f>CONCATENATE(LEFT(C380,1),MID(C380,SEARCH("_",C380)+1,2),TEXT(A380,"000"))</f>
        <v>SME128</v>
      </c>
      <c r="K380" s="117"/>
    </row>
    <row r="381" spans="1:11" ht="15" customHeight="1">
      <c r="A381" s="234">
        <v>128</v>
      </c>
      <c r="B381" s="270" t="s">
        <v>412</v>
      </c>
      <c r="C381" s="237" t="s">
        <v>33</v>
      </c>
      <c r="D381" s="238" t="s">
        <v>246</v>
      </c>
      <c r="E381" s="135"/>
      <c r="F381" s="182" t="s">
        <v>95</v>
      </c>
      <c r="G381" s="40" t="str">
        <f>IF(BD!$E381="","",(E381/(H381*I381)))</f>
        <v/>
      </c>
      <c r="H381" s="162">
        <v>1</v>
      </c>
      <c r="I381" s="8">
        <v>100</v>
      </c>
      <c r="J381" s="207" t="str">
        <f>CONCATENATE(LEFT(C381,1),MID(C381,SEARCH("_",C381)+1,2),TEXT(A381,"000"))</f>
        <v>SME128</v>
      </c>
      <c r="K381" s="117"/>
    </row>
    <row r="382" spans="1:11" ht="15" customHeight="1">
      <c r="A382" s="234">
        <v>128</v>
      </c>
      <c r="B382" s="270" t="s">
        <v>413</v>
      </c>
      <c r="C382" s="237" t="s">
        <v>33</v>
      </c>
      <c r="D382" s="238" t="s">
        <v>246</v>
      </c>
      <c r="E382" s="135"/>
      <c r="F382" s="182" t="s">
        <v>95</v>
      </c>
      <c r="G382" s="40" t="str">
        <f>IF(BD!$E382="","",(E382/(H382*I382)))</f>
        <v/>
      </c>
      <c r="H382" s="162">
        <v>1</v>
      </c>
      <c r="I382" s="8">
        <v>100</v>
      </c>
      <c r="J382" s="207" t="str">
        <f>CONCATENATE(LEFT(C382,1),MID(C382,SEARCH("_",C382)+1,2),TEXT(A382,"000"))</f>
        <v>SME128</v>
      </c>
      <c r="K382" s="117"/>
    </row>
    <row r="383" spans="1:11" ht="15" customHeight="1">
      <c r="A383" s="234">
        <v>128</v>
      </c>
      <c r="B383" s="270" t="s">
        <v>414</v>
      </c>
      <c r="C383" s="237" t="s">
        <v>33</v>
      </c>
      <c r="D383" s="238" t="s">
        <v>246</v>
      </c>
      <c r="E383" s="135"/>
      <c r="F383" s="182" t="s">
        <v>95</v>
      </c>
      <c r="G383" s="40" t="str">
        <f>IF(BD!$E383="","",(E383/(H383*I383)))</f>
        <v/>
      </c>
      <c r="H383" s="162">
        <v>1</v>
      </c>
      <c r="I383" s="8">
        <v>100</v>
      </c>
      <c r="J383" s="207" t="str">
        <f>CONCATENATE(LEFT(C383,1),MID(C383,SEARCH("_",C383)+1,2),TEXT(A383,"000"))</f>
        <v>SME128</v>
      </c>
      <c r="K383" s="117"/>
    </row>
    <row r="384" spans="1:11" ht="15" customHeight="1">
      <c r="A384" s="234">
        <v>128</v>
      </c>
      <c r="B384" s="270" t="s">
        <v>415</v>
      </c>
      <c r="C384" s="237" t="s">
        <v>33</v>
      </c>
      <c r="D384" s="238" t="s">
        <v>246</v>
      </c>
      <c r="E384" s="135"/>
      <c r="F384" s="182" t="s">
        <v>95</v>
      </c>
      <c r="G384" s="40" t="str">
        <f>IF(BD!$E384="","",(E384/(H384*I384)))</f>
        <v/>
      </c>
      <c r="H384" s="162">
        <v>1</v>
      </c>
      <c r="I384" s="8">
        <v>100</v>
      </c>
      <c r="J384" s="207" t="str">
        <f>CONCATENATE(LEFT(C384,1),MID(C384,SEARCH("_",C384)+1,2),TEXT(A384,"000"))</f>
        <v>SME128</v>
      </c>
      <c r="K384" s="117"/>
    </row>
    <row r="385" spans="1:11" ht="15" customHeight="1">
      <c r="A385" s="234">
        <v>101</v>
      </c>
      <c r="B385" s="139" t="s">
        <v>416</v>
      </c>
      <c r="C385" s="237" t="s">
        <v>33</v>
      </c>
      <c r="D385" s="238" t="s">
        <v>95</v>
      </c>
      <c r="E385" s="135">
        <v>28.18</v>
      </c>
      <c r="F385" s="182" t="s">
        <v>95</v>
      </c>
      <c r="G385" s="40">
        <f>IF(BD!$E385="","",(E385/(H385*I385)))</f>
        <v>28.18</v>
      </c>
      <c r="H385" s="162">
        <v>1</v>
      </c>
      <c r="I385" s="8">
        <v>1</v>
      </c>
      <c r="J385" s="207" t="str">
        <f>CONCATENATE(LEFT(C385,1),MID(C385,SEARCH("_",C385)+1,2),TEXT(A385,"000"))</f>
        <v>SME101</v>
      </c>
      <c r="K385" s="117"/>
    </row>
    <row r="386" spans="1:11" ht="15" customHeight="1">
      <c r="A386" s="234">
        <v>102</v>
      </c>
      <c r="B386" s="139" t="s">
        <v>417</v>
      </c>
      <c r="C386" s="237" t="s">
        <v>33</v>
      </c>
      <c r="D386" s="238" t="s">
        <v>95</v>
      </c>
      <c r="E386" s="135">
        <v>2700</v>
      </c>
      <c r="F386" s="182" t="s">
        <v>95</v>
      </c>
      <c r="G386" s="40">
        <f>IF(BD!$E386="","",(E386/(H386*I386)))</f>
        <v>27</v>
      </c>
      <c r="H386" s="162">
        <v>100</v>
      </c>
      <c r="I386" s="8">
        <v>1</v>
      </c>
      <c r="J386" s="207" t="str">
        <f>CONCATENATE(LEFT(C386,1),MID(C386,SEARCH("_",C386)+1,2),TEXT(A386,"000"))</f>
        <v>SME102</v>
      </c>
      <c r="K386" s="117"/>
    </row>
    <row r="387" spans="1:11" ht="15" customHeight="1">
      <c r="A387" s="234">
        <v>103</v>
      </c>
      <c r="B387" s="139" t="s">
        <v>418</v>
      </c>
      <c r="C387" s="237" t="s">
        <v>33</v>
      </c>
      <c r="D387" s="238" t="s">
        <v>95</v>
      </c>
      <c r="E387" s="135">
        <v>18.53</v>
      </c>
      <c r="F387" s="182" t="s">
        <v>95</v>
      </c>
      <c r="G387" s="40">
        <f>IF(BD!$E387="","",(E387/(H387*I387)))</f>
        <v>18.53</v>
      </c>
      <c r="H387" s="162">
        <v>1</v>
      </c>
      <c r="I387" s="8">
        <v>1</v>
      </c>
      <c r="J387" s="207" t="str">
        <f>CONCATENATE(LEFT(C387,1),MID(C387,SEARCH("_",C387)+1,2),TEXT(A387,"000"))</f>
        <v>SME103</v>
      </c>
      <c r="K387" s="117"/>
    </row>
    <row r="388" spans="1:11" ht="15" customHeight="1">
      <c r="A388" s="234">
        <v>128</v>
      </c>
      <c r="B388" s="270" t="s">
        <v>419</v>
      </c>
      <c r="C388" s="237" t="s">
        <v>33</v>
      </c>
      <c r="D388" s="238" t="s">
        <v>246</v>
      </c>
      <c r="E388" s="135"/>
      <c r="F388" s="182" t="s">
        <v>95</v>
      </c>
      <c r="G388" s="40" t="str">
        <f>IF(BD!$E388="","",(E388/(H388*I388)))</f>
        <v/>
      </c>
      <c r="H388" s="162">
        <v>1</v>
      </c>
      <c r="I388" s="8">
        <v>100</v>
      </c>
      <c r="J388" s="207" t="str">
        <f>CONCATENATE(LEFT(C388,1),MID(C388,SEARCH("_",C388)+1,2),TEXT(A388,"000"))</f>
        <v>SME128</v>
      </c>
      <c r="K388" s="117"/>
    </row>
    <row r="389" spans="1:11" ht="15" customHeight="1">
      <c r="A389" s="234">
        <v>104</v>
      </c>
      <c r="B389" s="139" t="s">
        <v>420</v>
      </c>
      <c r="C389" s="237" t="s">
        <v>33</v>
      </c>
      <c r="D389" s="238" t="s">
        <v>246</v>
      </c>
      <c r="E389" s="135">
        <v>1800</v>
      </c>
      <c r="F389" s="182" t="s">
        <v>95</v>
      </c>
      <c r="G389" s="40">
        <f>IF(BD!$E389="","",(E389/(H389*I389)))</f>
        <v>18</v>
      </c>
      <c r="H389" s="162">
        <v>100</v>
      </c>
      <c r="I389" s="8">
        <v>1</v>
      </c>
      <c r="J389" s="207" t="str">
        <f>CONCATENATE(LEFT(C389,1),MID(C389,SEARCH("_",C389)+1,2),TEXT(A389,"000"))</f>
        <v>SME104</v>
      </c>
      <c r="K389" s="117"/>
    </row>
    <row r="390" spans="1:11" ht="15" customHeight="1">
      <c r="A390" s="234">
        <v>105</v>
      </c>
      <c r="B390" s="139" t="s">
        <v>421</v>
      </c>
      <c r="C390" s="237" t="s">
        <v>33</v>
      </c>
      <c r="D390" s="238" t="s">
        <v>246</v>
      </c>
      <c r="E390" s="135">
        <v>1057</v>
      </c>
      <c r="F390" s="182" t="s">
        <v>246</v>
      </c>
      <c r="G390" s="40">
        <f>IF(BD!$E390="","",(E390/(H390*I390)))</f>
        <v>1057</v>
      </c>
      <c r="H390" s="162">
        <v>1</v>
      </c>
      <c r="I390" s="8">
        <v>1</v>
      </c>
      <c r="J390" s="207" t="str">
        <f>CONCATENATE(LEFT(C390,1),MID(C390,SEARCH("_",C390)+1,2),TEXT(A390,"000"))</f>
        <v>SME105</v>
      </c>
      <c r="K390" s="117"/>
    </row>
    <row r="391" spans="1:11" ht="15" customHeight="1">
      <c r="A391" s="234">
        <v>106</v>
      </c>
      <c r="B391" s="139" t="s">
        <v>422</v>
      </c>
      <c r="C391" s="237" t="s">
        <v>33</v>
      </c>
      <c r="D391" s="238" t="s">
        <v>95</v>
      </c>
      <c r="E391" s="135">
        <v>18.53</v>
      </c>
      <c r="F391" s="182" t="s">
        <v>95</v>
      </c>
      <c r="G391" s="40">
        <f>IF(BD!$E391="","",(E391/(H391*I391)))</f>
        <v>18.53</v>
      </c>
      <c r="H391" s="162">
        <v>1</v>
      </c>
      <c r="I391" s="8">
        <v>1</v>
      </c>
      <c r="J391" s="207" t="str">
        <f>CONCATENATE(LEFT(C391,1),MID(C391,SEARCH("_",C391)+1,2),TEXT(A391,"000"))</f>
        <v>SME106</v>
      </c>
      <c r="K391" s="117"/>
    </row>
    <row r="392" spans="1:11" ht="15" customHeight="1">
      <c r="A392" s="234">
        <v>107</v>
      </c>
      <c r="B392" s="139" t="s">
        <v>423</v>
      </c>
      <c r="C392" s="237" t="s">
        <v>33</v>
      </c>
      <c r="D392" s="238" t="s">
        <v>95</v>
      </c>
      <c r="E392" s="135">
        <v>22.8</v>
      </c>
      <c r="F392" s="182" t="s">
        <v>95</v>
      </c>
      <c r="G392" s="40">
        <f>IF(BD!$E392="","",(E392/(H392*I392)))</f>
        <v>22.8</v>
      </c>
      <c r="H392" s="162">
        <v>1</v>
      </c>
      <c r="I392" s="8">
        <v>1</v>
      </c>
      <c r="J392" s="207" t="str">
        <f>CONCATENATE(LEFT(C392,1),MID(C392,SEARCH("_",C392)+1,2),TEXT(A392,"000"))</f>
        <v>SME107</v>
      </c>
      <c r="K392" s="117"/>
    </row>
    <row r="393" spans="1:11" ht="15" customHeight="1">
      <c r="A393" s="234">
        <v>108</v>
      </c>
      <c r="B393" s="139" t="s">
        <v>424</v>
      </c>
      <c r="C393" s="237" t="s">
        <v>33</v>
      </c>
      <c r="D393" s="238" t="s">
        <v>95</v>
      </c>
      <c r="E393" s="135">
        <v>22.8</v>
      </c>
      <c r="F393" s="182" t="s">
        <v>95</v>
      </c>
      <c r="G393" s="40">
        <f>IF(BD!$E393="","",(E393/(H393*I393)))</f>
        <v>22.8</v>
      </c>
      <c r="H393" s="162">
        <v>1</v>
      </c>
      <c r="I393" s="8">
        <v>1</v>
      </c>
      <c r="J393" s="207" t="str">
        <f>CONCATENATE(LEFT(C393,1),MID(C393,SEARCH("_",C393)+1,2),TEXT(A393,"000"))</f>
        <v>SME108</v>
      </c>
      <c r="K393" s="117"/>
    </row>
    <row r="394" spans="1:11" ht="15" customHeight="1">
      <c r="A394" s="234">
        <v>109</v>
      </c>
      <c r="B394" s="139" t="s">
        <v>425</v>
      </c>
      <c r="C394" s="237" t="s">
        <v>33</v>
      </c>
      <c r="D394" s="238" t="s">
        <v>95</v>
      </c>
      <c r="E394" s="135">
        <v>14.73</v>
      </c>
      <c r="F394" s="182" t="s">
        <v>95</v>
      </c>
      <c r="G394" s="40">
        <f>IF(BD!$E394="","",(E394/(H394*I394)))</f>
        <v>14.73</v>
      </c>
      <c r="H394" s="162">
        <v>1</v>
      </c>
      <c r="I394" s="8">
        <v>1</v>
      </c>
      <c r="J394" s="207" t="str">
        <f>CONCATENATE(LEFT(C394,1),MID(C394,SEARCH("_",C394)+1,2),TEXT(A394,"000"))</f>
        <v>SME109</v>
      </c>
      <c r="K394" s="117"/>
    </row>
    <row r="395" spans="1:11" ht="15" customHeight="1">
      <c r="A395" s="234">
        <v>110</v>
      </c>
      <c r="B395" s="139" t="s">
        <v>426</v>
      </c>
      <c r="C395" s="237" t="s">
        <v>33</v>
      </c>
      <c r="D395" s="238" t="s">
        <v>95</v>
      </c>
      <c r="E395" s="135">
        <v>14.73</v>
      </c>
      <c r="F395" s="182" t="s">
        <v>95</v>
      </c>
      <c r="G395" s="40">
        <f>IF(BD!$E395="","",(E395/(H395*I395)))</f>
        <v>14.73</v>
      </c>
      <c r="H395" s="162">
        <v>1</v>
      </c>
      <c r="I395" s="8">
        <v>1</v>
      </c>
      <c r="J395" s="207" t="str">
        <f>CONCATENATE(LEFT(C395,1),MID(C395,SEARCH("_",C395)+1,2),TEXT(A395,"000"))</f>
        <v>SME110</v>
      </c>
      <c r="K395" s="117"/>
    </row>
    <row r="396" spans="1:11" ht="15" customHeight="1">
      <c r="A396" s="234">
        <v>128</v>
      </c>
      <c r="B396" s="270" t="s">
        <v>427</v>
      </c>
      <c r="C396" s="237" t="s">
        <v>33</v>
      </c>
      <c r="D396" s="238" t="s">
        <v>246</v>
      </c>
      <c r="E396" s="135"/>
      <c r="F396" s="182" t="s">
        <v>95</v>
      </c>
      <c r="G396" s="40" t="str">
        <f>IF(BD!$E396="","",(E396/(H396*I396)))</f>
        <v/>
      </c>
      <c r="H396" s="162">
        <v>1</v>
      </c>
      <c r="I396" s="8">
        <v>100</v>
      </c>
      <c r="J396" s="207" t="str">
        <f>CONCATENATE(LEFT(C396,1),MID(C396,SEARCH("_",C396)+1,2),TEXT(A396,"000"))</f>
        <v>SME128</v>
      </c>
      <c r="K396" s="117"/>
    </row>
    <row r="397" spans="1:11" ht="15" customHeight="1">
      <c r="A397" s="234">
        <v>128</v>
      </c>
      <c r="B397" s="270" t="s">
        <v>428</v>
      </c>
      <c r="C397" s="237" t="s">
        <v>33</v>
      </c>
      <c r="D397" s="238" t="s">
        <v>246</v>
      </c>
      <c r="E397" s="135"/>
      <c r="F397" s="182" t="s">
        <v>95</v>
      </c>
      <c r="G397" s="40" t="str">
        <f>IF(BD!$E397="","",(E397/(H397*I397)))</f>
        <v/>
      </c>
      <c r="H397" s="162">
        <v>1</v>
      </c>
      <c r="I397" s="8">
        <v>100</v>
      </c>
      <c r="J397" s="207" t="str">
        <f>CONCATENATE(LEFT(C397,1),MID(C397,SEARCH("_",C397)+1,2),TEXT(A397,"000"))</f>
        <v>SME128</v>
      </c>
      <c r="K397" s="117"/>
    </row>
    <row r="398" spans="1:11" ht="15" customHeight="1">
      <c r="A398" s="234">
        <v>128</v>
      </c>
      <c r="B398" s="270" t="s">
        <v>429</v>
      </c>
      <c r="C398" s="237" t="s">
        <v>33</v>
      </c>
      <c r="D398" s="238" t="s">
        <v>246</v>
      </c>
      <c r="E398" s="135"/>
      <c r="F398" s="182" t="s">
        <v>95</v>
      </c>
      <c r="G398" s="40" t="str">
        <f>IF(BD!$E398="","",(E398/(H398*I398)))</f>
        <v/>
      </c>
      <c r="H398" s="162">
        <v>1</v>
      </c>
      <c r="I398" s="8">
        <v>100</v>
      </c>
      <c r="J398" s="207" t="str">
        <f>CONCATENATE(LEFT(C398,1),MID(C398,SEARCH("_",C398)+1,2),TEXT(A398,"000"))</f>
        <v>SME128</v>
      </c>
      <c r="K398" s="117"/>
    </row>
    <row r="399" spans="1:11" ht="15" customHeight="1">
      <c r="A399" s="234">
        <v>128</v>
      </c>
      <c r="B399" s="270" t="s">
        <v>430</v>
      </c>
      <c r="C399" s="237" t="s">
        <v>33</v>
      </c>
      <c r="D399" s="238" t="s">
        <v>246</v>
      </c>
      <c r="E399" s="135"/>
      <c r="F399" s="182" t="s">
        <v>95</v>
      </c>
      <c r="G399" s="40" t="str">
        <f>IF(BD!$E399="","",(E399/(H399*I399)))</f>
        <v/>
      </c>
      <c r="H399" s="162">
        <v>1</v>
      </c>
      <c r="I399" s="8">
        <v>100</v>
      </c>
      <c r="J399" s="207" t="str">
        <f>CONCATENATE(LEFT(C399,1),MID(C399,SEARCH("_",C399)+1,2),TEXT(A399,"000"))</f>
        <v>SME128</v>
      </c>
      <c r="K399" s="117"/>
    </row>
    <row r="400" spans="1:11" ht="15" customHeight="1">
      <c r="A400" s="234">
        <v>128</v>
      </c>
      <c r="B400" s="270" t="s">
        <v>431</v>
      </c>
      <c r="C400" s="237" t="s">
        <v>33</v>
      </c>
      <c r="D400" s="238" t="s">
        <v>246</v>
      </c>
      <c r="E400" s="135"/>
      <c r="F400" s="182" t="s">
        <v>95</v>
      </c>
      <c r="G400" s="40" t="str">
        <f>IF(BD!$E400="","",(E400/(H400*I400)))</f>
        <v/>
      </c>
      <c r="H400" s="162">
        <v>1</v>
      </c>
      <c r="I400" s="8">
        <v>100</v>
      </c>
      <c r="J400" s="207" t="str">
        <f>CONCATENATE(LEFT(C400,1),MID(C400,SEARCH("_",C400)+1,2),TEXT(A400,"000"))</f>
        <v>SME128</v>
      </c>
      <c r="K400" s="117"/>
    </row>
    <row r="401" spans="1:11" ht="15" customHeight="1">
      <c r="A401" s="234">
        <v>128</v>
      </c>
      <c r="B401" s="270" t="s">
        <v>432</v>
      </c>
      <c r="C401" s="237" t="s">
        <v>33</v>
      </c>
      <c r="D401" s="238" t="s">
        <v>246</v>
      </c>
      <c r="E401" s="135"/>
      <c r="F401" s="182" t="s">
        <v>95</v>
      </c>
      <c r="G401" s="40" t="str">
        <f>IF(BD!$E401="","",(E401/(H401*I401)))</f>
        <v/>
      </c>
      <c r="H401" s="162">
        <v>1</v>
      </c>
      <c r="I401" s="8">
        <v>100</v>
      </c>
      <c r="J401" s="207" t="str">
        <f>CONCATENATE(LEFT(C401,1),MID(C401,SEARCH("_",C401)+1,2),TEXT(A401,"000"))</f>
        <v>SME128</v>
      </c>
      <c r="K401" s="117"/>
    </row>
    <row r="402" spans="1:11" ht="15" customHeight="1">
      <c r="A402" s="234">
        <v>128</v>
      </c>
      <c r="B402" s="270" t="s">
        <v>433</v>
      </c>
      <c r="C402" s="237" t="s">
        <v>33</v>
      </c>
      <c r="D402" s="238" t="s">
        <v>246</v>
      </c>
      <c r="E402" s="135"/>
      <c r="F402" s="182" t="s">
        <v>95</v>
      </c>
      <c r="G402" s="40" t="str">
        <f>IF(BD!$E402="","",(E402/(H402*I402)))</f>
        <v/>
      </c>
      <c r="H402" s="162">
        <v>1</v>
      </c>
      <c r="I402" s="8">
        <v>100</v>
      </c>
      <c r="J402" s="207" t="str">
        <f>CONCATENATE(LEFT(C402,1),MID(C402,SEARCH("_",C402)+1,2),TEXT(A402,"000"))</f>
        <v>SME128</v>
      </c>
      <c r="K402" s="117"/>
    </row>
    <row r="403" spans="1:11" ht="15" customHeight="1">
      <c r="A403" s="234">
        <v>128</v>
      </c>
      <c r="B403" s="270" t="s">
        <v>434</v>
      </c>
      <c r="C403" s="237" t="s">
        <v>33</v>
      </c>
      <c r="D403" s="238" t="s">
        <v>246</v>
      </c>
      <c r="E403" s="135"/>
      <c r="F403" s="182" t="s">
        <v>95</v>
      </c>
      <c r="G403" s="40" t="str">
        <f>IF(BD!$E403="","",(E403/(H403*I403)))</f>
        <v/>
      </c>
      <c r="H403" s="162">
        <v>1</v>
      </c>
      <c r="I403" s="8">
        <v>100</v>
      </c>
      <c r="J403" s="207" t="str">
        <f>CONCATENATE(LEFT(C403,1),MID(C403,SEARCH("_",C403)+1,2),TEXT(A403,"000"))</f>
        <v>SME128</v>
      </c>
      <c r="K403" s="117"/>
    </row>
    <row r="404" spans="1:11" ht="15" customHeight="1">
      <c r="A404" s="234">
        <v>128</v>
      </c>
      <c r="B404" s="270" t="s">
        <v>435</v>
      </c>
      <c r="C404" s="237" t="s">
        <v>33</v>
      </c>
      <c r="D404" s="238" t="s">
        <v>246</v>
      </c>
      <c r="E404" s="135"/>
      <c r="F404" s="182" t="s">
        <v>95</v>
      </c>
      <c r="G404" s="40" t="str">
        <f>IF(BD!$E404="","",(E404/(H404*I404)))</f>
        <v/>
      </c>
      <c r="H404" s="162">
        <v>1</v>
      </c>
      <c r="I404" s="8">
        <v>100</v>
      </c>
      <c r="J404" s="207" t="str">
        <f>CONCATENATE(LEFT(C404,1),MID(C404,SEARCH("_",C404)+1,2),TEXT(A404,"000"))</f>
        <v>SME128</v>
      </c>
      <c r="K404" s="117"/>
    </row>
    <row r="405" spans="1:11" ht="15" customHeight="1">
      <c r="A405" s="234">
        <v>128</v>
      </c>
      <c r="B405" s="270" t="s">
        <v>436</v>
      </c>
      <c r="C405" s="237" t="s">
        <v>33</v>
      </c>
      <c r="D405" s="238" t="s">
        <v>246</v>
      </c>
      <c r="E405" s="135"/>
      <c r="F405" s="182" t="s">
        <v>95</v>
      </c>
      <c r="G405" s="40" t="str">
        <f>IF(BD!$E405="","",(E405/(H405*I405)))</f>
        <v/>
      </c>
      <c r="H405" s="162">
        <v>1</v>
      </c>
      <c r="I405" s="8">
        <v>100</v>
      </c>
      <c r="J405" s="207" t="str">
        <f>CONCATENATE(LEFT(C405,1),MID(C405,SEARCH("_",C405)+1,2),TEXT(A405,"000"))</f>
        <v>SME128</v>
      </c>
      <c r="K405" s="117"/>
    </row>
    <row r="406" spans="1:11" ht="15" customHeight="1">
      <c r="A406" s="234">
        <v>128</v>
      </c>
      <c r="B406" s="270" t="s">
        <v>437</v>
      </c>
      <c r="C406" s="237" t="s">
        <v>33</v>
      </c>
      <c r="D406" s="238" t="s">
        <v>246</v>
      </c>
      <c r="E406" s="135"/>
      <c r="F406" s="182" t="s">
        <v>95</v>
      </c>
      <c r="G406" s="40" t="str">
        <f>IF(BD!$E406="","",(E406/(H406*I406)))</f>
        <v/>
      </c>
      <c r="H406" s="162">
        <v>1</v>
      </c>
      <c r="I406" s="8">
        <v>100</v>
      </c>
      <c r="J406" s="207" t="str">
        <f>CONCATENATE(LEFT(C406,1),MID(C406,SEARCH("_",C406)+1,2),TEXT(A406,"000"))</f>
        <v>SME128</v>
      </c>
      <c r="K406" s="117"/>
    </row>
    <row r="407" spans="1:11" ht="15" customHeight="1">
      <c r="A407" s="234">
        <v>128</v>
      </c>
      <c r="B407" s="270" t="s">
        <v>438</v>
      </c>
      <c r="C407" s="237" t="s">
        <v>33</v>
      </c>
      <c r="D407" s="238" t="s">
        <v>246</v>
      </c>
      <c r="E407" s="135"/>
      <c r="F407" s="182" t="s">
        <v>95</v>
      </c>
      <c r="G407" s="40" t="str">
        <f>IF(BD!$E407="","",(E407/(H407*I407)))</f>
        <v/>
      </c>
      <c r="H407" s="162">
        <v>1</v>
      </c>
      <c r="I407" s="8">
        <v>100</v>
      </c>
      <c r="J407" s="207" t="str">
        <f>CONCATENATE(LEFT(C407,1),MID(C407,SEARCH("_",C407)+1,2),TEXT(A407,"000"))</f>
        <v>SME128</v>
      </c>
      <c r="K407" s="117"/>
    </row>
    <row r="408" spans="1:11" ht="15" customHeight="1">
      <c r="A408" s="234">
        <v>128</v>
      </c>
      <c r="B408" s="270" t="s">
        <v>439</v>
      </c>
      <c r="C408" s="237" t="s">
        <v>33</v>
      </c>
      <c r="D408" s="238" t="s">
        <v>246</v>
      </c>
      <c r="E408" s="135"/>
      <c r="F408" s="182" t="s">
        <v>95</v>
      </c>
      <c r="G408" s="40" t="str">
        <f>IF(BD!$E408="","",(E408/(H408*I408)))</f>
        <v/>
      </c>
      <c r="H408" s="162">
        <v>1</v>
      </c>
      <c r="I408" s="8">
        <v>100</v>
      </c>
      <c r="J408" s="207" t="str">
        <f>CONCATENATE(LEFT(C408,1),MID(C408,SEARCH("_",C408)+1,2),TEXT(A408,"000"))</f>
        <v>SME128</v>
      </c>
      <c r="K408" s="117"/>
    </row>
    <row r="409" spans="1:11" ht="15" customHeight="1">
      <c r="A409" s="234">
        <v>111</v>
      </c>
      <c r="B409" s="139" t="s">
        <v>440</v>
      </c>
      <c r="C409" s="237" t="s">
        <v>33</v>
      </c>
      <c r="D409" s="238" t="s">
        <v>246</v>
      </c>
      <c r="E409" s="135">
        <v>819.99999999999989</v>
      </c>
      <c r="F409" s="182" t="s">
        <v>246</v>
      </c>
      <c r="G409" s="40">
        <f>IF(BD!$E409="","",(E409/(H409*I409)))</f>
        <v>819.99999999999989</v>
      </c>
      <c r="H409" s="162">
        <v>1</v>
      </c>
      <c r="I409" s="8">
        <v>1</v>
      </c>
      <c r="J409" s="207" t="str">
        <f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441</v>
      </c>
      <c r="C410" s="237" t="s">
        <v>33</v>
      </c>
      <c r="D410" s="238" t="s">
        <v>246</v>
      </c>
      <c r="E410" s="135">
        <v>1170</v>
      </c>
      <c r="F410" s="182" t="s">
        <v>246</v>
      </c>
      <c r="G410" s="40">
        <f>IF(BD!$E410="","",(E410/(H410*I410)))</f>
        <v>1170</v>
      </c>
      <c r="H410" s="162">
        <v>1</v>
      </c>
      <c r="I410" s="8">
        <v>1</v>
      </c>
      <c r="J410" s="207" t="str">
        <f>CONCATENATE(LEFT(C410,1),MID(C410,SEARCH("_",C410)+1,2),TEXT(A410,"000"))</f>
        <v>SME112</v>
      </c>
      <c r="K410" s="117"/>
    </row>
    <row r="411" spans="1:11" ht="15" customHeight="1">
      <c r="A411" s="234">
        <v>113</v>
      </c>
      <c r="B411" s="139" t="s">
        <v>442</v>
      </c>
      <c r="C411" s="237" t="s">
        <v>33</v>
      </c>
      <c r="D411" s="238" t="s">
        <v>246</v>
      </c>
      <c r="E411" s="135">
        <v>8000</v>
      </c>
      <c r="F411" s="182" t="s">
        <v>262</v>
      </c>
      <c r="G411" s="40">
        <f>IF(BD!$E411="","",(E411/(H411*I411)))</f>
        <v>0.8</v>
      </c>
      <c r="H411" s="162">
        <v>100</v>
      </c>
      <c r="I411" s="8">
        <v>100</v>
      </c>
      <c r="J411" s="207" t="str">
        <f>CONCATENATE(LEFT(C411,1),MID(C411,SEARCH("_",C411)+1,2),TEXT(A411,"000"))</f>
        <v>SME113</v>
      </c>
      <c r="K411" s="117"/>
    </row>
    <row r="412" spans="1:11" ht="15" customHeight="1">
      <c r="A412" s="234">
        <v>114</v>
      </c>
      <c r="B412" s="139" t="s">
        <v>443</v>
      </c>
      <c r="C412" s="237" t="s">
        <v>33</v>
      </c>
      <c r="D412" s="238" t="s">
        <v>246</v>
      </c>
      <c r="E412" s="135">
        <v>11000</v>
      </c>
      <c r="F412" s="182" t="s">
        <v>262</v>
      </c>
      <c r="G412" s="40">
        <f>IF(BD!$E412="","",(E412/(H412*I412)))</f>
        <v>0.7857142857142857</v>
      </c>
      <c r="H412" s="162">
        <v>140</v>
      </c>
      <c r="I412" s="8">
        <v>100</v>
      </c>
      <c r="J412" s="207" t="str">
        <f>CONCATENATE(LEFT(C412,1),MID(C412,SEARCH("_",C412)+1,2),TEXT(A412,"000"))</f>
        <v>SME114</v>
      </c>
      <c r="K412" s="117"/>
    </row>
    <row r="413" spans="1:11" ht="15" customHeight="1">
      <c r="A413" s="234">
        <v>115</v>
      </c>
      <c r="B413" s="139" t="s">
        <v>444</v>
      </c>
      <c r="C413" s="237" t="s">
        <v>33</v>
      </c>
      <c r="D413" s="238" t="s">
        <v>246</v>
      </c>
      <c r="E413" s="135">
        <v>10858</v>
      </c>
      <c r="F413" s="182" t="s">
        <v>262</v>
      </c>
      <c r="G413" s="40">
        <f>IF(BD!$E413="","",(E413/(H413*I413)))</f>
        <v>0.77557142857142858</v>
      </c>
      <c r="H413" s="162">
        <v>140</v>
      </c>
      <c r="I413" s="8">
        <v>100</v>
      </c>
      <c r="J413" s="207" t="str">
        <f>CONCATENATE(LEFT(C413,1),MID(C413,SEARCH("_",C413)+1,2),TEXT(A413,"000"))</f>
        <v>SME115</v>
      </c>
      <c r="K413" s="117"/>
    </row>
    <row r="414" spans="1:11" ht="15" customHeight="1">
      <c r="A414" s="234">
        <v>116</v>
      </c>
      <c r="B414" s="139" t="s">
        <v>41</v>
      </c>
      <c r="C414" s="237" t="s">
        <v>33</v>
      </c>
      <c r="D414" s="238" t="s">
        <v>246</v>
      </c>
      <c r="E414" s="135">
        <v>13999.16</v>
      </c>
      <c r="F414" s="182" t="s">
        <v>246</v>
      </c>
      <c r="G414" s="40">
        <f>IF(BD!$E414="","",(E414/(H414*I414)))</f>
        <v>13999.16</v>
      </c>
      <c r="H414" s="162">
        <v>1</v>
      </c>
      <c r="I414" s="8">
        <v>1</v>
      </c>
      <c r="J414" s="207" t="str">
        <f>CONCATENATE(LEFT(C414,1),MID(C414,SEARCH("_",C414)+1,2),TEXT(A414,"000"))</f>
        <v>SME116</v>
      </c>
      <c r="K414" s="117"/>
    </row>
    <row r="415" spans="1:11" ht="15" customHeight="1">
      <c r="A415" s="234">
        <v>117</v>
      </c>
      <c r="B415" s="139" t="s">
        <v>445</v>
      </c>
      <c r="C415" s="237" t="s">
        <v>33</v>
      </c>
      <c r="D415" s="238" t="s">
        <v>248</v>
      </c>
      <c r="E415" s="135"/>
      <c r="F415" s="182" t="s">
        <v>95</v>
      </c>
      <c r="G415" s="40" t="str">
        <f>IF(BD!$E415="","",(E415/(H415*I415)))</f>
        <v/>
      </c>
      <c r="H415" s="162">
        <v>1</v>
      </c>
      <c r="I415" s="8">
        <v>1</v>
      </c>
      <c r="J415" s="207" t="str">
        <f>CONCATENATE(LEFT(C415,1),MID(C415,SEARCH("_",C415)+1,2),TEXT(A415,"000"))</f>
        <v>SME117</v>
      </c>
      <c r="K415" s="117"/>
    </row>
    <row r="416" spans="1:11" ht="15" customHeight="1">
      <c r="A416" s="234">
        <v>128</v>
      </c>
      <c r="B416" s="270" t="s">
        <v>446</v>
      </c>
      <c r="C416" s="237" t="s">
        <v>33</v>
      </c>
      <c r="D416" s="238" t="s">
        <v>246</v>
      </c>
      <c r="E416" s="135"/>
      <c r="F416" s="182" t="s">
        <v>95</v>
      </c>
      <c r="G416" s="40" t="str">
        <f>IF(BD!$E416="","",(E416/(H416*I416)))</f>
        <v/>
      </c>
      <c r="H416" s="162">
        <v>1</v>
      </c>
      <c r="I416" s="8">
        <v>100</v>
      </c>
      <c r="J416" s="207" t="str">
        <f>CONCATENATE(LEFT(C416,1),MID(C416,SEARCH("_",C416)+1,2),TEXT(A416,"000"))</f>
        <v>SME128</v>
      </c>
      <c r="K416" s="117"/>
    </row>
    <row r="417" spans="1:11" ht="15" customHeight="1">
      <c r="A417" s="234">
        <v>128</v>
      </c>
      <c r="B417" s="270" t="s">
        <v>447</v>
      </c>
      <c r="C417" s="237" t="s">
        <v>33</v>
      </c>
      <c r="D417" s="238" t="s">
        <v>246</v>
      </c>
      <c r="E417" s="135"/>
      <c r="F417" s="182" t="s">
        <v>95</v>
      </c>
      <c r="G417" s="40" t="str">
        <f>IF(BD!$E417="","",(E417/(H417*I417)))</f>
        <v/>
      </c>
      <c r="H417" s="162">
        <v>1</v>
      </c>
      <c r="I417" s="8">
        <v>100</v>
      </c>
      <c r="J417" s="207" t="str">
        <f>CONCATENATE(LEFT(C417,1),MID(C417,SEARCH("_",C417)+1,2),TEXT(A417,"000"))</f>
        <v>SME128</v>
      </c>
      <c r="K417" s="117"/>
    </row>
    <row r="418" spans="1:11" ht="15" customHeight="1">
      <c r="A418" s="234">
        <v>128</v>
      </c>
      <c r="B418" s="270" t="s">
        <v>448</v>
      </c>
      <c r="C418" s="237" t="s">
        <v>33</v>
      </c>
      <c r="D418" s="238" t="s">
        <v>246</v>
      </c>
      <c r="E418" s="135"/>
      <c r="F418" s="182" t="s">
        <v>95</v>
      </c>
      <c r="G418" s="40" t="str">
        <f>IF(BD!$E418="","",(E418/(H418*I418)))</f>
        <v/>
      </c>
      <c r="H418" s="162">
        <v>1</v>
      </c>
      <c r="I418" s="8">
        <v>100</v>
      </c>
      <c r="J418" s="207" t="str">
        <f>CONCATENATE(LEFT(C418,1),MID(C418,SEARCH("_",C418)+1,2),TEXT(A418,"000"))</f>
        <v>SME128</v>
      </c>
      <c r="K418" s="117"/>
    </row>
    <row r="419" spans="1:11" ht="15" customHeight="1">
      <c r="A419" s="234">
        <v>118</v>
      </c>
      <c r="B419" s="139" t="s">
        <v>449</v>
      </c>
      <c r="C419" s="237" t="s">
        <v>33</v>
      </c>
      <c r="D419" s="238" t="s">
        <v>262</v>
      </c>
      <c r="E419" s="135"/>
      <c r="F419" s="182" t="s">
        <v>262</v>
      </c>
      <c r="G419" s="40" t="str">
        <f>IF(BD!$E419="","",(E419/(H419*I419)))</f>
        <v/>
      </c>
      <c r="H419" s="162">
        <v>100</v>
      </c>
      <c r="I419" s="8">
        <v>100</v>
      </c>
      <c r="J419" s="207" t="str">
        <f>CONCATENATE(LEFT(C419,1),MID(C419,SEARCH("_",C419)+1,2),TEXT(A419,"000"))</f>
        <v>SME118</v>
      </c>
      <c r="K419" s="117"/>
    </row>
    <row r="420" spans="1:11" ht="15" customHeight="1">
      <c r="A420" s="234">
        <v>119</v>
      </c>
      <c r="B420" s="139" t="s">
        <v>450</v>
      </c>
      <c r="C420" s="237" t="s">
        <v>33</v>
      </c>
      <c r="D420" s="238" t="s">
        <v>262</v>
      </c>
      <c r="E420" s="135"/>
      <c r="F420" s="182" t="s">
        <v>262</v>
      </c>
      <c r="G420" s="40" t="str">
        <f>IF(BD!$E420="","",(E420/(H420*I420)))</f>
        <v/>
      </c>
      <c r="H420" s="162">
        <v>100</v>
      </c>
      <c r="I420" s="8">
        <v>100</v>
      </c>
      <c r="J420" s="207" t="str">
        <f>CONCATENATE(LEFT(C420,1),MID(C420,SEARCH("_",C420)+1,2),TEXT(A420,"000"))</f>
        <v>SME119</v>
      </c>
      <c r="K420" s="117"/>
    </row>
    <row r="421" spans="1:11" ht="15" customHeight="1">
      <c r="A421" s="234">
        <v>120</v>
      </c>
      <c r="B421" s="139" t="s">
        <v>451</v>
      </c>
      <c r="C421" s="237" t="s">
        <v>33</v>
      </c>
      <c r="D421" s="238" t="s">
        <v>452</v>
      </c>
      <c r="E421" s="135"/>
      <c r="F421" s="182" t="s">
        <v>452</v>
      </c>
      <c r="G421" s="40" t="str">
        <f>IF(BD!$E421="","",(E421/(H421*I421)))</f>
        <v/>
      </c>
      <c r="H421" s="162">
        <v>1</v>
      </c>
      <c r="I421" s="8">
        <v>1</v>
      </c>
      <c r="J421" s="207" t="str">
        <f>CONCATENATE(LEFT(C421,1),MID(C421,SEARCH("_",C421)+1,2),TEXT(A421,"000"))</f>
        <v>SME120</v>
      </c>
      <c r="K421" s="117"/>
    </row>
    <row r="422" spans="1:11" ht="15" customHeight="1">
      <c r="A422" s="234">
        <v>121</v>
      </c>
      <c r="B422" s="139" t="s">
        <v>453</v>
      </c>
      <c r="C422" s="237" t="s">
        <v>33</v>
      </c>
      <c r="D422" s="238" t="s">
        <v>224</v>
      </c>
      <c r="E422" s="135">
        <v>4776.666666666667</v>
      </c>
      <c r="F422" s="182" t="s">
        <v>118</v>
      </c>
      <c r="G422" s="40">
        <f>IF(BD!$E422="","",(E422/(H422*I422)))</f>
        <v>4776.666666666667</v>
      </c>
      <c r="H422" s="162">
        <v>1</v>
      </c>
      <c r="I422" s="8">
        <v>1</v>
      </c>
      <c r="J422" s="207" t="str">
        <f>CONCATENATE(LEFT(C422,1),MID(C422,SEARCH("_",C422)+1,2),TEXT(A422,"000"))</f>
        <v>SME121</v>
      </c>
      <c r="K422" s="117"/>
    </row>
    <row r="423" spans="1:11" ht="15" customHeight="1">
      <c r="A423" s="234">
        <v>122</v>
      </c>
      <c r="B423" s="139" t="s">
        <v>454</v>
      </c>
      <c r="C423" s="237" t="s">
        <v>33</v>
      </c>
      <c r="D423" s="238" t="s">
        <v>246</v>
      </c>
      <c r="E423" s="135">
        <v>1035.3</v>
      </c>
      <c r="F423" s="182" t="s">
        <v>246</v>
      </c>
      <c r="G423" s="40">
        <f>IF(BD!$E423="","",(E423/(H423*I423)))</f>
        <v>1035.3</v>
      </c>
      <c r="H423" s="162">
        <v>1</v>
      </c>
      <c r="I423" s="8">
        <v>1</v>
      </c>
      <c r="J423" s="207" t="str">
        <f>CONCATENATE(LEFT(C423,1),MID(C423,SEARCH("_",C423)+1,2),TEXT(A423,"000"))</f>
        <v>SME122</v>
      </c>
      <c r="K423" s="117"/>
    </row>
    <row r="424" spans="1:11" ht="15" customHeight="1">
      <c r="A424" s="234">
        <v>128</v>
      </c>
      <c r="B424" s="270" t="s">
        <v>455</v>
      </c>
      <c r="C424" s="237" t="s">
        <v>33</v>
      </c>
      <c r="D424" s="238" t="s">
        <v>246</v>
      </c>
      <c r="E424" s="135"/>
      <c r="F424" s="182" t="s">
        <v>95</v>
      </c>
      <c r="G424" s="40" t="str">
        <f>IF(BD!$E424="","",(E424/(H424*I424)))</f>
        <v/>
      </c>
      <c r="H424" s="162">
        <v>1</v>
      </c>
      <c r="I424" s="8">
        <v>100</v>
      </c>
      <c r="J424" s="207" t="str">
        <f>CONCATENATE(LEFT(C424,1),MID(C424,SEARCH("_",C424)+1,2),TEXT(A424,"000"))</f>
        <v>SME128</v>
      </c>
      <c r="K424" s="117"/>
    </row>
    <row r="425" spans="1:11" ht="15" customHeight="1">
      <c r="A425" s="234">
        <v>123</v>
      </c>
      <c r="B425" s="139" t="s">
        <v>456</v>
      </c>
      <c r="C425" s="237" t="s">
        <v>33</v>
      </c>
      <c r="D425" s="238" t="s">
        <v>259</v>
      </c>
      <c r="E425" s="135">
        <v>700</v>
      </c>
      <c r="F425" s="182" t="s">
        <v>95</v>
      </c>
      <c r="G425" s="40">
        <f>IF(BD!$E425="","",(E425/(H425*I425)))</f>
        <v>7</v>
      </c>
      <c r="H425" s="162">
        <v>100</v>
      </c>
      <c r="I425" s="8">
        <v>1</v>
      </c>
      <c r="J425" s="207" t="str">
        <f>CONCATENATE(LEFT(C425,1),MID(C425,SEARCH("_",C425)+1,2),TEXT(A425,"000"))</f>
        <v>SME123</v>
      </c>
      <c r="K425" s="117"/>
    </row>
    <row r="426" spans="1:11" ht="15" customHeight="1">
      <c r="A426" s="234">
        <v>124</v>
      </c>
      <c r="B426" s="139" t="s">
        <v>457</v>
      </c>
      <c r="C426" s="237" t="s">
        <v>33</v>
      </c>
      <c r="D426" s="238" t="s">
        <v>259</v>
      </c>
      <c r="E426" s="135">
        <v>1100</v>
      </c>
      <c r="F426" s="182" t="s">
        <v>95</v>
      </c>
      <c r="G426" s="40">
        <f>IF(BD!$E426="","",(E426/(H426*I426)))</f>
        <v>11</v>
      </c>
      <c r="H426" s="162">
        <v>100</v>
      </c>
      <c r="I426" s="8">
        <v>1</v>
      </c>
      <c r="J426" s="207" t="str">
        <f>CONCATENATE(LEFT(C426,1),MID(C426,SEARCH("_",C426)+1,2),TEXT(A426,"000"))</f>
        <v>SME124</v>
      </c>
      <c r="K426" s="117"/>
    </row>
    <row r="427" spans="1:11" ht="15" customHeight="1">
      <c r="A427" s="234">
        <v>125</v>
      </c>
      <c r="B427" s="139" t="s">
        <v>458</v>
      </c>
      <c r="C427" s="237" t="s">
        <v>33</v>
      </c>
      <c r="D427" s="238" t="s">
        <v>95</v>
      </c>
      <c r="E427" s="135">
        <v>1000</v>
      </c>
      <c r="F427" s="182" t="s">
        <v>95</v>
      </c>
      <c r="G427" s="40">
        <f>IF(BD!$E427="","",(E427/(H427*I427)))</f>
        <v>1000</v>
      </c>
      <c r="H427" s="162">
        <v>1</v>
      </c>
      <c r="I427" s="8">
        <v>1</v>
      </c>
      <c r="J427" s="207" t="str">
        <f>CONCATENATE(LEFT(C427,1),MID(C427,SEARCH("_",C427)+1,2),TEXT(A427,"000"))</f>
        <v>SME125</v>
      </c>
      <c r="K427" s="117"/>
    </row>
    <row r="428" spans="1:11" ht="15" customHeight="1">
      <c r="A428" s="234">
        <v>126</v>
      </c>
      <c r="B428" s="139" t="s">
        <v>459</v>
      </c>
      <c r="C428" s="237" t="s">
        <v>33</v>
      </c>
      <c r="D428" s="238" t="s">
        <v>246</v>
      </c>
      <c r="E428" s="135">
        <v>700</v>
      </c>
      <c r="F428" s="182" t="s">
        <v>95</v>
      </c>
      <c r="G428" s="40">
        <f>IF(BD!$E428="","",(E428/(H428*I428)))</f>
        <v>7</v>
      </c>
      <c r="H428" s="162">
        <v>100</v>
      </c>
      <c r="I428" s="8">
        <v>1</v>
      </c>
      <c r="J428" s="207" t="str">
        <f>CONCATENATE(LEFT(C428,1),MID(C428,SEARCH("_",C428)+1,2),TEXT(A428,"000"))</f>
        <v>SME126</v>
      </c>
      <c r="K428" s="117"/>
    </row>
    <row r="429" spans="1:11" ht="15" customHeight="1">
      <c r="A429" s="234">
        <v>127</v>
      </c>
      <c r="B429" s="139" t="s">
        <v>460</v>
      </c>
      <c r="C429" s="237" t="s">
        <v>33</v>
      </c>
      <c r="D429" s="238" t="s">
        <v>246</v>
      </c>
      <c r="E429" s="135">
        <v>84</v>
      </c>
      <c r="F429" s="182" t="s">
        <v>95</v>
      </c>
      <c r="G429" s="40">
        <f>IF(BD!$E429="","",(E429/(H429*I429)))</f>
        <v>84</v>
      </c>
      <c r="H429" s="162">
        <v>1</v>
      </c>
      <c r="I429" s="8">
        <v>1</v>
      </c>
      <c r="J429" s="207" t="str">
        <f>CONCATENATE(LEFT(C429,1),MID(C429,SEARCH("_",C429)+1,2),TEXT(A429,"000"))</f>
        <v>SME127</v>
      </c>
      <c r="K429" s="117"/>
    </row>
    <row r="430" spans="1:11" ht="15" customHeight="1">
      <c r="A430" s="234">
        <v>128</v>
      </c>
      <c r="B430" s="139" t="s">
        <v>461</v>
      </c>
      <c r="C430" s="237" t="s">
        <v>33</v>
      </c>
      <c r="D430" s="238" t="s">
        <v>246</v>
      </c>
      <c r="E430" s="135">
        <v>10780</v>
      </c>
      <c r="F430" s="182" t="s">
        <v>262</v>
      </c>
      <c r="G430" s="40">
        <f>IF(BD!$E430="","",(E430/(H430*I430)))</f>
        <v>0.77</v>
      </c>
      <c r="H430" s="162">
        <v>140</v>
      </c>
      <c r="I430" s="8">
        <v>100</v>
      </c>
      <c r="J430" s="207" t="str">
        <f>CONCATENATE(LEFT(C430,1),MID(C430,SEARCH("_",C430)+1,2),TEXT(A430,"000"))</f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6" t="s">
        <v>128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99</v>
      </c>
      <c r="B612" s="282">
        <f>SUBTOTAL(3,(B614:B638))</f>
        <v>25</v>
      </c>
      <c r="C612" s="490"/>
      <c r="D612" s="490"/>
      <c r="E612"/>
      <c r="F612" s="178"/>
      <c r="H612"/>
      <c r="I612"/>
    </row>
    <row r="613" spans="1:11" ht="15" customHeight="1">
      <c r="A613" s="115" t="s">
        <v>79</v>
      </c>
      <c r="B613" s="122" t="s">
        <v>101</v>
      </c>
      <c r="C613" s="116" t="s">
        <v>102</v>
      </c>
      <c r="D613" s="100" t="s">
        <v>103</v>
      </c>
      <c r="E613" s="68" t="s">
        <v>104</v>
      </c>
      <c r="F613" s="176" t="s">
        <v>105</v>
      </c>
      <c r="G613" s="70" t="s">
        <v>106</v>
      </c>
      <c r="H613" s="71" t="s">
        <v>107</v>
      </c>
      <c r="I613" s="71" t="s">
        <v>108</v>
      </c>
      <c r="J613" s="277" t="s">
        <v>109</v>
      </c>
      <c r="K613" s="278" t="s">
        <v>110</v>
      </c>
    </row>
    <row r="614" spans="1:11" ht="25.5" customHeight="1">
      <c r="A614" s="42">
        <v>1</v>
      </c>
      <c r="B614" s="139" t="s">
        <v>462</v>
      </c>
      <c r="C614" s="206" t="s">
        <v>25</v>
      </c>
      <c r="D614" s="49" t="s">
        <v>463</v>
      </c>
      <c r="E614" s="44">
        <v>380</v>
      </c>
      <c r="F614" s="177" t="s">
        <v>463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0">CONCATENATE(LEFT(C614,1),"_",TEXT(A614,"000"))</f>
        <v>C_001</v>
      </c>
      <c r="K614" s="117"/>
    </row>
    <row r="615" spans="1:11">
      <c r="A615" s="42">
        <f t="shared" ref="A615:A638" si="11">A614+1</f>
        <v>2</v>
      </c>
      <c r="B615" s="140" t="s">
        <v>464</v>
      </c>
      <c r="C615" s="206" t="s">
        <v>25</v>
      </c>
      <c r="D615" s="51" t="s">
        <v>463</v>
      </c>
      <c r="E615" s="53">
        <v>848.47</v>
      </c>
      <c r="F615" s="52" t="s">
        <v>463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0"/>
        <v>C_002</v>
      </c>
      <c r="K615" s="117"/>
    </row>
    <row r="616" spans="1:11" ht="15" customHeight="1">
      <c r="A616" s="42">
        <f t="shared" si="11"/>
        <v>3</v>
      </c>
      <c r="B616" s="270" t="s">
        <v>465</v>
      </c>
      <c r="C616" s="206" t="s">
        <v>25</v>
      </c>
      <c r="D616" s="49" t="s">
        <v>466</v>
      </c>
      <c r="E616" s="44"/>
      <c r="F616" s="177" t="s">
        <v>466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0"/>
        <v>C_003</v>
      </c>
      <c r="K616" s="117"/>
    </row>
    <row r="617" spans="1:11" ht="15" customHeight="1">
      <c r="A617" s="42">
        <f t="shared" si="11"/>
        <v>4</v>
      </c>
      <c r="B617" s="139" t="s">
        <v>467</v>
      </c>
      <c r="C617" s="206" t="s">
        <v>25</v>
      </c>
      <c r="D617" s="51" t="s">
        <v>463</v>
      </c>
      <c r="E617" s="44">
        <v>815</v>
      </c>
      <c r="F617" s="177" t="s">
        <v>463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0"/>
        <v>C_004</v>
      </c>
      <c r="K617" s="117"/>
    </row>
    <row r="618" spans="1:11" ht="15" customHeight="1">
      <c r="A618" s="42">
        <f t="shared" si="11"/>
        <v>5</v>
      </c>
      <c r="B618" s="139" t="s">
        <v>468</v>
      </c>
      <c r="C618" s="206" t="s">
        <v>25</v>
      </c>
      <c r="D618" s="51" t="s">
        <v>463</v>
      </c>
      <c r="E618" s="44">
        <v>623.66666666666663</v>
      </c>
      <c r="F618" s="177" t="s">
        <v>463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0"/>
        <v>C_005</v>
      </c>
      <c r="K618" s="117"/>
    </row>
    <row r="619" spans="1:11" ht="15" customHeight="1">
      <c r="A619" s="42">
        <f t="shared" si="11"/>
        <v>6</v>
      </c>
      <c r="B619" s="139" t="s">
        <v>469</v>
      </c>
      <c r="C619" s="206" t="s">
        <v>25</v>
      </c>
      <c r="D619" s="49" t="s">
        <v>463</v>
      </c>
      <c r="E619" s="44">
        <v>698.53</v>
      </c>
      <c r="F619" s="177" t="s">
        <v>463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0"/>
        <v>C_006</v>
      </c>
      <c r="K619" s="117"/>
    </row>
    <row r="620" spans="1:11" ht="15" customHeight="1">
      <c r="A620" s="42">
        <f t="shared" si="11"/>
        <v>7</v>
      </c>
      <c r="B620" s="139" t="s">
        <v>470</v>
      </c>
      <c r="C620" s="206" t="s">
        <v>25</v>
      </c>
      <c r="D620" s="49" t="s">
        <v>463</v>
      </c>
      <c r="E620" s="44">
        <v>390.66666666666669</v>
      </c>
      <c r="F620" s="177" t="s">
        <v>463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0"/>
        <v>C_007</v>
      </c>
      <c r="K620" s="117"/>
    </row>
    <row r="621" spans="1:11" ht="15" customHeight="1">
      <c r="A621" s="42">
        <f t="shared" si="11"/>
        <v>8</v>
      </c>
      <c r="B621" s="139" t="s">
        <v>471</v>
      </c>
      <c r="C621" s="206" t="s">
        <v>25</v>
      </c>
      <c r="D621" s="49" t="s">
        <v>463</v>
      </c>
      <c r="E621" s="44">
        <v>477.19</v>
      </c>
      <c r="F621" s="52" t="s">
        <v>463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0"/>
        <v>C_008</v>
      </c>
      <c r="K621" s="117"/>
    </row>
    <row r="622" spans="1:11" ht="15" customHeight="1">
      <c r="A622" s="42">
        <f t="shared" si="11"/>
        <v>9</v>
      </c>
      <c r="B622" s="139" t="s">
        <v>472</v>
      </c>
      <c r="C622" s="206" t="s">
        <v>25</v>
      </c>
      <c r="D622" s="49" t="s">
        <v>463</v>
      </c>
      <c r="E622" s="44">
        <v>998.41</v>
      </c>
      <c r="F622" s="177" t="s">
        <v>463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0"/>
        <v>C_009</v>
      </c>
      <c r="K622" s="117"/>
    </row>
    <row r="623" spans="1:11" ht="15" customHeight="1">
      <c r="A623" s="42">
        <f t="shared" si="11"/>
        <v>10</v>
      </c>
      <c r="B623" s="139" t="s">
        <v>473</v>
      </c>
      <c r="C623" s="206" t="s">
        <v>25</v>
      </c>
      <c r="D623" s="49" t="s">
        <v>463</v>
      </c>
      <c r="E623" s="44">
        <v>898.44999999999993</v>
      </c>
      <c r="F623" s="177" t="s">
        <v>463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0"/>
        <v>C_010</v>
      </c>
      <c r="K623" s="117"/>
    </row>
    <row r="624" spans="1:11" ht="15" customHeight="1">
      <c r="A624" s="42">
        <f t="shared" si="11"/>
        <v>11</v>
      </c>
      <c r="B624" s="139" t="s">
        <v>474</v>
      </c>
      <c r="C624" s="206" t="s">
        <v>25</v>
      </c>
      <c r="D624" s="202" t="s">
        <v>463</v>
      </c>
      <c r="E624" s="204">
        <v>1500</v>
      </c>
      <c r="F624" s="166" t="s">
        <v>463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0"/>
        <v>C_011</v>
      </c>
      <c r="K624" s="117"/>
    </row>
    <row r="625" spans="1:11" ht="15" customHeight="1">
      <c r="A625" s="42">
        <f t="shared" si="11"/>
        <v>12</v>
      </c>
      <c r="B625" s="39" t="s">
        <v>475</v>
      </c>
      <c r="C625" s="206" t="s">
        <v>25</v>
      </c>
      <c r="D625" s="49" t="s">
        <v>463</v>
      </c>
      <c r="E625" s="203">
        <v>53371.5</v>
      </c>
      <c r="F625" s="52" t="s">
        <v>463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0"/>
        <v>C_012</v>
      </c>
      <c r="K625" s="117"/>
    </row>
    <row r="626" spans="1:11" ht="15" customHeight="1">
      <c r="A626" s="42">
        <f t="shared" si="11"/>
        <v>13</v>
      </c>
      <c r="B626" s="139" t="s">
        <v>476</v>
      </c>
      <c r="C626" s="206" t="s">
        <v>25</v>
      </c>
      <c r="D626" s="49" t="s">
        <v>463</v>
      </c>
      <c r="E626" s="44">
        <v>897.26</v>
      </c>
      <c r="F626" s="177" t="s">
        <v>463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0"/>
        <v>C_013</v>
      </c>
      <c r="K626" s="117"/>
    </row>
    <row r="627" spans="1:11" ht="15" customHeight="1">
      <c r="A627" s="42">
        <f t="shared" si="11"/>
        <v>14</v>
      </c>
      <c r="B627" s="139" t="s">
        <v>477</v>
      </c>
      <c r="C627" s="206" t="s">
        <v>25</v>
      </c>
      <c r="D627" s="54" t="s">
        <v>463</v>
      </c>
      <c r="E627" s="44">
        <v>1673.3335</v>
      </c>
      <c r="F627" s="177" t="s">
        <v>463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0"/>
        <v>C_014</v>
      </c>
      <c r="K627" s="117"/>
    </row>
    <row r="628" spans="1:11" ht="15" customHeight="1">
      <c r="A628" s="42">
        <f t="shared" si="11"/>
        <v>15</v>
      </c>
      <c r="B628" s="140" t="s">
        <v>478</v>
      </c>
      <c r="C628" s="206" t="s">
        <v>25</v>
      </c>
      <c r="D628" s="51" t="s">
        <v>463</v>
      </c>
      <c r="E628" s="46">
        <v>250</v>
      </c>
      <c r="F628" s="52" t="s">
        <v>463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0"/>
        <v>C_015</v>
      </c>
      <c r="K628" s="117"/>
    </row>
    <row r="629" spans="1:11" ht="15" customHeight="1">
      <c r="A629" s="42">
        <f t="shared" si="11"/>
        <v>16</v>
      </c>
      <c r="B629" s="140" t="s">
        <v>479</v>
      </c>
      <c r="C629" s="206" t="s">
        <v>25</v>
      </c>
      <c r="D629" s="51" t="s">
        <v>463</v>
      </c>
      <c r="E629" s="53">
        <v>898.45</v>
      </c>
      <c r="F629" s="52" t="s">
        <v>463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0"/>
        <v>C_016</v>
      </c>
      <c r="K629" s="117"/>
    </row>
    <row r="630" spans="1:11" ht="15" customHeight="1">
      <c r="A630" s="42">
        <f t="shared" si="11"/>
        <v>17</v>
      </c>
      <c r="B630" s="141" t="s">
        <v>480</v>
      </c>
      <c r="C630" s="206" t="s">
        <v>25</v>
      </c>
      <c r="D630" s="201" t="s">
        <v>463</v>
      </c>
      <c r="E630" s="138">
        <v>898.45</v>
      </c>
      <c r="F630" s="52" t="s">
        <v>463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0"/>
        <v>C_017</v>
      </c>
      <c r="K630" s="117"/>
    </row>
    <row r="631" spans="1:11" ht="15" customHeight="1">
      <c r="A631" s="42">
        <f t="shared" si="11"/>
        <v>18</v>
      </c>
      <c r="B631" s="141" t="s">
        <v>481</v>
      </c>
      <c r="C631" s="206" t="s">
        <v>25</v>
      </c>
      <c r="D631" s="201" t="s">
        <v>463</v>
      </c>
      <c r="E631" s="138">
        <v>549.78</v>
      </c>
      <c r="F631" s="52" t="s">
        <v>463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0"/>
        <v>C_018</v>
      </c>
      <c r="K631" s="117"/>
    </row>
    <row r="632" spans="1:11" ht="15" customHeight="1">
      <c r="A632" s="42">
        <f t="shared" si="11"/>
        <v>19</v>
      </c>
      <c r="B632" s="141" t="s">
        <v>482</v>
      </c>
      <c r="C632" s="206" t="s">
        <v>25</v>
      </c>
      <c r="D632" s="201" t="s">
        <v>463</v>
      </c>
      <c r="E632" s="205">
        <v>357</v>
      </c>
      <c r="F632" s="52" t="s">
        <v>463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0"/>
        <v>C_019</v>
      </c>
      <c r="K632" s="117"/>
    </row>
    <row r="633" spans="1:11" ht="15" customHeight="1">
      <c r="A633" s="42">
        <f t="shared" si="11"/>
        <v>20</v>
      </c>
      <c r="B633" s="141" t="s">
        <v>483</v>
      </c>
      <c r="C633" s="206" t="s">
        <v>25</v>
      </c>
      <c r="D633" s="201" t="s">
        <v>463</v>
      </c>
      <c r="E633" s="138">
        <v>998.41</v>
      </c>
      <c r="F633" s="52" t="s">
        <v>463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0"/>
        <v>C_020</v>
      </c>
      <c r="K633" s="117"/>
    </row>
    <row r="634" spans="1:11" ht="15" customHeight="1">
      <c r="A634" s="42">
        <f t="shared" si="11"/>
        <v>21</v>
      </c>
      <c r="B634" s="141" t="s">
        <v>26</v>
      </c>
      <c r="C634" s="206" t="s">
        <v>25</v>
      </c>
      <c r="D634" s="137" t="s">
        <v>463</v>
      </c>
      <c r="E634" s="138">
        <v>898.45</v>
      </c>
      <c r="F634" s="55" t="s">
        <v>463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0"/>
        <v>C_021</v>
      </c>
      <c r="K634" s="117"/>
    </row>
    <row r="635" spans="1:11" ht="15" customHeight="1">
      <c r="A635" s="42">
        <f t="shared" si="11"/>
        <v>22</v>
      </c>
      <c r="B635" s="141" t="s">
        <v>484</v>
      </c>
      <c r="C635" s="206" t="s">
        <v>25</v>
      </c>
      <c r="D635" s="164" t="s">
        <v>463</v>
      </c>
      <c r="E635" s="165">
        <v>1200</v>
      </c>
      <c r="F635" s="166" t="s">
        <v>463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0"/>
        <v>C_022</v>
      </c>
      <c r="K635" s="117"/>
    </row>
    <row r="636" spans="1:11" ht="15" customHeight="1">
      <c r="A636" s="42">
        <f t="shared" si="11"/>
        <v>23</v>
      </c>
      <c r="B636" s="142" t="s">
        <v>485</v>
      </c>
      <c r="C636" s="206" t="s">
        <v>25</v>
      </c>
      <c r="D636" s="137" t="s">
        <v>463</v>
      </c>
      <c r="E636" s="135">
        <v>1217</v>
      </c>
      <c r="F636" s="177" t="s">
        <v>463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0"/>
        <v>C_023</v>
      </c>
      <c r="K636" s="117"/>
    </row>
    <row r="637" spans="1:11" ht="15" customHeight="1">
      <c r="A637" s="42">
        <f t="shared" si="11"/>
        <v>24</v>
      </c>
      <c r="B637" s="139" t="s">
        <v>38</v>
      </c>
      <c r="C637" s="206" t="s">
        <v>25</v>
      </c>
      <c r="D637" s="49" t="s">
        <v>486</v>
      </c>
      <c r="E637" s="44">
        <v>0</v>
      </c>
      <c r="F637" s="177" t="s">
        <v>486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0"/>
        <v>C_024</v>
      </c>
      <c r="K637" s="117"/>
    </row>
    <row r="638" spans="1:11" ht="15" customHeight="1">
      <c r="A638" s="42">
        <f t="shared" si="11"/>
        <v>25</v>
      </c>
      <c r="B638" s="140" t="s">
        <v>487</v>
      </c>
      <c r="C638" s="206" t="s">
        <v>25</v>
      </c>
      <c r="D638" s="54" t="s">
        <v>463</v>
      </c>
      <c r="E638" s="53">
        <v>759.22</v>
      </c>
      <c r="F638" s="52" t="s">
        <v>463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0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128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99</v>
      </c>
      <c r="B658" s="247">
        <f>SUBTOTAL(3,(B660:B1080))</f>
        <v>421</v>
      </c>
      <c r="C658" s="491"/>
      <c r="D658" s="492"/>
      <c r="E658"/>
      <c r="F658" s="178"/>
      <c r="H658"/>
      <c r="I658"/>
    </row>
    <row r="659" spans="1:11" ht="15" customHeight="1">
      <c r="A659" s="72" t="s">
        <v>79</v>
      </c>
      <c r="B659" s="168" t="s">
        <v>101</v>
      </c>
      <c r="C659" s="65" t="s">
        <v>102</v>
      </c>
      <c r="D659" s="66" t="s">
        <v>103</v>
      </c>
      <c r="E659" s="68" t="s">
        <v>104</v>
      </c>
      <c r="F659" s="176" t="s">
        <v>105</v>
      </c>
      <c r="G659" s="70" t="s">
        <v>106</v>
      </c>
      <c r="H659" s="71" t="s">
        <v>107</v>
      </c>
      <c r="I659" s="169" t="s">
        <v>108</v>
      </c>
      <c r="J659" s="277" t="s">
        <v>109</v>
      </c>
      <c r="K659" s="278" t="s">
        <v>110</v>
      </c>
    </row>
    <row r="660" spans="1:11" ht="15" customHeight="1">
      <c r="A660" s="42">
        <v>1</v>
      </c>
      <c r="B660" s="220" t="s">
        <v>488</v>
      </c>
      <c r="C660" s="206" t="s">
        <v>36</v>
      </c>
      <c r="D660" s="49" t="s">
        <v>118</v>
      </c>
      <c r="E660" s="44">
        <v>304.64</v>
      </c>
      <c r="F660" s="177" t="s">
        <v>118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2">IFERROR(CONCATENATE(LEFT(C660,1),"_",TEXT(A660,"000")),"")</f>
        <v>H_001</v>
      </c>
      <c r="K660" s="117"/>
    </row>
    <row r="661" spans="1:11" ht="15" customHeight="1">
      <c r="A661" s="42">
        <f t="shared" ref="A661:A724" si="13">A660+1</f>
        <v>2</v>
      </c>
      <c r="B661" s="220" t="s">
        <v>489</v>
      </c>
      <c r="C661" s="206" t="s">
        <v>36</v>
      </c>
      <c r="D661" s="49" t="s">
        <v>118</v>
      </c>
      <c r="E661" s="56">
        <v>3356</v>
      </c>
      <c r="F661" s="183" t="s">
        <v>118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2"/>
        <v>H_002</v>
      </c>
      <c r="K661" s="117"/>
    </row>
    <row r="662" spans="1:11" ht="15" customHeight="1">
      <c r="A662" s="42">
        <f t="shared" si="13"/>
        <v>3</v>
      </c>
      <c r="B662" s="220" t="s">
        <v>490</v>
      </c>
      <c r="C662" s="206" t="s">
        <v>36</v>
      </c>
      <c r="D662" s="49" t="s">
        <v>118</v>
      </c>
      <c r="E662" s="56">
        <v>304.64</v>
      </c>
      <c r="F662" s="183" t="s">
        <v>118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2"/>
        <v>H_003</v>
      </c>
      <c r="K662" s="117"/>
    </row>
    <row r="663" spans="1:11" ht="15" customHeight="1">
      <c r="A663" s="42">
        <f t="shared" si="13"/>
        <v>4</v>
      </c>
      <c r="B663" s="220" t="s">
        <v>491</v>
      </c>
      <c r="C663" s="206" t="s">
        <v>36</v>
      </c>
      <c r="D663" s="49" t="s">
        <v>118</v>
      </c>
      <c r="E663" s="44">
        <v>304.64</v>
      </c>
      <c r="F663" s="177" t="s">
        <v>118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2"/>
        <v>H_004</v>
      </c>
      <c r="K663" s="117"/>
    </row>
    <row r="664" spans="1:11" ht="15" customHeight="1">
      <c r="A664" s="42">
        <f t="shared" si="13"/>
        <v>5</v>
      </c>
      <c r="B664" s="220" t="s">
        <v>492</v>
      </c>
      <c r="C664" s="206" t="s">
        <v>36</v>
      </c>
      <c r="D664" s="49" t="s">
        <v>118</v>
      </c>
      <c r="E664" s="56">
        <v>304.64</v>
      </c>
      <c r="F664" s="183" t="s">
        <v>118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2"/>
        <v>H_005</v>
      </c>
      <c r="K664" s="117"/>
    </row>
    <row r="665" spans="1:11" ht="15" customHeight="1">
      <c r="A665" s="42">
        <f t="shared" si="13"/>
        <v>6</v>
      </c>
      <c r="B665" s="220" t="s">
        <v>493</v>
      </c>
      <c r="C665" s="206" t="s">
        <v>36</v>
      </c>
      <c r="D665" s="49" t="s">
        <v>118</v>
      </c>
      <c r="E665" s="44">
        <v>304.64</v>
      </c>
      <c r="F665" s="177" t="s">
        <v>118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2"/>
        <v>H_006</v>
      </c>
      <c r="K665" s="117"/>
    </row>
    <row r="666" spans="1:11" ht="15" customHeight="1">
      <c r="A666" s="42">
        <f t="shared" si="13"/>
        <v>7</v>
      </c>
      <c r="B666" s="220" t="s">
        <v>494</v>
      </c>
      <c r="C666" s="206" t="s">
        <v>36</v>
      </c>
      <c r="D666" s="49" t="s">
        <v>118</v>
      </c>
      <c r="E666" s="56">
        <v>304.64</v>
      </c>
      <c r="F666" s="183" t="s">
        <v>118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2"/>
        <v>H_007</v>
      </c>
      <c r="K666" s="117"/>
    </row>
    <row r="667" spans="1:11" ht="15" customHeight="1">
      <c r="A667" s="42">
        <f t="shared" si="13"/>
        <v>8</v>
      </c>
      <c r="B667" s="220" t="s">
        <v>495</v>
      </c>
      <c r="C667" s="206" t="s">
        <v>36</v>
      </c>
      <c r="D667" s="49" t="s">
        <v>118</v>
      </c>
      <c r="E667" s="44">
        <v>304.64</v>
      </c>
      <c r="F667" s="177" t="s">
        <v>118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2"/>
        <v>H_008</v>
      </c>
      <c r="K667" s="117"/>
    </row>
    <row r="668" spans="1:11" ht="15" customHeight="1">
      <c r="A668" s="42">
        <f t="shared" si="13"/>
        <v>9</v>
      </c>
      <c r="B668" s="37" t="s">
        <v>496</v>
      </c>
      <c r="C668" s="206" t="s">
        <v>36</v>
      </c>
      <c r="D668" s="49" t="s">
        <v>118</v>
      </c>
      <c r="E668" s="44">
        <v>304.64</v>
      </c>
      <c r="F668" s="177" t="s">
        <v>118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2"/>
        <v>H_009</v>
      </c>
      <c r="K668" s="117"/>
    </row>
    <row r="669" spans="1:11" ht="15" customHeight="1">
      <c r="A669" s="42">
        <f t="shared" si="13"/>
        <v>10</v>
      </c>
      <c r="B669" s="37" t="s">
        <v>497</v>
      </c>
      <c r="C669" s="206" t="s">
        <v>36</v>
      </c>
      <c r="D669" s="49" t="s">
        <v>118</v>
      </c>
      <c r="E669" s="56">
        <v>304.64</v>
      </c>
      <c r="F669" s="183" t="s">
        <v>118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2"/>
        <v>H_010</v>
      </c>
      <c r="K669" s="117"/>
    </row>
    <row r="670" spans="1:11" ht="15" customHeight="1">
      <c r="A670" s="42">
        <f t="shared" si="13"/>
        <v>11</v>
      </c>
      <c r="B670" s="37" t="s">
        <v>498</v>
      </c>
      <c r="C670" s="206" t="s">
        <v>36</v>
      </c>
      <c r="D670" s="49" t="s">
        <v>118</v>
      </c>
      <c r="E670" s="44">
        <v>2400</v>
      </c>
      <c r="F670" s="177" t="s">
        <v>118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2"/>
        <v>H_011</v>
      </c>
      <c r="K670" s="117"/>
    </row>
    <row r="671" spans="1:11" ht="15" customHeight="1">
      <c r="A671" s="42">
        <f t="shared" si="13"/>
        <v>12</v>
      </c>
      <c r="B671" s="37" t="s">
        <v>499</v>
      </c>
      <c r="C671" s="206" t="s">
        <v>36</v>
      </c>
      <c r="D671" s="49" t="s">
        <v>118</v>
      </c>
      <c r="E671" s="44">
        <v>2400</v>
      </c>
      <c r="F671" s="177" t="s">
        <v>118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2"/>
        <v>H_012</v>
      </c>
      <c r="K671" s="117"/>
    </row>
    <row r="672" spans="1:11" ht="15" customHeight="1">
      <c r="A672" s="42">
        <f t="shared" si="13"/>
        <v>13</v>
      </c>
      <c r="B672" s="37" t="s">
        <v>500</v>
      </c>
      <c r="C672" s="206" t="s">
        <v>36</v>
      </c>
      <c r="D672" s="49" t="s">
        <v>118</v>
      </c>
      <c r="E672" s="44">
        <v>2400</v>
      </c>
      <c r="F672" s="177" t="s">
        <v>118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2"/>
        <v>H_013</v>
      </c>
      <c r="K672" s="117"/>
    </row>
    <row r="673" spans="1:11" ht="15" customHeight="1">
      <c r="A673" s="42">
        <f t="shared" si="13"/>
        <v>14</v>
      </c>
      <c r="B673" s="37" t="s">
        <v>501</v>
      </c>
      <c r="C673" s="206" t="s">
        <v>36</v>
      </c>
      <c r="D673" s="49" t="s">
        <v>118</v>
      </c>
      <c r="E673" s="44">
        <v>2400</v>
      </c>
      <c r="F673" s="177" t="s">
        <v>118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2"/>
        <v>H_014</v>
      </c>
      <c r="K673" s="117"/>
    </row>
    <row r="674" spans="1:11" ht="15" customHeight="1">
      <c r="A674" s="42">
        <f t="shared" si="13"/>
        <v>15</v>
      </c>
      <c r="B674" s="37" t="s">
        <v>502</v>
      </c>
      <c r="C674" s="206" t="s">
        <v>36</v>
      </c>
      <c r="D674" s="49" t="s">
        <v>118</v>
      </c>
      <c r="E674" s="44">
        <v>2400</v>
      </c>
      <c r="F674" s="177" t="s">
        <v>118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2"/>
        <v>H_015</v>
      </c>
      <c r="K674" s="117"/>
    </row>
    <row r="675" spans="1:11" ht="15" customHeight="1">
      <c r="A675" s="42">
        <f t="shared" si="13"/>
        <v>16</v>
      </c>
      <c r="B675" s="37" t="s">
        <v>503</v>
      </c>
      <c r="C675" s="206" t="s">
        <v>36</v>
      </c>
      <c r="D675" s="49" t="s">
        <v>118</v>
      </c>
      <c r="E675" s="44">
        <v>2400</v>
      </c>
      <c r="F675" s="177" t="s">
        <v>118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2"/>
        <v>H_016</v>
      </c>
      <c r="K675" s="117"/>
    </row>
    <row r="676" spans="1:11" ht="15" customHeight="1">
      <c r="A676" s="42">
        <f t="shared" si="13"/>
        <v>17</v>
      </c>
      <c r="B676" s="37" t="s">
        <v>504</v>
      </c>
      <c r="C676" s="206" t="s">
        <v>36</v>
      </c>
      <c r="D676" s="49" t="s">
        <v>118</v>
      </c>
      <c r="E676" s="44">
        <v>304.64</v>
      </c>
      <c r="F676" s="183" t="s">
        <v>118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2"/>
        <v>H_017</v>
      </c>
      <c r="K676" s="117"/>
    </row>
    <row r="677" spans="1:11" ht="15" customHeight="1">
      <c r="A677" s="42">
        <f t="shared" si="13"/>
        <v>18</v>
      </c>
      <c r="B677" s="37" t="s">
        <v>505</v>
      </c>
      <c r="C677" s="206" t="s">
        <v>36</v>
      </c>
      <c r="D677" s="49" t="s">
        <v>118</v>
      </c>
      <c r="E677" s="44">
        <v>304.64</v>
      </c>
      <c r="F677" s="177" t="s">
        <v>118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2"/>
        <v>H_018</v>
      </c>
      <c r="K677" s="117"/>
    </row>
    <row r="678" spans="1:11" ht="15" customHeight="1">
      <c r="A678" s="42">
        <f t="shared" si="13"/>
        <v>19</v>
      </c>
      <c r="B678" s="37" t="s">
        <v>506</v>
      </c>
      <c r="C678" s="206" t="s">
        <v>36</v>
      </c>
      <c r="D678" s="49" t="s">
        <v>118</v>
      </c>
      <c r="E678" s="44">
        <v>304.64</v>
      </c>
      <c r="F678" s="177" t="s">
        <v>118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2"/>
        <v>H_019</v>
      </c>
      <c r="K678" s="117"/>
    </row>
    <row r="679" spans="1:11" ht="15" customHeight="1">
      <c r="A679" s="42">
        <f t="shared" si="13"/>
        <v>20</v>
      </c>
      <c r="B679" s="37" t="s">
        <v>507</v>
      </c>
      <c r="C679" s="206" t="s">
        <v>36</v>
      </c>
      <c r="D679" s="49" t="s">
        <v>118</v>
      </c>
      <c r="E679" s="44">
        <v>304.64</v>
      </c>
      <c r="F679" s="177" t="s">
        <v>118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2"/>
        <v>H_020</v>
      </c>
      <c r="K679" s="117"/>
    </row>
    <row r="680" spans="1:11" ht="15" customHeight="1">
      <c r="A680" s="42">
        <f t="shared" si="13"/>
        <v>21</v>
      </c>
      <c r="B680" s="37" t="s">
        <v>508</v>
      </c>
      <c r="C680" s="206" t="s">
        <v>36</v>
      </c>
      <c r="D680" s="49" t="s">
        <v>118</v>
      </c>
      <c r="E680" s="44">
        <v>304.64</v>
      </c>
      <c r="F680" s="177" t="s">
        <v>118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2"/>
        <v>H_021</v>
      </c>
      <c r="K680" s="117"/>
    </row>
    <row r="681" spans="1:11" ht="15" customHeight="1">
      <c r="A681" s="42">
        <f t="shared" si="13"/>
        <v>22</v>
      </c>
      <c r="B681" s="37" t="s">
        <v>509</v>
      </c>
      <c r="C681" s="206" t="s">
        <v>36</v>
      </c>
      <c r="D681" s="49" t="s">
        <v>118</v>
      </c>
      <c r="E681" s="56">
        <v>304.64</v>
      </c>
      <c r="F681" s="183" t="s">
        <v>118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2"/>
        <v>H_022</v>
      </c>
      <c r="K681" s="117"/>
    </row>
    <row r="682" spans="1:11" ht="15" customHeight="1">
      <c r="A682" s="42">
        <f t="shared" si="13"/>
        <v>23</v>
      </c>
      <c r="B682" s="37" t="s">
        <v>510</v>
      </c>
      <c r="C682" s="206" t="s">
        <v>36</v>
      </c>
      <c r="D682" s="49" t="s">
        <v>118</v>
      </c>
      <c r="E682" s="44">
        <v>304.64</v>
      </c>
      <c r="F682" s="177" t="s">
        <v>118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2"/>
        <v>H_023</v>
      </c>
      <c r="K682" s="117"/>
    </row>
    <row r="683" spans="1:11" ht="15" customHeight="1">
      <c r="A683" s="42">
        <f t="shared" si="13"/>
        <v>24</v>
      </c>
      <c r="B683" s="37" t="s">
        <v>511</v>
      </c>
      <c r="C683" s="206" t="s">
        <v>36</v>
      </c>
      <c r="D683" s="49" t="s">
        <v>118</v>
      </c>
      <c r="E683" s="44">
        <v>304.64</v>
      </c>
      <c r="F683" s="177" t="s">
        <v>118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2"/>
        <v>H_024</v>
      </c>
      <c r="K683" s="117"/>
    </row>
    <row r="684" spans="1:11" ht="15" customHeight="1">
      <c r="A684" s="42">
        <f t="shared" si="13"/>
        <v>25</v>
      </c>
      <c r="B684" s="37" t="s">
        <v>512</v>
      </c>
      <c r="C684" s="206" t="s">
        <v>36</v>
      </c>
      <c r="D684" s="49" t="s">
        <v>118</v>
      </c>
      <c r="E684" s="44">
        <v>304.64</v>
      </c>
      <c r="F684" s="177" t="s">
        <v>118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2"/>
        <v>H_025</v>
      </c>
      <c r="K684" s="117"/>
    </row>
    <row r="685" spans="1:11" ht="15" customHeight="1">
      <c r="A685" s="42">
        <f t="shared" si="13"/>
        <v>26</v>
      </c>
      <c r="B685" s="37" t="s">
        <v>513</v>
      </c>
      <c r="C685" s="206" t="s">
        <v>36</v>
      </c>
      <c r="D685" s="49" t="s">
        <v>118</v>
      </c>
      <c r="E685" s="44">
        <v>304.64</v>
      </c>
      <c r="F685" s="177" t="s">
        <v>118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2"/>
        <v>H_026</v>
      </c>
      <c r="K685" s="117"/>
    </row>
    <row r="686" spans="1:11" ht="15" customHeight="1">
      <c r="A686" s="42">
        <f t="shared" si="13"/>
        <v>27</v>
      </c>
      <c r="B686" s="37" t="s">
        <v>514</v>
      </c>
      <c r="C686" s="206" t="s">
        <v>36</v>
      </c>
      <c r="D686" s="49" t="s">
        <v>118</v>
      </c>
      <c r="E686" s="44">
        <v>304.64</v>
      </c>
      <c r="F686" s="177" t="s">
        <v>118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2"/>
        <v>H_027</v>
      </c>
      <c r="K686" s="117"/>
    </row>
    <row r="687" spans="1:11" ht="15" customHeight="1">
      <c r="A687" s="42">
        <f t="shared" si="13"/>
        <v>28</v>
      </c>
      <c r="B687" s="37" t="s">
        <v>515</v>
      </c>
      <c r="C687" s="206" t="s">
        <v>36</v>
      </c>
      <c r="D687" s="49" t="s">
        <v>118</v>
      </c>
      <c r="E687" s="44">
        <v>304.64</v>
      </c>
      <c r="F687" s="177" t="s">
        <v>118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2"/>
        <v>H_028</v>
      </c>
      <c r="K687" s="117"/>
    </row>
    <row r="688" spans="1:11" ht="15" customHeight="1">
      <c r="A688" s="42">
        <f t="shared" si="13"/>
        <v>29</v>
      </c>
      <c r="B688" s="37" t="s">
        <v>516</v>
      </c>
      <c r="C688" s="206" t="s">
        <v>36</v>
      </c>
      <c r="D688" s="49" t="s">
        <v>118</v>
      </c>
      <c r="E688" s="44">
        <v>304.64</v>
      </c>
      <c r="F688" s="177" t="s">
        <v>118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2"/>
        <v>H_029</v>
      </c>
      <c r="K688" s="117"/>
    </row>
    <row r="689" spans="1:11" ht="15" customHeight="1">
      <c r="A689" s="42">
        <f t="shared" si="13"/>
        <v>30</v>
      </c>
      <c r="B689" s="37" t="s">
        <v>517</v>
      </c>
      <c r="C689" s="206" t="s">
        <v>36</v>
      </c>
      <c r="D689" s="49" t="s">
        <v>118</v>
      </c>
      <c r="E689" s="44">
        <v>304.64</v>
      </c>
      <c r="F689" s="177" t="s">
        <v>118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2"/>
        <v>H_030</v>
      </c>
      <c r="K689" s="117"/>
    </row>
    <row r="690" spans="1:11" ht="15" customHeight="1">
      <c r="A690" s="42">
        <f t="shared" si="13"/>
        <v>31</v>
      </c>
      <c r="B690" s="37" t="s">
        <v>518</v>
      </c>
      <c r="C690" s="206" t="s">
        <v>36</v>
      </c>
      <c r="D690" s="49" t="s">
        <v>118</v>
      </c>
      <c r="E690" s="56">
        <v>304.64</v>
      </c>
      <c r="F690" s="183" t="s">
        <v>118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2"/>
        <v>H_031</v>
      </c>
      <c r="K690" s="117"/>
    </row>
    <row r="691" spans="1:11" ht="15" customHeight="1">
      <c r="A691" s="42">
        <f t="shared" si="13"/>
        <v>32</v>
      </c>
      <c r="B691" s="37" t="s">
        <v>519</v>
      </c>
      <c r="C691" s="206" t="s">
        <v>36</v>
      </c>
      <c r="D691" s="49" t="s">
        <v>118</v>
      </c>
      <c r="E691" s="44">
        <v>304.64</v>
      </c>
      <c r="F691" s="177" t="s">
        <v>118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2"/>
        <v>H_032</v>
      </c>
      <c r="K691" s="117"/>
    </row>
    <row r="692" spans="1:11" ht="15" customHeight="1">
      <c r="A692" s="42">
        <f t="shared" si="13"/>
        <v>33</v>
      </c>
      <c r="B692" s="37" t="s">
        <v>520</v>
      </c>
      <c r="C692" s="206" t="s">
        <v>36</v>
      </c>
      <c r="D692" s="49" t="s">
        <v>118</v>
      </c>
      <c r="E692" s="44">
        <v>3356</v>
      </c>
      <c r="F692" s="177" t="s">
        <v>118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2"/>
        <v>H_033</v>
      </c>
      <c r="K692" s="117"/>
    </row>
    <row r="693" spans="1:11" ht="15" customHeight="1">
      <c r="A693" s="42">
        <f t="shared" si="13"/>
        <v>34</v>
      </c>
      <c r="B693" s="37" t="s">
        <v>521</v>
      </c>
      <c r="C693" s="206" t="s">
        <v>36</v>
      </c>
      <c r="D693" s="49" t="s">
        <v>118</v>
      </c>
      <c r="E693" s="44">
        <v>3356</v>
      </c>
      <c r="F693" s="177" t="s">
        <v>118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2"/>
        <v>H_034</v>
      </c>
      <c r="K693" s="117"/>
    </row>
    <row r="694" spans="1:11" ht="15" customHeight="1">
      <c r="A694" s="42">
        <f t="shared" si="13"/>
        <v>35</v>
      </c>
      <c r="B694" s="37" t="s">
        <v>522</v>
      </c>
      <c r="C694" s="206" t="s">
        <v>36</v>
      </c>
      <c r="D694" s="49" t="s">
        <v>118</v>
      </c>
      <c r="E694" s="44">
        <v>3356</v>
      </c>
      <c r="F694" s="177" t="s">
        <v>118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2"/>
        <v>H_035</v>
      </c>
      <c r="K694" s="117"/>
    </row>
    <row r="695" spans="1:11" ht="15" customHeight="1">
      <c r="A695" s="42">
        <f t="shared" si="13"/>
        <v>36</v>
      </c>
      <c r="B695" s="37" t="s">
        <v>523</v>
      </c>
      <c r="C695" s="206" t="s">
        <v>36</v>
      </c>
      <c r="D695" s="49" t="s">
        <v>118</v>
      </c>
      <c r="E695" s="44">
        <v>3356</v>
      </c>
      <c r="F695" s="177" t="s">
        <v>118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2"/>
        <v>H_036</v>
      </c>
      <c r="K695" s="117"/>
    </row>
    <row r="696" spans="1:11" ht="15" customHeight="1">
      <c r="A696" s="42">
        <f t="shared" si="13"/>
        <v>37</v>
      </c>
      <c r="B696" s="37" t="s">
        <v>524</v>
      </c>
      <c r="C696" s="206" t="s">
        <v>36</v>
      </c>
      <c r="D696" s="49" t="s">
        <v>118</v>
      </c>
      <c r="E696" s="44">
        <v>3356</v>
      </c>
      <c r="F696" s="177" t="s">
        <v>118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2"/>
        <v>H_037</v>
      </c>
      <c r="K696" s="117"/>
    </row>
    <row r="697" spans="1:11" ht="15" customHeight="1">
      <c r="A697" s="42">
        <f t="shared" si="13"/>
        <v>38</v>
      </c>
      <c r="B697" s="37" t="s">
        <v>525</v>
      </c>
      <c r="C697" s="206" t="s">
        <v>36</v>
      </c>
      <c r="D697" s="49" t="s">
        <v>118</v>
      </c>
      <c r="E697" s="44">
        <v>3356</v>
      </c>
      <c r="F697" s="177" t="s">
        <v>118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2"/>
        <v>H_038</v>
      </c>
      <c r="K697" s="117"/>
    </row>
    <row r="698" spans="1:11" ht="15" customHeight="1">
      <c r="A698" s="42">
        <f t="shared" si="13"/>
        <v>39</v>
      </c>
      <c r="B698" s="37" t="s">
        <v>526</v>
      </c>
      <c r="C698" s="206" t="s">
        <v>36</v>
      </c>
      <c r="D698" s="49" t="s">
        <v>118</v>
      </c>
      <c r="E698" s="44">
        <v>3356</v>
      </c>
      <c r="F698" s="177" t="s">
        <v>118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2"/>
        <v>H_039</v>
      </c>
      <c r="K698" s="117"/>
    </row>
    <row r="699" spans="1:11" ht="15" customHeight="1">
      <c r="A699" s="42">
        <f t="shared" si="13"/>
        <v>40</v>
      </c>
      <c r="B699" s="37" t="s">
        <v>527</v>
      </c>
      <c r="C699" s="206" t="s">
        <v>36</v>
      </c>
      <c r="D699" s="49" t="s">
        <v>118</v>
      </c>
      <c r="E699" s="44">
        <v>3356</v>
      </c>
      <c r="F699" s="177" t="s">
        <v>118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2"/>
        <v>H_040</v>
      </c>
      <c r="K699" s="117"/>
    </row>
    <row r="700" spans="1:11" ht="15" customHeight="1">
      <c r="A700" s="42">
        <f t="shared" si="13"/>
        <v>41</v>
      </c>
      <c r="B700" s="37" t="s">
        <v>528</v>
      </c>
      <c r="C700" s="206" t="s">
        <v>36</v>
      </c>
      <c r="D700" s="49" t="s">
        <v>118</v>
      </c>
      <c r="E700" s="44">
        <v>3356</v>
      </c>
      <c r="F700" s="177" t="s">
        <v>118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2"/>
        <v>H_041</v>
      </c>
      <c r="K700" s="117"/>
    </row>
    <row r="701" spans="1:11" ht="15" customHeight="1">
      <c r="A701" s="42">
        <f t="shared" si="13"/>
        <v>42</v>
      </c>
      <c r="B701" s="37" t="s">
        <v>529</v>
      </c>
      <c r="C701" s="206" t="s">
        <v>36</v>
      </c>
      <c r="D701" s="49" t="s">
        <v>118</v>
      </c>
      <c r="E701" s="44">
        <v>3356</v>
      </c>
      <c r="F701" s="177" t="s">
        <v>118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2"/>
        <v>H_042</v>
      </c>
      <c r="K701" s="117"/>
    </row>
    <row r="702" spans="1:11" ht="15" customHeight="1">
      <c r="A702" s="42">
        <f t="shared" si="13"/>
        <v>43</v>
      </c>
      <c r="B702" s="37" t="s">
        <v>530</v>
      </c>
      <c r="C702" s="206" t="s">
        <v>36</v>
      </c>
      <c r="D702" s="49" t="s">
        <v>118</v>
      </c>
      <c r="E702" s="44">
        <v>3356</v>
      </c>
      <c r="F702" s="177" t="s">
        <v>118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2"/>
        <v>H_043</v>
      </c>
      <c r="K702" s="117"/>
    </row>
    <row r="703" spans="1:11" ht="15" customHeight="1">
      <c r="A703" s="42">
        <f t="shared" si="13"/>
        <v>44</v>
      </c>
      <c r="B703" s="37" t="s">
        <v>531</v>
      </c>
      <c r="C703" s="206" t="s">
        <v>36</v>
      </c>
      <c r="D703" s="49" t="s">
        <v>118</v>
      </c>
      <c r="E703" s="44">
        <v>1537.48</v>
      </c>
      <c r="F703" s="177" t="s">
        <v>118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2"/>
        <v>H_044</v>
      </c>
      <c r="K703" s="117"/>
    </row>
    <row r="704" spans="1:11" ht="15" customHeight="1">
      <c r="A704" s="42">
        <f t="shared" si="13"/>
        <v>45</v>
      </c>
      <c r="B704" s="37" t="s">
        <v>532</v>
      </c>
      <c r="C704" s="206" t="s">
        <v>36</v>
      </c>
      <c r="D704" s="49" t="s">
        <v>118</v>
      </c>
      <c r="E704" s="56">
        <v>1537.48</v>
      </c>
      <c r="F704" s="177" t="s">
        <v>118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2"/>
        <v>H_045</v>
      </c>
      <c r="K704" s="117"/>
    </row>
    <row r="705" spans="1:11" ht="15" customHeight="1">
      <c r="A705" s="42">
        <f t="shared" si="13"/>
        <v>46</v>
      </c>
      <c r="B705" s="37" t="s">
        <v>533</v>
      </c>
      <c r="C705" s="206" t="s">
        <v>36</v>
      </c>
      <c r="D705" s="49" t="s">
        <v>118</v>
      </c>
      <c r="E705" s="44">
        <v>1537.48</v>
      </c>
      <c r="F705" s="177" t="s">
        <v>118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2"/>
        <v>H_046</v>
      </c>
      <c r="K705" s="117"/>
    </row>
    <row r="706" spans="1:11" ht="15" customHeight="1">
      <c r="A706" s="42">
        <f t="shared" si="13"/>
        <v>47</v>
      </c>
      <c r="B706" s="37" t="s">
        <v>534</v>
      </c>
      <c r="C706" s="206" t="s">
        <v>36</v>
      </c>
      <c r="D706" s="49" t="s">
        <v>118</v>
      </c>
      <c r="E706" s="44">
        <v>1537.48</v>
      </c>
      <c r="F706" s="177" t="s">
        <v>118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2"/>
        <v>H_047</v>
      </c>
      <c r="K706" s="117"/>
    </row>
    <row r="707" spans="1:11" ht="15" customHeight="1">
      <c r="A707" s="42">
        <f t="shared" si="13"/>
        <v>48</v>
      </c>
      <c r="B707" s="159" t="s">
        <v>535</v>
      </c>
      <c r="C707" s="206" t="s">
        <v>36</v>
      </c>
      <c r="D707" s="49" t="s">
        <v>118</v>
      </c>
      <c r="E707" s="56">
        <v>1537.48</v>
      </c>
      <c r="F707" s="183" t="s">
        <v>118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2"/>
        <v>H_048</v>
      </c>
      <c r="K707" s="117"/>
    </row>
    <row r="708" spans="1:11" ht="15" customHeight="1">
      <c r="A708" s="42">
        <f t="shared" si="13"/>
        <v>49</v>
      </c>
      <c r="B708" s="37" t="s">
        <v>536</v>
      </c>
      <c r="C708" s="206" t="s">
        <v>36</v>
      </c>
      <c r="D708" s="49" t="s">
        <v>118</v>
      </c>
      <c r="E708" s="56">
        <v>2727.48</v>
      </c>
      <c r="F708" s="177" t="s">
        <v>118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2"/>
        <v>H_049</v>
      </c>
      <c r="K708" s="117"/>
    </row>
    <row r="709" spans="1:11" ht="15" customHeight="1">
      <c r="A709" s="42">
        <f t="shared" si="13"/>
        <v>50</v>
      </c>
      <c r="B709" s="159" t="s">
        <v>537</v>
      </c>
      <c r="C709" s="206" t="s">
        <v>36</v>
      </c>
      <c r="D709" s="49" t="s">
        <v>118</v>
      </c>
      <c r="E709" s="56">
        <v>1537.48</v>
      </c>
      <c r="F709" s="183" t="s">
        <v>118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2"/>
        <v>H_050</v>
      </c>
      <c r="K709" s="117"/>
    </row>
    <row r="710" spans="1:11" ht="15" customHeight="1">
      <c r="A710" s="42">
        <f t="shared" si="13"/>
        <v>51</v>
      </c>
      <c r="B710" s="159" t="s">
        <v>538</v>
      </c>
      <c r="C710" s="206" t="s">
        <v>36</v>
      </c>
      <c r="D710" s="49" t="s">
        <v>118</v>
      </c>
      <c r="E710" s="56">
        <v>11057</v>
      </c>
      <c r="F710" s="183" t="s">
        <v>118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2"/>
        <v>H_051</v>
      </c>
      <c r="K710" s="117"/>
    </row>
    <row r="711" spans="1:11" ht="15" customHeight="1">
      <c r="A711" s="42">
        <f t="shared" si="13"/>
        <v>52</v>
      </c>
      <c r="B711" s="159" t="s">
        <v>539</v>
      </c>
      <c r="C711" s="206" t="s">
        <v>36</v>
      </c>
      <c r="D711" s="49" t="s">
        <v>118</v>
      </c>
      <c r="E711" s="56">
        <v>11057</v>
      </c>
      <c r="F711" s="183" t="s">
        <v>118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2"/>
        <v>H_052</v>
      </c>
      <c r="K711" s="117"/>
    </row>
    <row r="712" spans="1:11" ht="15" customHeight="1">
      <c r="A712" s="42">
        <f t="shared" si="13"/>
        <v>53</v>
      </c>
      <c r="B712" s="159" t="s">
        <v>540</v>
      </c>
      <c r="C712" s="206" t="s">
        <v>36</v>
      </c>
      <c r="D712" s="49" t="s">
        <v>118</v>
      </c>
      <c r="E712" s="56">
        <v>375</v>
      </c>
      <c r="F712" s="183" t="s">
        <v>118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2"/>
        <v>H_053</v>
      </c>
      <c r="K712" s="117"/>
    </row>
    <row r="713" spans="1:11" ht="15" customHeight="1">
      <c r="A713" s="42">
        <f t="shared" si="13"/>
        <v>54</v>
      </c>
      <c r="B713" s="159" t="s">
        <v>541</v>
      </c>
      <c r="C713" s="206" t="s">
        <v>36</v>
      </c>
      <c r="D713" s="49" t="s">
        <v>118</v>
      </c>
      <c r="E713" s="56">
        <v>1006.6666666666666</v>
      </c>
      <c r="F713" s="183" t="s">
        <v>118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2"/>
        <v>H_054</v>
      </c>
      <c r="K713" s="117"/>
    </row>
    <row r="714" spans="1:11" ht="15" customHeight="1">
      <c r="A714" s="42">
        <f t="shared" si="13"/>
        <v>55</v>
      </c>
      <c r="B714" s="159" t="s">
        <v>542</v>
      </c>
      <c r="C714" s="206" t="s">
        <v>36</v>
      </c>
      <c r="D714" s="49" t="s">
        <v>118</v>
      </c>
      <c r="E714" s="56">
        <v>375</v>
      </c>
      <c r="F714" s="183" t="s">
        <v>118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2"/>
        <v>H_055</v>
      </c>
      <c r="K714" s="117"/>
    </row>
    <row r="715" spans="1:11" ht="15" customHeight="1">
      <c r="A715" s="42">
        <f t="shared" si="13"/>
        <v>56</v>
      </c>
      <c r="B715" s="159" t="s">
        <v>37</v>
      </c>
      <c r="C715" s="206" t="s">
        <v>36</v>
      </c>
      <c r="D715" s="49" t="s">
        <v>118</v>
      </c>
      <c r="E715" s="56">
        <v>375</v>
      </c>
      <c r="F715" s="183" t="s">
        <v>118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2"/>
        <v>H_056</v>
      </c>
      <c r="K715" s="117"/>
    </row>
    <row r="716" spans="1:11" ht="15" customHeight="1">
      <c r="A716" s="42">
        <f t="shared" si="13"/>
        <v>57</v>
      </c>
      <c r="B716" s="159" t="s">
        <v>543</v>
      </c>
      <c r="C716" s="206" t="s">
        <v>36</v>
      </c>
      <c r="D716" s="49" t="s">
        <v>118</v>
      </c>
      <c r="E716" s="56">
        <v>177.31</v>
      </c>
      <c r="F716" s="183" t="s">
        <v>118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2"/>
        <v>H_057</v>
      </c>
      <c r="K716" s="117"/>
    </row>
    <row r="717" spans="1:11" ht="15" customHeight="1">
      <c r="A717" s="42">
        <f t="shared" si="13"/>
        <v>58</v>
      </c>
      <c r="B717" s="159" t="s">
        <v>544</v>
      </c>
      <c r="C717" s="206" t="s">
        <v>36</v>
      </c>
      <c r="D717" s="49" t="s">
        <v>118</v>
      </c>
      <c r="E717" s="56">
        <v>177.31</v>
      </c>
      <c r="F717" s="183" t="s">
        <v>118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2"/>
        <v>H_058</v>
      </c>
      <c r="K717" s="117"/>
    </row>
    <row r="718" spans="1:11" ht="15" customHeight="1">
      <c r="A718" s="42">
        <f t="shared" si="13"/>
        <v>59</v>
      </c>
      <c r="B718" s="159" t="s">
        <v>545</v>
      </c>
      <c r="C718" s="206" t="s">
        <v>36</v>
      </c>
      <c r="D718" s="49" t="s">
        <v>118</v>
      </c>
      <c r="E718" s="56">
        <v>177.31</v>
      </c>
      <c r="F718" s="183" t="s">
        <v>118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2"/>
        <v>H_059</v>
      </c>
      <c r="K718" s="117"/>
    </row>
    <row r="719" spans="1:11" ht="15" customHeight="1">
      <c r="A719" s="42">
        <f t="shared" si="13"/>
        <v>60</v>
      </c>
      <c r="B719" s="159" t="s">
        <v>546</v>
      </c>
      <c r="C719" s="206" t="s">
        <v>36</v>
      </c>
      <c r="D719" s="49" t="s">
        <v>118</v>
      </c>
      <c r="E719" s="56">
        <v>177.31</v>
      </c>
      <c r="F719" s="183" t="s">
        <v>118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2"/>
        <v>H_060</v>
      </c>
      <c r="K719" s="117"/>
    </row>
    <row r="720" spans="1:11" ht="15" customHeight="1">
      <c r="A720" s="42">
        <f t="shared" si="13"/>
        <v>61</v>
      </c>
      <c r="B720" s="171" t="s">
        <v>547</v>
      </c>
      <c r="C720" s="206" t="s">
        <v>36</v>
      </c>
      <c r="D720" s="49" t="s">
        <v>118</v>
      </c>
      <c r="E720" s="44">
        <v>1280.44</v>
      </c>
      <c r="F720" s="177" t="s">
        <v>95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2"/>
        <v>H_061</v>
      </c>
      <c r="K720" s="117"/>
    </row>
    <row r="721" spans="1:11" ht="15" customHeight="1">
      <c r="A721" s="42">
        <f t="shared" si="13"/>
        <v>62</v>
      </c>
      <c r="B721" s="37" t="s">
        <v>548</v>
      </c>
      <c r="C721" s="206" t="s">
        <v>36</v>
      </c>
      <c r="D721" s="49" t="s">
        <v>118</v>
      </c>
      <c r="E721" s="56">
        <v>1280.44</v>
      </c>
      <c r="F721" s="177" t="s">
        <v>118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2"/>
        <v>H_062</v>
      </c>
      <c r="K721" s="117"/>
    </row>
    <row r="722" spans="1:11" ht="15" customHeight="1">
      <c r="A722" s="42">
        <f t="shared" si="13"/>
        <v>63</v>
      </c>
      <c r="B722" s="37" t="s">
        <v>549</v>
      </c>
      <c r="C722" s="206" t="s">
        <v>36</v>
      </c>
      <c r="D722" s="49" t="s">
        <v>118</v>
      </c>
      <c r="E722" s="44">
        <v>1280.44</v>
      </c>
      <c r="F722" s="177" t="s">
        <v>95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2"/>
        <v>H_063</v>
      </c>
      <c r="K722" s="117"/>
    </row>
    <row r="723" spans="1:11" ht="15" customHeight="1">
      <c r="A723" s="42">
        <f t="shared" si="13"/>
        <v>64</v>
      </c>
      <c r="B723" s="37" t="s">
        <v>550</v>
      </c>
      <c r="C723" s="206" t="s">
        <v>36</v>
      </c>
      <c r="D723" s="49" t="s">
        <v>118</v>
      </c>
      <c r="E723" s="44">
        <v>1280.44</v>
      </c>
      <c r="F723" s="177" t="s">
        <v>95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2"/>
        <v>H_064</v>
      </c>
      <c r="K723" s="117"/>
    </row>
    <row r="724" spans="1:11" ht="15" customHeight="1">
      <c r="A724" s="42">
        <f t="shared" si="13"/>
        <v>65</v>
      </c>
      <c r="B724" s="37" t="s">
        <v>551</v>
      </c>
      <c r="C724" s="206" t="s">
        <v>36</v>
      </c>
      <c r="D724" s="49" t="s">
        <v>118</v>
      </c>
      <c r="E724" s="44">
        <v>1280.44</v>
      </c>
      <c r="F724" s="177" t="s">
        <v>95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4">IFERROR(CONCATENATE(LEFT(C724,1),"_",TEXT(A724,"000")),"")</f>
        <v>H_065</v>
      </c>
      <c r="K724" s="117"/>
    </row>
    <row r="725" spans="1:11" ht="15" customHeight="1">
      <c r="A725" s="42">
        <f t="shared" ref="A725:A788" si="15">A724+1</f>
        <v>66</v>
      </c>
      <c r="B725" s="37" t="s">
        <v>552</v>
      </c>
      <c r="C725" s="206" t="s">
        <v>36</v>
      </c>
      <c r="D725" s="49" t="s">
        <v>118</v>
      </c>
      <c r="E725" s="56">
        <v>1280.44</v>
      </c>
      <c r="F725" s="177" t="s">
        <v>118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4"/>
        <v>H_066</v>
      </c>
      <c r="K725" s="117"/>
    </row>
    <row r="726" spans="1:11" ht="15" customHeight="1">
      <c r="A726" s="42">
        <f t="shared" si="15"/>
        <v>67</v>
      </c>
      <c r="B726" s="171" t="s">
        <v>553</v>
      </c>
      <c r="C726" s="206" t="s">
        <v>36</v>
      </c>
      <c r="D726" s="49" t="s">
        <v>118</v>
      </c>
      <c r="E726" s="44">
        <v>1280.44</v>
      </c>
      <c r="F726" s="177" t="s">
        <v>95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4"/>
        <v>H_067</v>
      </c>
      <c r="K726" s="117"/>
    </row>
    <row r="727" spans="1:11" ht="15" customHeight="1">
      <c r="A727" s="42">
        <f t="shared" si="15"/>
        <v>68</v>
      </c>
      <c r="B727" s="159" t="s">
        <v>554</v>
      </c>
      <c r="C727" s="206" t="s">
        <v>36</v>
      </c>
      <c r="D727" s="49" t="s">
        <v>118</v>
      </c>
      <c r="E727" s="56">
        <v>14750</v>
      </c>
      <c r="F727" s="183" t="s">
        <v>118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4"/>
        <v>H_068</v>
      </c>
      <c r="K727" s="117"/>
    </row>
    <row r="728" spans="1:11" ht="15" customHeight="1">
      <c r="A728" s="42">
        <f t="shared" si="15"/>
        <v>69</v>
      </c>
      <c r="B728" s="159" t="s">
        <v>555</v>
      </c>
      <c r="C728" s="206" t="s">
        <v>36</v>
      </c>
      <c r="D728" s="49" t="s">
        <v>118</v>
      </c>
      <c r="E728" s="56">
        <v>14750</v>
      </c>
      <c r="F728" s="183" t="s">
        <v>118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4"/>
        <v>H_069</v>
      </c>
      <c r="K728" s="117"/>
    </row>
    <row r="729" spans="1:11" ht="15" customHeight="1">
      <c r="A729" s="42">
        <f t="shared" si="15"/>
        <v>70</v>
      </c>
      <c r="B729" s="159" t="s">
        <v>556</v>
      </c>
      <c r="C729" s="206" t="s">
        <v>36</v>
      </c>
      <c r="D729" s="49" t="s">
        <v>118</v>
      </c>
      <c r="E729" s="56">
        <v>4799.2700000000004</v>
      </c>
      <c r="F729" s="183" t="s">
        <v>118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4"/>
        <v>H_070</v>
      </c>
      <c r="K729" s="117"/>
    </row>
    <row r="730" spans="1:11" ht="15" customHeight="1">
      <c r="A730" s="42">
        <f t="shared" si="15"/>
        <v>71</v>
      </c>
      <c r="B730" s="159" t="s">
        <v>557</v>
      </c>
      <c r="C730" s="206" t="s">
        <v>36</v>
      </c>
      <c r="D730" s="49" t="s">
        <v>118</v>
      </c>
      <c r="E730" s="56">
        <v>4799.2700000000004</v>
      </c>
      <c r="F730" s="183" t="s">
        <v>118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4"/>
        <v>H_071</v>
      </c>
      <c r="K730" s="117"/>
    </row>
    <row r="731" spans="1:11" ht="15" customHeight="1">
      <c r="A731" s="42">
        <f t="shared" si="15"/>
        <v>72</v>
      </c>
      <c r="B731" s="159" t="s">
        <v>558</v>
      </c>
      <c r="C731" s="206" t="s">
        <v>36</v>
      </c>
      <c r="D731" s="49" t="s">
        <v>118</v>
      </c>
      <c r="E731" s="56">
        <v>1000</v>
      </c>
      <c r="F731" s="183" t="s">
        <v>118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4"/>
        <v>H_072</v>
      </c>
      <c r="K731" s="117"/>
    </row>
    <row r="732" spans="1:11" ht="15" customHeight="1">
      <c r="A732" s="42">
        <f t="shared" si="15"/>
        <v>73</v>
      </c>
      <c r="B732" s="159" t="s">
        <v>559</v>
      </c>
      <c r="C732" s="206" t="s">
        <v>36</v>
      </c>
      <c r="D732" s="49" t="s">
        <v>118</v>
      </c>
      <c r="E732" s="56">
        <v>1000</v>
      </c>
      <c r="F732" s="183" t="s">
        <v>118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4"/>
        <v>H_073</v>
      </c>
      <c r="K732" s="117"/>
    </row>
    <row r="733" spans="1:11" ht="15" customHeight="1">
      <c r="A733" s="42">
        <f t="shared" si="15"/>
        <v>74</v>
      </c>
      <c r="B733" s="159" t="s">
        <v>560</v>
      </c>
      <c r="C733" s="206" t="s">
        <v>36</v>
      </c>
      <c r="D733" s="49" t="s">
        <v>118</v>
      </c>
      <c r="E733" s="56">
        <v>6957.9299999999994</v>
      </c>
      <c r="F733" s="183" t="s">
        <v>118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4"/>
        <v>H_074</v>
      </c>
      <c r="K733" s="117"/>
    </row>
    <row r="734" spans="1:11" ht="15" customHeight="1">
      <c r="A734" s="42">
        <f t="shared" si="15"/>
        <v>75</v>
      </c>
      <c r="B734" s="159" t="s">
        <v>561</v>
      </c>
      <c r="C734" s="206" t="s">
        <v>36</v>
      </c>
      <c r="D734" s="49" t="s">
        <v>118</v>
      </c>
      <c r="E734" s="56">
        <v>6957.9299999999994</v>
      </c>
      <c r="F734" s="183" t="s">
        <v>118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4"/>
        <v>H_075</v>
      </c>
      <c r="K734" s="117"/>
    </row>
    <row r="735" spans="1:11" ht="15" customHeight="1">
      <c r="A735" s="42">
        <f t="shared" si="15"/>
        <v>76</v>
      </c>
      <c r="B735" s="159" t="s">
        <v>562</v>
      </c>
      <c r="C735" s="206" t="s">
        <v>36</v>
      </c>
      <c r="D735" s="49" t="s">
        <v>118</v>
      </c>
      <c r="E735" s="56">
        <v>6957.9299999999994</v>
      </c>
      <c r="F735" s="183" t="s">
        <v>118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4"/>
        <v>H_076</v>
      </c>
      <c r="K735" s="117"/>
    </row>
    <row r="736" spans="1:11" ht="15" customHeight="1">
      <c r="A736" s="42">
        <f t="shared" si="15"/>
        <v>77</v>
      </c>
      <c r="B736" s="159" t="s">
        <v>563</v>
      </c>
      <c r="C736" s="206" t="s">
        <v>36</v>
      </c>
      <c r="D736" s="49" t="s">
        <v>118</v>
      </c>
      <c r="E736" s="56">
        <v>6957.9299999999994</v>
      </c>
      <c r="F736" s="183" t="s">
        <v>118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4"/>
        <v>H_077</v>
      </c>
      <c r="K736" s="117"/>
    </row>
    <row r="737" spans="1:11" ht="15" customHeight="1">
      <c r="A737" s="42">
        <f t="shared" si="15"/>
        <v>78</v>
      </c>
      <c r="B737" s="159" t="s">
        <v>564</v>
      </c>
      <c r="C737" s="206" t="s">
        <v>36</v>
      </c>
      <c r="D737" s="49" t="s">
        <v>118</v>
      </c>
      <c r="E737" s="56">
        <v>6957.9299999999994</v>
      </c>
      <c r="F737" s="183" t="s">
        <v>118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4"/>
        <v>H_078</v>
      </c>
      <c r="K737" s="117"/>
    </row>
    <row r="738" spans="1:11" ht="15" customHeight="1">
      <c r="A738" s="42">
        <f t="shared" si="15"/>
        <v>79</v>
      </c>
      <c r="B738" s="159" t="s">
        <v>565</v>
      </c>
      <c r="C738" s="206" t="s">
        <v>36</v>
      </c>
      <c r="D738" s="49" t="s">
        <v>118</v>
      </c>
      <c r="E738" s="56">
        <v>6957.9299999999994</v>
      </c>
      <c r="F738" s="183" t="s">
        <v>118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4"/>
        <v>H_079</v>
      </c>
      <c r="K738" s="117"/>
    </row>
    <row r="739" spans="1:11" ht="15" customHeight="1">
      <c r="A739" s="42">
        <f t="shared" si="15"/>
        <v>80</v>
      </c>
      <c r="B739" s="159" t="s">
        <v>566</v>
      </c>
      <c r="C739" s="206" t="s">
        <v>36</v>
      </c>
      <c r="D739" s="49" t="s">
        <v>118</v>
      </c>
      <c r="E739" s="56">
        <v>6957.9299999999994</v>
      </c>
      <c r="F739" s="183" t="s">
        <v>118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4"/>
        <v>H_080</v>
      </c>
      <c r="K739" s="117"/>
    </row>
    <row r="740" spans="1:11" ht="15" customHeight="1">
      <c r="A740" s="42">
        <f t="shared" si="15"/>
        <v>81</v>
      </c>
      <c r="B740" s="159" t="s">
        <v>567</v>
      </c>
      <c r="C740" s="206" t="s">
        <v>36</v>
      </c>
      <c r="D740" s="49" t="s">
        <v>118</v>
      </c>
      <c r="E740" s="56">
        <v>6957.9299999999994</v>
      </c>
      <c r="F740" s="183" t="s">
        <v>118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4"/>
        <v>H_081</v>
      </c>
      <c r="K740" s="117"/>
    </row>
    <row r="741" spans="1:11" ht="15" customHeight="1">
      <c r="A741" s="42">
        <f t="shared" si="15"/>
        <v>82</v>
      </c>
      <c r="B741" s="159" t="s">
        <v>568</v>
      </c>
      <c r="C741" s="206" t="s">
        <v>36</v>
      </c>
      <c r="D741" s="49" t="s">
        <v>118</v>
      </c>
      <c r="E741" s="56">
        <v>6957.9299999999994</v>
      </c>
      <c r="F741" s="183" t="s">
        <v>118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4"/>
        <v>H_082</v>
      </c>
      <c r="K741" s="117"/>
    </row>
    <row r="742" spans="1:11" ht="15" customHeight="1">
      <c r="A742" s="42">
        <f t="shared" si="15"/>
        <v>83</v>
      </c>
      <c r="B742" s="159" t="s">
        <v>569</v>
      </c>
      <c r="C742" s="206" t="s">
        <v>36</v>
      </c>
      <c r="D742" s="49" t="s">
        <v>118</v>
      </c>
      <c r="E742" s="56">
        <v>6957.9299999999994</v>
      </c>
      <c r="F742" s="183" t="s">
        <v>118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4"/>
        <v>H_083</v>
      </c>
      <c r="K742" s="117"/>
    </row>
    <row r="743" spans="1:11" ht="15" customHeight="1">
      <c r="A743" s="42">
        <f t="shared" si="15"/>
        <v>84</v>
      </c>
      <c r="B743" s="159" t="s">
        <v>570</v>
      </c>
      <c r="C743" s="206" t="s">
        <v>36</v>
      </c>
      <c r="D743" s="49" t="s">
        <v>118</v>
      </c>
      <c r="E743" s="56">
        <v>6957.9299999999994</v>
      </c>
      <c r="F743" s="183" t="s">
        <v>118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4"/>
        <v>H_084</v>
      </c>
      <c r="K743" s="117"/>
    </row>
    <row r="744" spans="1:11" ht="15" customHeight="1">
      <c r="A744" s="42">
        <f t="shared" si="15"/>
        <v>85</v>
      </c>
      <c r="B744" s="159" t="s">
        <v>571</v>
      </c>
      <c r="C744" s="206" t="s">
        <v>36</v>
      </c>
      <c r="D744" s="49" t="s">
        <v>118</v>
      </c>
      <c r="E744" s="56">
        <v>6957.9299999999994</v>
      </c>
      <c r="F744" s="183" t="s">
        <v>118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4"/>
        <v>H_085</v>
      </c>
      <c r="K744" s="117"/>
    </row>
    <row r="745" spans="1:11" ht="15" customHeight="1">
      <c r="A745" s="42">
        <f t="shared" si="15"/>
        <v>86</v>
      </c>
      <c r="B745" s="37" t="s">
        <v>572</v>
      </c>
      <c r="C745" s="206" t="s">
        <v>36</v>
      </c>
      <c r="D745" s="49" t="s">
        <v>118</v>
      </c>
      <c r="E745" s="44">
        <v>3700</v>
      </c>
      <c r="F745" s="177" t="s">
        <v>118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4"/>
        <v>H_086</v>
      </c>
      <c r="K745" s="117"/>
    </row>
    <row r="746" spans="1:11" ht="15" customHeight="1">
      <c r="A746" s="42">
        <f t="shared" si="15"/>
        <v>87</v>
      </c>
      <c r="B746" s="37" t="s">
        <v>573</v>
      </c>
      <c r="C746" s="206" t="s">
        <v>36</v>
      </c>
      <c r="D746" s="49" t="s">
        <v>118</v>
      </c>
      <c r="E746" s="44">
        <v>3700</v>
      </c>
      <c r="F746" s="177" t="s">
        <v>118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4"/>
        <v>H_087</v>
      </c>
      <c r="K746" s="117"/>
    </row>
    <row r="747" spans="1:11" ht="15" customHeight="1">
      <c r="A747" s="42">
        <f t="shared" si="15"/>
        <v>88</v>
      </c>
      <c r="B747" s="159" t="s">
        <v>574</v>
      </c>
      <c r="C747" s="206" t="s">
        <v>36</v>
      </c>
      <c r="D747" s="49" t="s">
        <v>118</v>
      </c>
      <c r="E747" s="56">
        <v>1200</v>
      </c>
      <c r="F747" s="183" t="s">
        <v>118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4"/>
        <v>H_088</v>
      </c>
      <c r="K747" s="117"/>
    </row>
    <row r="748" spans="1:11" ht="15" customHeight="1">
      <c r="A748" s="42">
        <f t="shared" si="15"/>
        <v>89</v>
      </c>
      <c r="B748" s="159" t="s">
        <v>575</v>
      </c>
      <c r="C748" s="206" t="s">
        <v>36</v>
      </c>
      <c r="D748" s="49" t="s">
        <v>118</v>
      </c>
      <c r="E748" s="56">
        <v>1200</v>
      </c>
      <c r="F748" s="183" t="s">
        <v>118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4"/>
        <v>H_089</v>
      </c>
      <c r="K748" s="117"/>
    </row>
    <row r="749" spans="1:11" ht="15" customHeight="1">
      <c r="A749" s="42">
        <f t="shared" si="15"/>
        <v>90</v>
      </c>
      <c r="B749" s="159" t="s">
        <v>576</v>
      </c>
      <c r="C749" s="206" t="s">
        <v>36</v>
      </c>
      <c r="D749" s="49" t="s">
        <v>118</v>
      </c>
      <c r="E749" s="56">
        <v>1200</v>
      </c>
      <c r="F749" s="183" t="s">
        <v>118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4"/>
        <v>H_090</v>
      </c>
      <c r="K749" s="117"/>
    </row>
    <row r="750" spans="1:11" ht="15" customHeight="1">
      <c r="A750" s="42">
        <f t="shared" si="15"/>
        <v>91</v>
      </c>
      <c r="B750" s="159" t="s">
        <v>577</v>
      </c>
      <c r="C750" s="206" t="s">
        <v>36</v>
      </c>
      <c r="D750" s="49" t="s">
        <v>118</v>
      </c>
      <c r="E750" s="56">
        <v>1200</v>
      </c>
      <c r="F750" s="183" t="s">
        <v>118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4"/>
        <v>H_091</v>
      </c>
      <c r="K750" s="117"/>
    </row>
    <row r="751" spans="1:11" ht="15" customHeight="1">
      <c r="A751" s="42">
        <f t="shared" si="15"/>
        <v>92</v>
      </c>
      <c r="B751" s="159" t="s">
        <v>578</v>
      </c>
      <c r="C751" s="206" t="s">
        <v>36</v>
      </c>
      <c r="D751" s="49" t="s">
        <v>118</v>
      </c>
      <c r="E751" s="56">
        <v>1200</v>
      </c>
      <c r="F751" s="183" t="s">
        <v>118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4"/>
        <v>H_092</v>
      </c>
      <c r="K751" s="117"/>
    </row>
    <row r="752" spans="1:11" ht="15" customHeight="1">
      <c r="A752" s="42">
        <f t="shared" si="15"/>
        <v>93</v>
      </c>
      <c r="B752" s="159" t="s">
        <v>579</v>
      </c>
      <c r="C752" s="206" t="s">
        <v>36</v>
      </c>
      <c r="D752" s="49" t="s">
        <v>118</v>
      </c>
      <c r="E752" s="56">
        <v>873.94</v>
      </c>
      <c r="F752" s="183" t="s">
        <v>118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4"/>
        <v>H_093</v>
      </c>
      <c r="K752" s="117"/>
    </row>
    <row r="753" spans="1:11" ht="15" customHeight="1">
      <c r="A753" s="42">
        <f t="shared" si="15"/>
        <v>94</v>
      </c>
      <c r="B753" s="159" t="s">
        <v>580</v>
      </c>
      <c r="C753" s="206" t="s">
        <v>36</v>
      </c>
      <c r="D753" s="49" t="s">
        <v>118</v>
      </c>
      <c r="E753" s="56">
        <v>873.94</v>
      </c>
      <c r="F753" s="183" t="s">
        <v>118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4"/>
        <v>H_094</v>
      </c>
      <c r="K753" s="117"/>
    </row>
    <row r="754" spans="1:11" ht="15" customHeight="1">
      <c r="A754" s="42">
        <f t="shared" si="15"/>
        <v>95</v>
      </c>
      <c r="B754" s="159" t="s">
        <v>581</v>
      </c>
      <c r="C754" s="206" t="s">
        <v>36</v>
      </c>
      <c r="D754" s="49" t="s">
        <v>118</v>
      </c>
      <c r="E754" s="56">
        <v>873.94</v>
      </c>
      <c r="F754" s="183" t="s">
        <v>118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4"/>
        <v>H_095</v>
      </c>
      <c r="K754" s="117"/>
    </row>
    <row r="755" spans="1:11" ht="15" customHeight="1">
      <c r="A755" s="42">
        <f t="shared" si="15"/>
        <v>96</v>
      </c>
      <c r="B755" s="159" t="s">
        <v>582</v>
      </c>
      <c r="C755" s="206" t="s">
        <v>36</v>
      </c>
      <c r="D755" s="49" t="s">
        <v>118</v>
      </c>
      <c r="E755" s="56">
        <v>1173.3399999999999</v>
      </c>
      <c r="F755" s="183" t="s">
        <v>118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4"/>
        <v>H_096</v>
      </c>
      <c r="K755" s="117"/>
    </row>
    <row r="756" spans="1:11" ht="15" customHeight="1">
      <c r="A756" s="42">
        <f t="shared" si="15"/>
        <v>97</v>
      </c>
      <c r="B756" s="159" t="s">
        <v>583</v>
      </c>
      <c r="C756" s="206" t="s">
        <v>36</v>
      </c>
      <c r="D756" s="49" t="s">
        <v>118</v>
      </c>
      <c r="E756" s="56">
        <v>998.41</v>
      </c>
      <c r="F756" s="183" t="s">
        <v>118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4"/>
        <v>H_097</v>
      </c>
      <c r="K756" s="117"/>
    </row>
    <row r="757" spans="1:11" ht="15" customHeight="1">
      <c r="A757" s="42">
        <f t="shared" si="15"/>
        <v>98</v>
      </c>
      <c r="B757" s="159" t="s">
        <v>584</v>
      </c>
      <c r="C757" s="206" t="s">
        <v>36</v>
      </c>
      <c r="D757" s="49" t="s">
        <v>118</v>
      </c>
      <c r="E757" s="56">
        <v>998.41</v>
      </c>
      <c r="F757" s="183" t="s">
        <v>118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4"/>
        <v>H_098</v>
      </c>
      <c r="K757" s="117"/>
    </row>
    <row r="758" spans="1:11" ht="15" customHeight="1">
      <c r="A758" s="42">
        <f t="shared" si="15"/>
        <v>99</v>
      </c>
      <c r="B758" s="159" t="s">
        <v>585</v>
      </c>
      <c r="C758" s="206" t="s">
        <v>36</v>
      </c>
      <c r="D758" s="49" t="s">
        <v>118</v>
      </c>
      <c r="E758" s="56">
        <v>998.41</v>
      </c>
      <c r="F758" s="183" t="s">
        <v>118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4"/>
        <v>H_099</v>
      </c>
      <c r="K758" s="117"/>
    </row>
    <row r="759" spans="1:11" ht="15" customHeight="1">
      <c r="A759" s="42">
        <f t="shared" si="15"/>
        <v>100</v>
      </c>
      <c r="B759" s="159" t="s">
        <v>586</v>
      </c>
      <c r="C759" s="206" t="s">
        <v>36</v>
      </c>
      <c r="D759" s="49" t="s">
        <v>118</v>
      </c>
      <c r="E759" s="56">
        <v>998.41</v>
      </c>
      <c r="F759" s="183" t="s">
        <v>118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4"/>
        <v>H_100</v>
      </c>
      <c r="K759" s="117"/>
    </row>
    <row r="760" spans="1:11" ht="15" customHeight="1">
      <c r="A760" s="42">
        <f t="shared" si="15"/>
        <v>101</v>
      </c>
      <c r="B760" s="159" t="s">
        <v>587</v>
      </c>
      <c r="C760" s="206" t="s">
        <v>36</v>
      </c>
      <c r="D760" s="49" t="s">
        <v>118</v>
      </c>
      <c r="E760" s="56">
        <v>1173.3399999999999</v>
      </c>
      <c r="F760" s="183" t="s">
        <v>118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4"/>
        <v>H_101</v>
      </c>
      <c r="K760" s="117"/>
    </row>
    <row r="761" spans="1:11" ht="15" customHeight="1">
      <c r="A761" s="42">
        <f t="shared" si="15"/>
        <v>102</v>
      </c>
      <c r="B761" s="159" t="s">
        <v>588</v>
      </c>
      <c r="C761" s="206" t="s">
        <v>36</v>
      </c>
      <c r="D761" s="49" t="s">
        <v>118</v>
      </c>
      <c r="E761" s="56">
        <v>998.41</v>
      </c>
      <c r="F761" s="183" t="s">
        <v>118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4"/>
        <v>H_102</v>
      </c>
      <c r="K761" s="117"/>
    </row>
    <row r="762" spans="1:11" ht="15" customHeight="1">
      <c r="A762" s="42">
        <f t="shared" si="15"/>
        <v>103</v>
      </c>
      <c r="B762" s="159" t="s">
        <v>589</v>
      </c>
      <c r="C762" s="206" t="s">
        <v>36</v>
      </c>
      <c r="D762" s="49" t="s">
        <v>118</v>
      </c>
      <c r="E762" s="56">
        <v>998.41</v>
      </c>
      <c r="F762" s="183" t="s">
        <v>118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4"/>
        <v>H_103</v>
      </c>
      <c r="K762" s="117"/>
    </row>
    <row r="763" spans="1:11" ht="15" customHeight="1">
      <c r="A763" s="42">
        <f t="shared" si="15"/>
        <v>104</v>
      </c>
      <c r="B763" s="159" t="s">
        <v>590</v>
      </c>
      <c r="C763" s="206" t="s">
        <v>36</v>
      </c>
      <c r="D763" s="49" t="s">
        <v>118</v>
      </c>
      <c r="E763" s="56">
        <v>1173.3399999999999</v>
      </c>
      <c r="F763" s="183" t="s">
        <v>118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4"/>
        <v>H_104</v>
      </c>
      <c r="K763" s="117"/>
    </row>
    <row r="764" spans="1:11" ht="15" customHeight="1">
      <c r="A764" s="42">
        <f t="shared" si="15"/>
        <v>105</v>
      </c>
      <c r="B764" s="159" t="s">
        <v>591</v>
      </c>
      <c r="C764" s="206" t="s">
        <v>36</v>
      </c>
      <c r="D764" s="49" t="s">
        <v>118</v>
      </c>
      <c r="E764" s="56">
        <v>998.41</v>
      </c>
      <c r="F764" s="183" t="s">
        <v>118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4"/>
        <v>H_105</v>
      </c>
      <c r="K764" s="117"/>
    </row>
    <row r="765" spans="1:11" ht="15" customHeight="1">
      <c r="A765" s="42">
        <f t="shared" si="15"/>
        <v>106</v>
      </c>
      <c r="B765" s="159" t="s">
        <v>592</v>
      </c>
      <c r="C765" s="206" t="s">
        <v>36</v>
      </c>
      <c r="D765" s="49" t="s">
        <v>118</v>
      </c>
      <c r="E765" s="56">
        <v>998.41</v>
      </c>
      <c r="F765" s="183" t="s">
        <v>118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4"/>
        <v>H_106</v>
      </c>
      <c r="K765" s="117"/>
    </row>
    <row r="766" spans="1:11" ht="15" customHeight="1">
      <c r="A766" s="42">
        <f t="shared" si="15"/>
        <v>107</v>
      </c>
      <c r="B766" s="159" t="s">
        <v>593</v>
      </c>
      <c r="C766" s="206" t="s">
        <v>36</v>
      </c>
      <c r="D766" s="49" t="s">
        <v>118</v>
      </c>
      <c r="E766" s="56">
        <v>1018.64</v>
      </c>
      <c r="F766" s="183" t="s">
        <v>118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4"/>
        <v>H_107</v>
      </c>
      <c r="K766" s="117"/>
    </row>
    <row r="767" spans="1:11" ht="15" customHeight="1">
      <c r="A767" s="42">
        <f t="shared" si="15"/>
        <v>108</v>
      </c>
      <c r="B767" s="159" t="s">
        <v>594</v>
      </c>
      <c r="C767" s="206" t="s">
        <v>36</v>
      </c>
      <c r="D767" s="49" t="s">
        <v>118</v>
      </c>
      <c r="E767" s="56">
        <v>1173.3399999999999</v>
      </c>
      <c r="F767" s="183" t="s">
        <v>118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4"/>
        <v>H_108</v>
      </c>
      <c r="K767" s="117"/>
    </row>
    <row r="768" spans="1:11" ht="15" customHeight="1">
      <c r="A768" s="42">
        <f t="shared" si="15"/>
        <v>109</v>
      </c>
      <c r="B768" s="159" t="s">
        <v>595</v>
      </c>
      <c r="C768" s="206" t="s">
        <v>36</v>
      </c>
      <c r="D768" s="49" t="s">
        <v>118</v>
      </c>
      <c r="E768" s="56">
        <v>1173.3399999999999</v>
      </c>
      <c r="F768" s="183" t="s">
        <v>118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4"/>
        <v>H_109</v>
      </c>
      <c r="K768" s="117"/>
    </row>
    <row r="769" spans="1:11" ht="15" customHeight="1">
      <c r="A769" s="42">
        <f t="shared" si="15"/>
        <v>110</v>
      </c>
      <c r="B769" s="159" t="s">
        <v>596</v>
      </c>
      <c r="C769" s="206" t="s">
        <v>36</v>
      </c>
      <c r="D769" s="49" t="s">
        <v>118</v>
      </c>
      <c r="E769" s="56">
        <v>1018.64</v>
      </c>
      <c r="F769" s="183" t="s">
        <v>118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4"/>
        <v>H_110</v>
      </c>
      <c r="K769" s="117"/>
    </row>
    <row r="770" spans="1:11" ht="15" customHeight="1">
      <c r="A770" s="42">
        <f t="shared" si="15"/>
        <v>111</v>
      </c>
      <c r="B770" s="159" t="s">
        <v>597</v>
      </c>
      <c r="C770" s="206" t="s">
        <v>36</v>
      </c>
      <c r="D770" s="49" t="s">
        <v>118</v>
      </c>
      <c r="E770" s="56">
        <v>1018.64</v>
      </c>
      <c r="F770" s="183" t="s">
        <v>118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4"/>
        <v>H_111</v>
      </c>
      <c r="K770" s="117"/>
    </row>
    <row r="771" spans="1:11" ht="15" customHeight="1">
      <c r="A771" s="42">
        <f t="shared" si="15"/>
        <v>112</v>
      </c>
      <c r="B771" s="159" t="s">
        <v>598</v>
      </c>
      <c r="C771" s="206" t="s">
        <v>36</v>
      </c>
      <c r="D771" s="49" t="s">
        <v>118</v>
      </c>
      <c r="E771" s="56">
        <v>2746.52</v>
      </c>
      <c r="F771" s="183" t="s">
        <v>118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4"/>
        <v>H_112</v>
      </c>
      <c r="K771" s="117"/>
    </row>
    <row r="772" spans="1:11" ht="15" customHeight="1">
      <c r="A772" s="42">
        <f t="shared" si="15"/>
        <v>113</v>
      </c>
      <c r="B772" s="159" t="s">
        <v>599</v>
      </c>
      <c r="C772" s="206" t="s">
        <v>36</v>
      </c>
      <c r="D772" s="49" t="s">
        <v>118</v>
      </c>
      <c r="E772" s="56">
        <v>1173.3399999999999</v>
      </c>
      <c r="F772" s="183" t="s">
        <v>118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4"/>
        <v>H_113</v>
      </c>
      <c r="K772" s="117"/>
    </row>
    <row r="773" spans="1:11" ht="15" customHeight="1">
      <c r="A773" s="42">
        <f t="shared" si="15"/>
        <v>114</v>
      </c>
      <c r="B773" s="159" t="s">
        <v>600</v>
      </c>
      <c r="C773" s="206" t="s">
        <v>36</v>
      </c>
      <c r="D773" s="49" t="s">
        <v>118</v>
      </c>
      <c r="E773" s="56">
        <v>1173.3399999999999</v>
      </c>
      <c r="F773" s="183" t="s">
        <v>118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4"/>
        <v>H_114</v>
      </c>
      <c r="K773" s="117"/>
    </row>
    <row r="774" spans="1:11" ht="15" customHeight="1">
      <c r="A774" s="42">
        <f t="shared" si="15"/>
        <v>115</v>
      </c>
      <c r="B774" s="159" t="s">
        <v>601</v>
      </c>
      <c r="C774" s="206" t="s">
        <v>36</v>
      </c>
      <c r="D774" s="49" t="s">
        <v>118</v>
      </c>
      <c r="E774" s="56">
        <v>1173.3399999999999</v>
      </c>
      <c r="F774" s="183" t="s">
        <v>118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4"/>
        <v>H_115</v>
      </c>
      <c r="K774" s="117"/>
    </row>
    <row r="775" spans="1:11" ht="15" customHeight="1">
      <c r="A775" s="42">
        <f t="shared" si="15"/>
        <v>116</v>
      </c>
      <c r="B775" s="159" t="s">
        <v>602</v>
      </c>
      <c r="C775" s="206" t="s">
        <v>36</v>
      </c>
      <c r="D775" s="49" t="s">
        <v>118</v>
      </c>
      <c r="E775" s="56">
        <v>1173.3399999999999</v>
      </c>
      <c r="F775" s="183" t="s">
        <v>118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4"/>
        <v>H_116</v>
      </c>
      <c r="K775" s="117"/>
    </row>
    <row r="776" spans="1:11" ht="15" customHeight="1">
      <c r="A776" s="42">
        <f t="shared" si="15"/>
        <v>117</v>
      </c>
      <c r="B776" s="159" t="s">
        <v>603</v>
      </c>
      <c r="C776" s="206" t="s">
        <v>36</v>
      </c>
      <c r="D776" s="49" t="s">
        <v>118</v>
      </c>
      <c r="E776" s="56">
        <v>1173.3399999999999</v>
      </c>
      <c r="F776" s="183" t="s">
        <v>118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4"/>
        <v>H_117</v>
      </c>
      <c r="K776" s="117"/>
    </row>
    <row r="777" spans="1:11" ht="15" customHeight="1">
      <c r="A777" s="42">
        <f t="shared" si="15"/>
        <v>118</v>
      </c>
      <c r="B777" s="159" t="s">
        <v>604</v>
      </c>
      <c r="C777" s="206" t="s">
        <v>36</v>
      </c>
      <c r="D777" s="49" t="s">
        <v>118</v>
      </c>
      <c r="E777" s="56">
        <v>1173.3399999999999</v>
      </c>
      <c r="F777" s="183" t="s">
        <v>118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4"/>
        <v>H_118</v>
      </c>
      <c r="K777" s="117"/>
    </row>
    <row r="778" spans="1:11" ht="15" customHeight="1">
      <c r="A778" s="42">
        <f t="shared" si="15"/>
        <v>119</v>
      </c>
      <c r="B778" s="159" t="s">
        <v>605</v>
      </c>
      <c r="C778" s="206" t="s">
        <v>36</v>
      </c>
      <c r="D778" s="49" t="s">
        <v>118</v>
      </c>
      <c r="E778" s="56">
        <v>1173.3399999999999</v>
      </c>
      <c r="F778" s="183" t="s">
        <v>118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4"/>
        <v>H_119</v>
      </c>
      <c r="K778" s="117"/>
    </row>
    <row r="779" spans="1:11" ht="15" customHeight="1">
      <c r="A779" s="42">
        <f t="shared" si="15"/>
        <v>120</v>
      </c>
      <c r="B779" s="159" t="s">
        <v>606</v>
      </c>
      <c r="C779" s="206" t="s">
        <v>36</v>
      </c>
      <c r="D779" s="49" t="s">
        <v>118</v>
      </c>
      <c r="E779" s="56">
        <v>1173.3399999999999</v>
      </c>
      <c r="F779" s="183" t="s">
        <v>118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4"/>
        <v>H_120</v>
      </c>
      <c r="K779" s="117"/>
    </row>
    <row r="780" spans="1:11" ht="15" customHeight="1">
      <c r="A780" s="42">
        <f t="shared" si="15"/>
        <v>121</v>
      </c>
      <c r="B780" s="159" t="s">
        <v>607</v>
      </c>
      <c r="C780" s="206" t="s">
        <v>36</v>
      </c>
      <c r="D780" s="49" t="s">
        <v>118</v>
      </c>
      <c r="E780" s="56">
        <v>1173.3399999999999</v>
      </c>
      <c r="F780" s="183" t="s">
        <v>118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4"/>
        <v>H_121</v>
      </c>
      <c r="K780" s="117"/>
    </row>
    <row r="781" spans="1:11" ht="15" customHeight="1">
      <c r="A781" s="42">
        <f t="shared" si="15"/>
        <v>122</v>
      </c>
      <c r="B781" s="37" t="s">
        <v>608</v>
      </c>
      <c r="C781" s="206" t="s">
        <v>36</v>
      </c>
      <c r="D781" s="49" t="s">
        <v>118</v>
      </c>
      <c r="E781" s="56">
        <v>2563</v>
      </c>
      <c r="F781" s="177" t="s">
        <v>118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4"/>
        <v>H_122</v>
      </c>
      <c r="K781" s="117"/>
    </row>
    <row r="782" spans="1:11" ht="15" customHeight="1">
      <c r="A782" s="42">
        <f t="shared" si="15"/>
        <v>123</v>
      </c>
      <c r="B782" s="37" t="s">
        <v>609</v>
      </c>
      <c r="C782" s="206" t="s">
        <v>36</v>
      </c>
      <c r="D782" s="49" t="s">
        <v>118</v>
      </c>
      <c r="E782" s="44">
        <v>2364.5299999999997</v>
      </c>
      <c r="F782" s="177" t="s">
        <v>118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4"/>
        <v>H_123</v>
      </c>
      <c r="K782" s="117"/>
    </row>
    <row r="783" spans="1:11" ht="15" customHeight="1">
      <c r="A783" s="42">
        <f t="shared" si="15"/>
        <v>124</v>
      </c>
      <c r="B783" s="37" t="s">
        <v>610</v>
      </c>
      <c r="C783" s="206" t="s">
        <v>36</v>
      </c>
      <c r="D783" s="49" t="s">
        <v>118</v>
      </c>
      <c r="E783" s="44">
        <v>2364.5299999999997</v>
      </c>
      <c r="F783" s="177" t="s">
        <v>118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4"/>
        <v>H_124</v>
      </c>
      <c r="K783" s="117"/>
    </row>
    <row r="784" spans="1:11" ht="15" customHeight="1">
      <c r="A784" s="42">
        <f t="shared" si="15"/>
        <v>125</v>
      </c>
      <c r="B784" s="37" t="s">
        <v>611</v>
      </c>
      <c r="C784" s="206" t="s">
        <v>36</v>
      </c>
      <c r="D784" s="49" t="s">
        <v>118</v>
      </c>
      <c r="E784" s="44">
        <v>2563</v>
      </c>
      <c r="F784" s="177" t="s">
        <v>118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4"/>
        <v>H_125</v>
      </c>
      <c r="K784" s="117"/>
    </row>
    <row r="785" spans="1:11" ht="15" customHeight="1">
      <c r="A785" s="42">
        <f t="shared" si="15"/>
        <v>126</v>
      </c>
      <c r="B785" s="37" t="s">
        <v>612</v>
      </c>
      <c r="C785" s="206" t="s">
        <v>36</v>
      </c>
      <c r="D785" s="49" t="s">
        <v>118</v>
      </c>
      <c r="E785" s="56">
        <v>2563</v>
      </c>
      <c r="F785" s="183" t="s">
        <v>118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4"/>
        <v>H_126</v>
      </c>
      <c r="K785" s="117"/>
    </row>
    <row r="786" spans="1:11" ht="15" customHeight="1">
      <c r="A786" s="42">
        <f t="shared" si="15"/>
        <v>127</v>
      </c>
      <c r="B786" s="37" t="s">
        <v>613</v>
      </c>
      <c r="C786" s="206" t="s">
        <v>36</v>
      </c>
      <c r="D786" s="49" t="s">
        <v>118</v>
      </c>
      <c r="E786" s="56">
        <v>2563</v>
      </c>
      <c r="F786" s="183" t="s">
        <v>118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4"/>
        <v>H_127</v>
      </c>
      <c r="K786" s="117"/>
    </row>
    <row r="787" spans="1:11" ht="15" customHeight="1">
      <c r="A787" s="42">
        <f t="shared" si="15"/>
        <v>128</v>
      </c>
      <c r="B787" s="37" t="s">
        <v>614</v>
      </c>
      <c r="C787" s="206" t="s">
        <v>36</v>
      </c>
      <c r="D787" s="49" t="s">
        <v>118</v>
      </c>
      <c r="E787" s="44">
        <v>2440.69</v>
      </c>
      <c r="F787" s="177" t="s">
        <v>118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4"/>
        <v>H_128</v>
      </c>
      <c r="K787" s="117"/>
    </row>
    <row r="788" spans="1:11" ht="15" customHeight="1">
      <c r="A788" s="42">
        <f t="shared" si="15"/>
        <v>129</v>
      </c>
      <c r="B788" s="37" t="s">
        <v>615</v>
      </c>
      <c r="C788" s="206" t="s">
        <v>36</v>
      </c>
      <c r="D788" s="49" t="s">
        <v>118</v>
      </c>
      <c r="E788" s="44">
        <v>2440.69</v>
      </c>
      <c r="F788" s="177" t="s">
        <v>118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16">IFERROR(CONCATENATE(LEFT(C788,1),"_",TEXT(A788,"000")),"")</f>
        <v>H_129</v>
      </c>
      <c r="K788" s="117"/>
    </row>
    <row r="789" spans="1:11" ht="15" customHeight="1">
      <c r="A789" s="42">
        <f t="shared" ref="A789:A852" si="17">A788+1</f>
        <v>130</v>
      </c>
      <c r="B789" s="159" t="s">
        <v>616</v>
      </c>
      <c r="C789" s="206" t="s">
        <v>36</v>
      </c>
      <c r="D789" s="49" t="s">
        <v>118</v>
      </c>
      <c r="E789" s="56">
        <v>873.94</v>
      </c>
      <c r="F789" s="183" t="s">
        <v>118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16"/>
        <v>H_130</v>
      </c>
      <c r="K789" s="117"/>
    </row>
    <row r="790" spans="1:11" ht="15" customHeight="1">
      <c r="A790" s="42">
        <f t="shared" si="17"/>
        <v>131</v>
      </c>
      <c r="B790" s="159" t="s">
        <v>617</v>
      </c>
      <c r="C790" s="206" t="s">
        <v>36</v>
      </c>
      <c r="D790" s="49" t="s">
        <v>118</v>
      </c>
      <c r="E790" s="56">
        <v>873.94</v>
      </c>
      <c r="F790" s="183" t="s">
        <v>118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16"/>
        <v>H_131</v>
      </c>
      <c r="K790" s="117"/>
    </row>
    <row r="791" spans="1:11" ht="15" customHeight="1">
      <c r="A791" s="42">
        <f t="shared" si="17"/>
        <v>132</v>
      </c>
      <c r="B791" s="159" t="s">
        <v>618</v>
      </c>
      <c r="C791" s="206" t="s">
        <v>36</v>
      </c>
      <c r="D791" s="49" t="s">
        <v>118</v>
      </c>
      <c r="E791" s="56">
        <v>873.94</v>
      </c>
      <c r="F791" s="183" t="s">
        <v>118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16"/>
        <v>H_132</v>
      </c>
      <c r="K791" s="117"/>
    </row>
    <row r="792" spans="1:11" ht="15" customHeight="1">
      <c r="A792" s="42">
        <f t="shared" si="17"/>
        <v>133</v>
      </c>
      <c r="B792" s="159" t="s">
        <v>619</v>
      </c>
      <c r="C792" s="206" t="s">
        <v>36</v>
      </c>
      <c r="D792" s="49" t="s">
        <v>118</v>
      </c>
      <c r="E792" s="56">
        <v>873.94</v>
      </c>
      <c r="F792" s="183" t="s">
        <v>118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16"/>
        <v>H_133</v>
      </c>
      <c r="K792" s="117"/>
    </row>
    <row r="793" spans="1:11" ht="15" customHeight="1">
      <c r="A793" s="42">
        <f t="shared" si="17"/>
        <v>134</v>
      </c>
      <c r="B793" s="159" t="s">
        <v>620</v>
      </c>
      <c r="C793" s="206" t="s">
        <v>36</v>
      </c>
      <c r="D793" s="49" t="s">
        <v>118</v>
      </c>
      <c r="E793" s="56">
        <v>873.94</v>
      </c>
      <c r="F793" s="183" t="s">
        <v>118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16"/>
        <v>H_134</v>
      </c>
      <c r="K793" s="117"/>
    </row>
    <row r="794" spans="1:11" ht="15" customHeight="1">
      <c r="A794" s="42">
        <f t="shared" si="17"/>
        <v>135</v>
      </c>
      <c r="B794" s="159" t="s">
        <v>621</v>
      </c>
      <c r="C794" s="206" t="s">
        <v>36</v>
      </c>
      <c r="D794" s="49" t="s">
        <v>118</v>
      </c>
      <c r="E794" s="56">
        <v>1547</v>
      </c>
      <c r="F794" s="183" t="s">
        <v>118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16"/>
        <v>H_135</v>
      </c>
      <c r="K794" s="117"/>
    </row>
    <row r="795" spans="1:11" ht="15" customHeight="1">
      <c r="A795" s="42">
        <f t="shared" si="17"/>
        <v>136</v>
      </c>
      <c r="B795" s="159" t="s">
        <v>622</v>
      </c>
      <c r="C795" s="206" t="s">
        <v>36</v>
      </c>
      <c r="D795" s="49" t="s">
        <v>118</v>
      </c>
      <c r="E795" s="56">
        <v>1547</v>
      </c>
      <c r="F795" s="183" t="s">
        <v>118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16"/>
        <v>H_136</v>
      </c>
      <c r="K795" s="117"/>
    </row>
    <row r="796" spans="1:11" ht="15" customHeight="1">
      <c r="A796" s="42">
        <f t="shared" si="17"/>
        <v>137</v>
      </c>
      <c r="B796" s="159" t="s">
        <v>623</v>
      </c>
      <c r="C796" s="206" t="s">
        <v>36</v>
      </c>
      <c r="D796" s="49" t="s">
        <v>118</v>
      </c>
      <c r="E796" s="56">
        <v>1547</v>
      </c>
      <c r="F796" s="183" t="s">
        <v>118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16"/>
        <v>H_137</v>
      </c>
      <c r="K796" s="117"/>
    </row>
    <row r="797" spans="1:11" ht="15" customHeight="1">
      <c r="A797" s="42">
        <f t="shared" si="17"/>
        <v>138</v>
      </c>
      <c r="B797" s="159" t="s">
        <v>624</v>
      </c>
      <c r="C797" s="206" t="s">
        <v>36</v>
      </c>
      <c r="D797" s="49" t="s">
        <v>118</v>
      </c>
      <c r="E797" s="56">
        <v>1850</v>
      </c>
      <c r="F797" s="183" t="s">
        <v>118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16"/>
        <v>H_138</v>
      </c>
      <c r="K797" s="117"/>
    </row>
    <row r="798" spans="1:11" ht="15" customHeight="1">
      <c r="A798" s="42">
        <f t="shared" si="17"/>
        <v>139</v>
      </c>
      <c r="B798" s="159" t="s">
        <v>625</v>
      </c>
      <c r="C798" s="206" t="s">
        <v>36</v>
      </c>
      <c r="D798" s="49" t="s">
        <v>118</v>
      </c>
      <c r="E798" s="56">
        <v>1850</v>
      </c>
      <c r="F798" s="183" t="s">
        <v>118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16"/>
        <v>H_139</v>
      </c>
      <c r="K798" s="117"/>
    </row>
    <row r="799" spans="1:11" ht="15" customHeight="1">
      <c r="A799" s="42">
        <f t="shared" si="17"/>
        <v>140</v>
      </c>
      <c r="B799" s="159" t="s">
        <v>626</v>
      </c>
      <c r="C799" s="206" t="s">
        <v>36</v>
      </c>
      <c r="D799" s="49" t="s">
        <v>118</v>
      </c>
      <c r="E799" s="56">
        <v>4799.2700000000004</v>
      </c>
      <c r="F799" s="183" t="s">
        <v>118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16"/>
        <v>H_140</v>
      </c>
      <c r="K799" s="117"/>
    </row>
    <row r="800" spans="1:11" ht="15" customHeight="1">
      <c r="A800" s="42">
        <f t="shared" si="17"/>
        <v>141</v>
      </c>
      <c r="B800" s="159" t="s">
        <v>627</v>
      </c>
      <c r="C800" s="206" t="s">
        <v>36</v>
      </c>
      <c r="D800" s="49" t="s">
        <v>118</v>
      </c>
      <c r="E800" s="56">
        <v>4799.2700000000004</v>
      </c>
      <c r="F800" s="183" t="s">
        <v>118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16"/>
        <v>H_141</v>
      </c>
      <c r="K800" s="117"/>
    </row>
    <row r="801" spans="1:11" ht="15" customHeight="1">
      <c r="A801" s="42">
        <f t="shared" si="17"/>
        <v>142</v>
      </c>
      <c r="B801" s="159" t="s">
        <v>628</v>
      </c>
      <c r="C801" s="206" t="s">
        <v>36</v>
      </c>
      <c r="D801" s="49" t="s">
        <v>118</v>
      </c>
      <c r="E801" s="56">
        <v>4799.2700000000004</v>
      </c>
      <c r="F801" s="183" t="s">
        <v>118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16"/>
        <v>H_142</v>
      </c>
      <c r="K801" s="117"/>
    </row>
    <row r="802" spans="1:11" ht="15" customHeight="1">
      <c r="A802" s="42">
        <f t="shared" si="17"/>
        <v>143</v>
      </c>
      <c r="B802" s="159" t="s">
        <v>629</v>
      </c>
      <c r="C802" s="206" t="s">
        <v>36</v>
      </c>
      <c r="D802" s="49" t="s">
        <v>118</v>
      </c>
      <c r="E802" s="56">
        <v>4799.2700000000004</v>
      </c>
      <c r="F802" s="183" t="s">
        <v>118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16"/>
        <v>H_143</v>
      </c>
      <c r="K802" s="117"/>
    </row>
    <row r="803" spans="1:11" ht="15" customHeight="1">
      <c r="A803" s="42">
        <f t="shared" si="17"/>
        <v>144</v>
      </c>
      <c r="B803" s="159" t="s">
        <v>630</v>
      </c>
      <c r="C803" s="206" t="s">
        <v>36</v>
      </c>
      <c r="D803" s="49" t="s">
        <v>118</v>
      </c>
      <c r="E803" s="56">
        <v>4799.2700000000004</v>
      </c>
      <c r="F803" s="183" t="s">
        <v>118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16"/>
        <v>H_144</v>
      </c>
      <c r="K803" s="117"/>
    </row>
    <row r="804" spans="1:11" ht="15" customHeight="1">
      <c r="A804" s="42">
        <f t="shared" si="17"/>
        <v>145</v>
      </c>
      <c r="B804" s="159" t="s">
        <v>631</v>
      </c>
      <c r="C804" s="206" t="s">
        <v>36</v>
      </c>
      <c r="D804" s="49" t="s">
        <v>118</v>
      </c>
      <c r="E804" s="56">
        <v>4799.2700000000004</v>
      </c>
      <c r="F804" s="183" t="s">
        <v>118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16"/>
        <v>H_145</v>
      </c>
      <c r="K804" s="117"/>
    </row>
    <row r="805" spans="1:11" ht="15" customHeight="1">
      <c r="A805" s="42">
        <f t="shared" si="17"/>
        <v>146</v>
      </c>
      <c r="B805" s="159" t="s">
        <v>632</v>
      </c>
      <c r="C805" s="206" t="s">
        <v>36</v>
      </c>
      <c r="D805" s="49" t="s">
        <v>118</v>
      </c>
      <c r="E805" s="56">
        <v>4799.2700000000004</v>
      </c>
      <c r="F805" s="183" t="s">
        <v>118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16"/>
        <v>H_146</v>
      </c>
      <c r="K805" s="117"/>
    </row>
    <row r="806" spans="1:11" ht="15" customHeight="1">
      <c r="A806" s="42">
        <f t="shared" si="17"/>
        <v>147</v>
      </c>
      <c r="B806" s="159" t="s">
        <v>633</v>
      </c>
      <c r="C806" s="206" t="s">
        <v>36</v>
      </c>
      <c r="D806" s="49" t="s">
        <v>118</v>
      </c>
      <c r="E806" s="56">
        <v>4799.2700000000004</v>
      </c>
      <c r="F806" s="183" t="s">
        <v>118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16"/>
        <v>H_147</v>
      </c>
      <c r="K806" s="117"/>
    </row>
    <row r="807" spans="1:11" ht="15" customHeight="1">
      <c r="A807" s="42">
        <f t="shared" si="17"/>
        <v>148</v>
      </c>
      <c r="B807" s="159" t="s">
        <v>634</v>
      </c>
      <c r="C807" s="206" t="s">
        <v>36</v>
      </c>
      <c r="D807" s="49" t="s">
        <v>118</v>
      </c>
      <c r="E807" s="56">
        <v>1000</v>
      </c>
      <c r="F807" s="183" t="s">
        <v>118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16"/>
        <v>H_148</v>
      </c>
      <c r="K807" s="117"/>
    </row>
    <row r="808" spans="1:11" ht="15" customHeight="1">
      <c r="A808" s="42">
        <f t="shared" si="17"/>
        <v>149</v>
      </c>
      <c r="B808" s="159" t="s">
        <v>635</v>
      </c>
      <c r="C808" s="206" t="s">
        <v>36</v>
      </c>
      <c r="D808" s="49" t="s">
        <v>118</v>
      </c>
      <c r="E808" s="56">
        <v>8973.7900000000009</v>
      </c>
      <c r="F808" s="183" t="s">
        <v>118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16"/>
        <v>H_149</v>
      </c>
      <c r="K808" s="117"/>
    </row>
    <row r="809" spans="1:11" ht="15" customHeight="1">
      <c r="A809" s="42">
        <f t="shared" si="17"/>
        <v>150</v>
      </c>
      <c r="B809" s="159" t="s">
        <v>636</v>
      </c>
      <c r="C809" s="206" t="s">
        <v>36</v>
      </c>
      <c r="D809" s="49" t="s">
        <v>118</v>
      </c>
      <c r="E809" s="56">
        <v>8973.7900000000009</v>
      </c>
      <c r="F809" s="183" t="s">
        <v>118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16"/>
        <v>H_150</v>
      </c>
      <c r="K809" s="117"/>
    </row>
    <row r="810" spans="1:11" ht="15" customHeight="1">
      <c r="A810" s="42">
        <f t="shared" si="17"/>
        <v>151</v>
      </c>
      <c r="B810" s="159" t="s">
        <v>637</v>
      </c>
      <c r="C810" s="206" t="s">
        <v>36</v>
      </c>
      <c r="D810" s="49" t="s">
        <v>118</v>
      </c>
      <c r="E810" s="56">
        <v>8973.7900000000009</v>
      </c>
      <c r="F810" s="183" t="s">
        <v>118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16"/>
        <v>H_151</v>
      </c>
      <c r="K810" s="117"/>
    </row>
    <row r="811" spans="1:11" ht="15" customHeight="1">
      <c r="A811" s="42">
        <f t="shared" si="17"/>
        <v>152</v>
      </c>
      <c r="B811" s="159" t="s">
        <v>638</v>
      </c>
      <c r="C811" s="206" t="s">
        <v>36</v>
      </c>
      <c r="D811" s="49" t="s">
        <v>118</v>
      </c>
      <c r="E811" s="56">
        <v>8973.7900000000009</v>
      </c>
      <c r="F811" s="183" t="s">
        <v>118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16"/>
        <v>H_152</v>
      </c>
      <c r="K811" s="117"/>
    </row>
    <row r="812" spans="1:11" ht="15" customHeight="1">
      <c r="A812" s="42">
        <f t="shared" si="17"/>
        <v>153</v>
      </c>
      <c r="B812" s="159" t="s">
        <v>639</v>
      </c>
      <c r="C812" s="206" t="s">
        <v>36</v>
      </c>
      <c r="D812" s="49" t="s">
        <v>118</v>
      </c>
      <c r="E812" s="56">
        <v>3844.89</v>
      </c>
      <c r="F812" s="183" t="s">
        <v>118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16"/>
        <v>H_153</v>
      </c>
      <c r="K812" s="117"/>
    </row>
    <row r="813" spans="1:11" ht="15" customHeight="1">
      <c r="A813" s="42">
        <f t="shared" si="17"/>
        <v>154</v>
      </c>
      <c r="B813" s="159" t="s">
        <v>640</v>
      </c>
      <c r="C813" s="206" t="s">
        <v>36</v>
      </c>
      <c r="D813" s="49" t="s">
        <v>118</v>
      </c>
      <c r="E813" s="56">
        <v>3844.89</v>
      </c>
      <c r="F813" s="183" t="s">
        <v>118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16"/>
        <v>H_154</v>
      </c>
      <c r="K813" s="117"/>
    </row>
    <row r="814" spans="1:11" ht="15" customHeight="1">
      <c r="A814" s="42">
        <f t="shared" si="17"/>
        <v>155</v>
      </c>
      <c r="B814" s="159" t="s">
        <v>641</v>
      </c>
      <c r="C814" s="206" t="s">
        <v>36</v>
      </c>
      <c r="D814" s="49" t="s">
        <v>118</v>
      </c>
      <c r="E814" s="56">
        <v>3844.89</v>
      </c>
      <c r="F814" s="183" t="s">
        <v>118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16"/>
        <v>H_155</v>
      </c>
      <c r="K814" s="117"/>
    </row>
    <row r="815" spans="1:11" ht="15" customHeight="1">
      <c r="A815" s="42">
        <f t="shared" si="17"/>
        <v>156</v>
      </c>
      <c r="B815" s="159" t="s">
        <v>642</v>
      </c>
      <c r="C815" s="206" t="s">
        <v>36</v>
      </c>
      <c r="D815" s="49" t="s">
        <v>118</v>
      </c>
      <c r="E815" s="56">
        <v>3844.89</v>
      </c>
      <c r="F815" s="183" t="s">
        <v>118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16"/>
        <v>H_156</v>
      </c>
      <c r="K815" s="117"/>
    </row>
    <row r="816" spans="1:11" ht="15" customHeight="1">
      <c r="A816" s="42">
        <f t="shared" si="17"/>
        <v>157</v>
      </c>
      <c r="B816" s="159" t="s">
        <v>643</v>
      </c>
      <c r="C816" s="206" t="s">
        <v>36</v>
      </c>
      <c r="D816" s="49" t="s">
        <v>118</v>
      </c>
      <c r="E816" s="56">
        <v>3844.89</v>
      </c>
      <c r="F816" s="183" t="s">
        <v>118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16"/>
        <v>H_157</v>
      </c>
      <c r="K816" s="117"/>
    </row>
    <row r="817" spans="1:11" ht="15" customHeight="1">
      <c r="A817" s="42">
        <f t="shared" si="17"/>
        <v>158</v>
      </c>
      <c r="B817" s="159" t="s">
        <v>644</v>
      </c>
      <c r="C817" s="206" t="s">
        <v>36</v>
      </c>
      <c r="D817" s="49" t="s">
        <v>118</v>
      </c>
      <c r="E817" s="56">
        <v>3844.89</v>
      </c>
      <c r="F817" s="183" t="s">
        <v>118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16"/>
        <v>H_158</v>
      </c>
      <c r="K817" s="117"/>
    </row>
    <row r="818" spans="1:11" ht="15" customHeight="1">
      <c r="A818" s="42">
        <f t="shared" si="17"/>
        <v>159</v>
      </c>
      <c r="B818" s="159" t="s">
        <v>645</v>
      </c>
      <c r="C818" s="206" t="s">
        <v>36</v>
      </c>
      <c r="D818" s="49" t="s">
        <v>118</v>
      </c>
      <c r="E818" s="56">
        <v>3844.89</v>
      </c>
      <c r="F818" s="183" t="s">
        <v>118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16"/>
        <v>H_159</v>
      </c>
      <c r="K818" s="117"/>
    </row>
    <row r="819" spans="1:11" ht="15" customHeight="1">
      <c r="A819" s="42">
        <f t="shared" si="17"/>
        <v>160</v>
      </c>
      <c r="B819" s="159" t="s">
        <v>646</v>
      </c>
      <c r="C819" s="206" t="s">
        <v>36</v>
      </c>
      <c r="D819" s="49" t="s">
        <v>118</v>
      </c>
      <c r="E819" s="56">
        <v>3844.89</v>
      </c>
      <c r="F819" s="183" t="s">
        <v>118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16"/>
        <v>H_160</v>
      </c>
      <c r="K819" s="117"/>
    </row>
    <row r="820" spans="1:11" ht="30">
      <c r="A820" s="42">
        <f t="shared" si="17"/>
        <v>161</v>
      </c>
      <c r="B820" s="159" t="s">
        <v>647</v>
      </c>
      <c r="C820" s="206" t="s">
        <v>36</v>
      </c>
      <c r="D820" s="49" t="s">
        <v>118</v>
      </c>
      <c r="E820" s="56">
        <v>1661.24</v>
      </c>
      <c r="F820" s="183" t="s">
        <v>118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16"/>
        <v>H_161</v>
      </c>
      <c r="K820" s="117"/>
    </row>
    <row r="821" spans="1:11" ht="15" customHeight="1">
      <c r="A821" s="42">
        <f t="shared" si="17"/>
        <v>162</v>
      </c>
      <c r="B821" s="159" t="s">
        <v>648</v>
      </c>
      <c r="C821" s="206" t="s">
        <v>36</v>
      </c>
      <c r="D821" s="49" t="s">
        <v>118</v>
      </c>
      <c r="E821" s="56">
        <v>1661.24</v>
      </c>
      <c r="F821" s="183" t="s">
        <v>118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16"/>
        <v>H_162</v>
      </c>
      <c r="K821" s="117"/>
    </row>
    <row r="822" spans="1:11" ht="15" customHeight="1">
      <c r="A822" s="42">
        <f t="shared" si="17"/>
        <v>163</v>
      </c>
      <c r="B822" s="159" t="s">
        <v>649</v>
      </c>
      <c r="C822" s="206" t="s">
        <v>36</v>
      </c>
      <c r="D822" s="49" t="s">
        <v>118</v>
      </c>
      <c r="E822" s="56">
        <v>1661.24</v>
      </c>
      <c r="F822" s="183" t="s">
        <v>118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16"/>
        <v>H_163</v>
      </c>
      <c r="K822" s="117"/>
    </row>
    <row r="823" spans="1:11" ht="15" customHeight="1">
      <c r="A823" s="42">
        <f t="shared" si="17"/>
        <v>164</v>
      </c>
      <c r="B823" s="159" t="s">
        <v>650</v>
      </c>
      <c r="C823" s="206" t="s">
        <v>36</v>
      </c>
      <c r="D823" s="49" t="s">
        <v>118</v>
      </c>
      <c r="E823" s="56">
        <v>1661.24</v>
      </c>
      <c r="F823" s="183" t="s">
        <v>118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16"/>
        <v>H_164</v>
      </c>
      <c r="K823" s="117"/>
    </row>
    <row r="824" spans="1:11" ht="15" customHeight="1">
      <c r="A824" s="42">
        <f t="shared" si="17"/>
        <v>165</v>
      </c>
      <c r="B824" s="159" t="s">
        <v>651</v>
      </c>
      <c r="C824" s="206" t="s">
        <v>36</v>
      </c>
      <c r="D824" s="49" t="s">
        <v>118</v>
      </c>
      <c r="E824" s="56">
        <v>1661.24</v>
      </c>
      <c r="F824" s="183" t="s">
        <v>118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16"/>
        <v>H_165</v>
      </c>
      <c r="K824" s="117"/>
    </row>
    <row r="825" spans="1:11" ht="15" customHeight="1">
      <c r="A825" s="42">
        <f t="shared" si="17"/>
        <v>166</v>
      </c>
      <c r="B825" s="159" t="s">
        <v>652</v>
      </c>
      <c r="C825" s="206" t="s">
        <v>36</v>
      </c>
      <c r="D825" s="49" t="s">
        <v>118</v>
      </c>
      <c r="E825" s="56">
        <v>690.75</v>
      </c>
      <c r="F825" s="183" t="s">
        <v>118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16"/>
        <v>H_166</v>
      </c>
      <c r="K825" s="117"/>
    </row>
    <row r="826" spans="1:11" ht="15" customHeight="1">
      <c r="A826" s="42">
        <f t="shared" si="17"/>
        <v>167</v>
      </c>
      <c r="B826" s="159" t="s">
        <v>653</v>
      </c>
      <c r="C826" s="206" t="s">
        <v>36</v>
      </c>
      <c r="D826" s="49" t="s">
        <v>118</v>
      </c>
      <c r="E826" s="56">
        <v>690.75</v>
      </c>
      <c r="F826" s="183" t="s">
        <v>118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16"/>
        <v>H_167</v>
      </c>
      <c r="K826" s="117"/>
    </row>
    <row r="827" spans="1:11" ht="15" customHeight="1">
      <c r="A827" s="42">
        <f t="shared" si="17"/>
        <v>168</v>
      </c>
      <c r="B827" s="159" t="s">
        <v>654</v>
      </c>
      <c r="C827" s="206" t="s">
        <v>36</v>
      </c>
      <c r="D827" s="49" t="s">
        <v>118</v>
      </c>
      <c r="E827" s="56">
        <v>690.75</v>
      </c>
      <c r="F827" s="183" t="s">
        <v>118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16"/>
        <v>H_168</v>
      </c>
      <c r="K827" s="117"/>
    </row>
    <row r="828" spans="1:11" ht="15" customHeight="1">
      <c r="A828" s="42">
        <f t="shared" si="17"/>
        <v>169</v>
      </c>
      <c r="B828" s="159" t="s">
        <v>655</v>
      </c>
      <c r="C828" s="206" t="s">
        <v>36</v>
      </c>
      <c r="D828" s="49" t="s">
        <v>118</v>
      </c>
      <c r="E828" s="56">
        <v>690.75</v>
      </c>
      <c r="F828" s="183" t="s">
        <v>118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16"/>
        <v>H_169</v>
      </c>
      <c r="K828" s="117"/>
    </row>
    <row r="829" spans="1:11" ht="15" customHeight="1">
      <c r="A829" s="42">
        <f t="shared" si="17"/>
        <v>170</v>
      </c>
      <c r="B829" s="159" t="s">
        <v>656</v>
      </c>
      <c r="C829" s="206" t="s">
        <v>36</v>
      </c>
      <c r="D829" s="49" t="s">
        <v>118</v>
      </c>
      <c r="E829" s="56">
        <v>690.75</v>
      </c>
      <c r="F829" s="183" t="s">
        <v>118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16"/>
        <v>H_170</v>
      </c>
      <c r="K829" s="117"/>
    </row>
    <row r="830" spans="1:11" ht="15" customHeight="1">
      <c r="A830" s="42">
        <f t="shared" si="17"/>
        <v>171</v>
      </c>
      <c r="B830" s="159" t="s">
        <v>657</v>
      </c>
      <c r="C830" s="206" t="s">
        <v>36</v>
      </c>
      <c r="D830" s="49" t="s">
        <v>118</v>
      </c>
      <c r="E830" s="56">
        <v>690.75</v>
      </c>
      <c r="F830" s="183" t="s">
        <v>118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16"/>
        <v>H_171</v>
      </c>
      <c r="K830" s="117"/>
    </row>
    <row r="831" spans="1:11" ht="15" customHeight="1">
      <c r="A831" s="42">
        <f t="shared" si="17"/>
        <v>172</v>
      </c>
      <c r="B831" s="159" t="s">
        <v>658</v>
      </c>
      <c r="C831" s="206" t="s">
        <v>36</v>
      </c>
      <c r="D831" s="49" t="s">
        <v>118</v>
      </c>
      <c r="E831" s="44">
        <v>690.75</v>
      </c>
      <c r="F831" s="177" t="s">
        <v>118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16"/>
        <v>H_172</v>
      </c>
      <c r="K831" s="117"/>
    </row>
    <row r="832" spans="1:11" ht="15" customHeight="1">
      <c r="A832" s="42">
        <f t="shared" si="17"/>
        <v>173</v>
      </c>
      <c r="B832" s="159" t="s">
        <v>659</v>
      </c>
      <c r="C832" s="206" t="s">
        <v>36</v>
      </c>
      <c r="D832" s="49" t="s">
        <v>118</v>
      </c>
      <c r="E832" s="44">
        <v>690.75</v>
      </c>
      <c r="F832" s="177" t="s">
        <v>118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16"/>
        <v>H_173</v>
      </c>
      <c r="K832" s="117"/>
    </row>
    <row r="833" spans="1:11" ht="15" customHeight="1">
      <c r="A833" s="42">
        <f t="shared" si="17"/>
        <v>174</v>
      </c>
      <c r="B833" s="159" t="s">
        <v>660</v>
      </c>
      <c r="C833" s="206" t="s">
        <v>36</v>
      </c>
      <c r="D833" s="49" t="s">
        <v>118</v>
      </c>
      <c r="E833" s="56">
        <v>690.75</v>
      </c>
      <c r="F833" s="183" t="s">
        <v>118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16"/>
        <v>H_174</v>
      </c>
      <c r="K833" s="117"/>
    </row>
    <row r="834" spans="1:11" ht="15" customHeight="1">
      <c r="A834" s="42">
        <f t="shared" si="17"/>
        <v>175</v>
      </c>
      <c r="B834" s="159" t="s">
        <v>661</v>
      </c>
      <c r="C834" s="206" t="s">
        <v>36</v>
      </c>
      <c r="D834" s="49" t="s">
        <v>118</v>
      </c>
      <c r="E834" s="56">
        <v>690.75</v>
      </c>
      <c r="F834" s="183" t="s">
        <v>118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16"/>
        <v>H_175</v>
      </c>
      <c r="K834" s="117"/>
    </row>
    <row r="835" spans="1:11" ht="15" customHeight="1">
      <c r="A835" s="42">
        <f t="shared" si="17"/>
        <v>176</v>
      </c>
      <c r="B835" s="159" t="s">
        <v>662</v>
      </c>
      <c r="C835" s="206" t="s">
        <v>36</v>
      </c>
      <c r="D835" s="49" t="s">
        <v>118</v>
      </c>
      <c r="E835" s="56">
        <v>690.75</v>
      </c>
      <c r="F835" s="183" t="s">
        <v>118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16"/>
        <v>H_176</v>
      </c>
      <c r="K835" s="117"/>
    </row>
    <row r="836" spans="1:11" ht="15" customHeight="1">
      <c r="A836" s="42">
        <f t="shared" si="17"/>
        <v>177</v>
      </c>
      <c r="B836" s="159" t="s">
        <v>663</v>
      </c>
      <c r="C836" s="206" t="s">
        <v>36</v>
      </c>
      <c r="D836" s="49" t="s">
        <v>118</v>
      </c>
      <c r="E836" s="56">
        <v>690.75</v>
      </c>
      <c r="F836" s="183" t="s">
        <v>118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16"/>
        <v>H_177</v>
      </c>
      <c r="K836" s="117"/>
    </row>
    <row r="837" spans="1:11" ht="15" customHeight="1">
      <c r="A837" s="42">
        <f t="shared" si="17"/>
        <v>178</v>
      </c>
      <c r="B837" s="159" t="s">
        <v>664</v>
      </c>
      <c r="C837" s="206" t="s">
        <v>36</v>
      </c>
      <c r="D837" s="49" t="s">
        <v>118</v>
      </c>
      <c r="E837" s="44">
        <v>690.75</v>
      </c>
      <c r="F837" s="177" t="s">
        <v>118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16"/>
        <v>H_178</v>
      </c>
      <c r="K837" s="117"/>
    </row>
    <row r="838" spans="1:11" ht="15" customHeight="1">
      <c r="A838" s="42">
        <f t="shared" si="17"/>
        <v>179</v>
      </c>
      <c r="B838" s="159" t="s">
        <v>665</v>
      </c>
      <c r="C838" s="206" t="s">
        <v>36</v>
      </c>
      <c r="D838" s="49" t="s">
        <v>118</v>
      </c>
      <c r="E838" s="44">
        <v>690.75</v>
      </c>
      <c r="F838" s="177" t="s">
        <v>118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16"/>
        <v>H_179</v>
      </c>
      <c r="K838" s="117"/>
    </row>
    <row r="839" spans="1:11" ht="15" customHeight="1">
      <c r="A839" s="42">
        <f t="shared" si="17"/>
        <v>180</v>
      </c>
      <c r="B839" s="159" t="s">
        <v>666</v>
      </c>
      <c r="C839" s="206" t="s">
        <v>36</v>
      </c>
      <c r="D839" s="49" t="s">
        <v>118</v>
      </c>
      <c r="E839" s="56">
        <v>690.75</v>
      </c>
      <c r="F839" s="183" t="s">
        <v>118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16"/>
        <v>H_180</v>
      </c>
      <c r="K839" s="117"/>
    </row>
    <row r="840" spans="1:11" ht="15" customHeight="1">
      <c r="A840" s="42">
        <f t="shared" si="17"/>
        <v>181</v>
      </c>
      <c r="B840" s="159" t="s">
        <v>667</v>
      </c>
      <c r="C840" s="206" t="s">
        <v>36</v>
      </c>
      <c r="D840" s="49" t="s">
        <v>118</v>
      </c>
      <c r="E840" s="56">
        <v>690.75</v>
      </c>
      <c r="F840" s="183" t="s">
        <v>118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16"/>
        <v>H_181</v>
      </c>
      <c r="K840" s="117"/>
    </row>
    <row r="841" spans="1:11" ht="15" customHeight="1">
      <c r="A841" s="42">
        <f t="shared" si="17"/>
        <v>182</v>
      </c>
      <c r="B841" s="159" t="s">
        <v>668</v>
      </c>
      <c r="C841" s="206" t="s">
        <v>36</v>
      </c>
      <c r="D841" s="49" t="s">
        <v>118</v>
      </c>
      <c r="E841" s="56">
        <v>690.75</v>
      </c>
      <c r="F841" s="183" t="s">
        <v>118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16"/>
        <v>H_182</v>
      </c>
      <c r="K841" s="117"/>
    </row>
    <row r="842" spans="1:11" ht="15" customHeight="1">
      <c r="A842" s="42">
        <f t="shared" si="17"/>
        <v>183</v>
      </c>
      <c r="B842" s="159" t="s">
        <v>669</v>
      </c>
      <c r="C842" s="206" t="s">
        <v>36</v>
      </c>
      <c r="D842" s="49" t="s">
        <v>118</v>
      </c>
      <c r="E842" s="44">
        <v>690.75</v>
      </c>
      <c r="F842" s="177" t="s">
        <v>118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16"/>
        <v>H_183</v>
      </c>
      <c r="K842" s="117"/>
    </row>
    <row r="843" spans="1:11" ht="30">
      <c r="A843" s="42">
        <f t="shared" si="17"/>
        <v>184</v>
      </c>
      <c r="B843" s="159" t="s">
        <v>670</v>
      </c>
      <c r="C843" s="206" t="s">
        <v>36</v>
      </c>
      <c r="D843" s="49" t="s">
        <v>118</v>
      </c>
      <c r="E843" s="56">
        <v>690.75</v>
      </c>
      <c r="F843" s="183" t="s">
        <v>118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16"/>
        <v>H_184</v>
      </c>
      <c r="K843" s="117"/>
    </row>
    <row r="844" spans="1:11" ht="30">
      <c r="A844" s="42">
        <f t="shared" si="17"/>
        <v>185</v>
      </c>
      <c r="B844" s="159" t="s">
        <v>671</v>
      </c>
      <c r="C844" s="206" t="s">
        <v>36</v>
      </c>
      <c r="D844" s="49" t="s">
        <v>118</v>
      </c>
      <c r="E844" s="56">
        <v>690.75</v>
      </c>
      <c r="F844" s="183" t="s">
        <v>118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16"/>
        <v>H_185</v>
      </c>
      <c r="K844" s="117"/>
    </row>
    <row r="845" spans="1:11" ht="30">
      <c r="A845" s="42">
        <f t="shared" si="17"/>
        <v>186</v>
      </c>
      <c r="B845" s="159" t="s">
        <v>672</v>
      </c>
      <c r="C845" s="206" t="s">
        <v>36</v>
      </c>
      <c r="D845" s="49" t="s">
        <v>118</v>
      </c>
      <c r="E845" s="56">
        <v>690.75</v>
      </c>
      <c r="F845" s="183" t="s">
        <v>118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16"/>
        <v>H_186</v>
      </c>
      <c r="K845" s="117"/>
    </row>
    <row r="846" spans="1:11">
      <c r="A846" s="42">
        <f t="shared" si="17"/>
        <v>187</v>
      </c>
      <c r="B846" s="159" t="s">
        <v>673</v>
      </c>
      <c r="C846" s="206" t="s">
        <v>36</v>
      </c>
      <c r="D846" s="49" t="s">
        <v>118</v>
      </c>
      <c r="E846" s="56">
        <v>690.75</v>
      </c>
      <c r="F846" s="183" t="s">
        <v>118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16"/>
        <v>H_187</v>
      </c>
      <c r="K846" s="117"/>
    </row>
    <row r="847" spans="1:11">
      <c r="A847" s="42">
        <f t="shared" si="17"/>
        <v>188</v>
      </c>
      <c r="B847" s="159" t="s">
        <v>674</v>
      </c>
      <c r="C847" s="206" t="s">
        <v>36</v>
      </c>
      <c r="D847" s="49" t="s">
        <v>118</v>
      </c>
      <c r="E847" s="44">
        <v>690.75</v>
      </c>
      <c r="F847" s="177" t="s">
        <v>118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16"/>
        <v>H_188</v>
      </c>
      <c r="K847" s="117"/>
    </row>
    <row r="848" spans="1:11">
      <c r="A848" s="42">
        <f t="shared" si="17"/>
        <v>189</v>
      </c>
      <c r="B848" s="159" t="s">
        <v>675</v>
      </c>
      <c r="C848" s="206" t="s">
        <v>36</v>
      </c>
      <c r="D848" s="49" t="s">
        <v>118</v>
      </c>
      <c r="E848" s="56">
        <v>690.75</v>
      </c>
      <c r="F848" s="183" t="s">
        <v>118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16"/>
        <v>H_189</v>
      </c>
      <c r="K848" s="117"/>
    </row>
    <row r="849" spans="1:11">
      <c r="A849" s="42">
        <f t="shared" si="17"/>
        <v>190</v>
      </c>
      <c r="B849" s="159" t="s">
        <v>676</v>
      </c>
      <c r="C849" s="206" t="s">
        <v>36</v>
      </c>
      <c r="D849" s="49" t="s">
        <v>118</v>
      </c>
      <c r="E849" s="56">
        <v>690.75</v>
      </c>
      <c r="F849" s="183" t="s">
        <v>118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16"/>
        <v>H_190</v>
      </c>
      <c r="K849" s="117"/>
    </row>
    <row r="850" spans="1:11" ht="30">
      <c r="A850" s="42">
        <f t="shared" si="17"/>
        <v>191</v>
      </c>
      <c r="B850" s="159" t="s">
        <v>677</v>
      </c>
      <c r="C850" s="206" t="s">
        <v>36</v>
      </c>
      <c r="D850" s="49" t="s">
        <v>118</v>
      </c>
      <c r="E850" s="56">
        <v>3850</v>
      </c>
      <c r="F850" s="183" t="s">
        <v>118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16"/>
        <v>H_191</v>
      </c>
      <c r="K850" s="117"/>
    </row>
    <row r="851" spans="1:11" ht="30">
      <c r="A851" s="42">
        <f t="shared" si="17"/>
        <v>192</v>
      </c>
      <c r="B851" s="159" t="s">
        <v>678</v>
      </c>
      <c r="C851" s="206" t="s">
        <v>36</v>
      </c>
      <c r="D851" s="49" t="s">
        <v>118</v>
      </c>
      <c r="E851" s="56">
        <v>3850</v>
      </c>
      <c r="F851" s="183" t="s">
        <v>118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16"/>
        <v>H_192</v>
      </c>
      <c r="K851" s="117"/>
    </row>
    <row r="852" spans="1:11" ht="30">
      <c r="A852" s="42">
        <f t="shared" si="17"/>
        <v>193</v>
      </c>
      <c r="B852" s="159" t="s">
        <v>679</v>
      </c>
      <c r="C852" s="206" t="s">
        <v>36</v>
      </c>
      <c r="D852" s="49" t="s">
        <v>118</v>
      </c>
      <c r="E852" s="56">
        <v>3850</v>
      </c>
      <c r="F852" s="183" t="s">
        <v>118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18">IFERROR(CONCATENATE(LEFT(C852,1),"_",TEXT(A852,"000")),"")</f>
        <v>H_193</v>
      </c>
      <c r="K852" s="117"/>
    </row>
    <row r="853" spans="1:11" ht="30">
      <c r="A853" s="42">
        <f t="shared" ref="A853:A916" si="19">A852+1</f>
        <v>194</v>
      </c>
      <c r="B853" s="159" t="s">
        <v>680</v>
      </c>
      <c r="C853" s="206" t="s">
        <v>36</v>
      </c>
      <c r="D853" s="49" t="s">
        <v>118</v>
      </c>
      <c r="E853" s="56">
        <v>3850</v>
      </c>
      <c r="F853" s="183" t="s">
        <v>118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18"/>
        <v>H_194</v>
      </c>
      <c r="K853" s="117"/>
    </row>
    <row r="854" spans="1:11" ht="30">
      <c r="A854" s="42">
        <f t="shared" si="19"/>
        <v>195</v>
      </c>
      <c r="B854" s="159" t="s">
        <v>681</v>
      </c>
      <c r="C854" s="206" t="s">
        <v>36</v>
      </c>
      <c r="D854" s="49" t="s">
        <v>118</v>
      </c>
      <c r="E854" s="56">
        <v>3850</v>
      </c>
      <c r="F854" s="183" t="s">
        <v>118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18"/>
        <v>H_195</v>
      </c>
      <c r="K854" s="117"/>
    </row>
    <row r="855" spans="1:11" ht="30">
      <c r="A855" s="42">
        <f t="shared" si="19"/>
        <v>196</v>
      </c>
      <c r="B855" s="159" t="s">
        <v>682</v>
      </c>
      <c r="C855" s="206" t="s">
        <v>36</v>
      </c>
      <c r="D855" s="49" t="s">
        <v>118</v>
      </c>
      <c r="E855" s="56">
        <v>3850</v>
      </c>
      <c r="F855" s="183" t="s">
        <v>118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18"/>
        <v>H_196</v>
      </c>
      <c r="K855" s="117"/>
    </row>
    <row r="856" spans="1:11" ht="30">
      <c r="A856" s="42">
        <f t="shared" si="19"/>
        <v>197</v>
      </c>
      <c r="B856" s="159" t="s">
        <v>683</v>
      </c>
      <c r="C856" s="206" t="s">
        <v>36</v>
      </c>
      <c r="D856" s="49" t="s">
        <v>118</v>
      </c>
      <c r="E856" s="56">
        <v>3850</v>
      </c>
      <c r="F856" s="183" t="s">
        <v>118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18"/>
        <v>H_197</v>
      </c>
      <c r="K856" s="117"/>
    </row>
    <row r="857" spans="1:11" ht="30">
      <c r="A857" s="42">
        <f t="shared" si="19"/>
        <v>198</v>
      </c>
      <c r="B857" s="159" t="s">
        <v>684</v>
      </c>
      <c r="C857" s="206" t="s">
        <v>36</v>
      </c>
      <c r="D857" s="49" t="s">
        <v>118</v>
      </c>
      <c r="E857" s="56">
        <v>3850</v>
      </c>
      <c r="F857" s="183" t="s">
        <v>118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18"/>
        <v>H_198</v>
      </c>
      <c r="K857" s="117"/>
    </row>
    <row r="858" spans="1:11" ht="30">
      <c r="A858" s="42">
        <f t="shared" si="19"/>
        <v>199</v>
      </c>
      <c r="B858" s="159" t="s">
        <v>685</v>
      </c>
      <c r="C858" s="206" t="s">
        <v>36</v>
      </c>
      <c r="D858" s="49" t="s">
        <v>118</v>
      </c>
      <c r="E858" s="56">
        <v>3850</v>
      </c>
      <c r="F858" s="183" t="s">
        <v>118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18"/>
        <v>H_199</v>
      </c>
      <c r="K858" s="117"/>
    </row>
    <row r="859" spans="1:11" ht="30">
      <c r="A859" s="42">
        <f t="shared" si="19"/>
        <v>200</v>
      </c>
      <c r="B859" s="159" t="s">
        <v>686</v>
      </c>
      <c r="C859" s="206" t="s">
        <v>36</v>
      </c>
      <c r="D859" s="49" t="s">
        <v>118</v>
      </c>
      <c r="E859" s="56">
        <v>3850</v>
      </c>
      <c r="F859" s="183" t="s">
        <v>118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18"/>
        <v>H_200</v>
      </c>
      <c r="K859" s="117"/>
    </row>
    <row r="860" spans="1:11" ht="30">
      <c r="A860" s="42">
        <f t="shared" si="19"/>
        <v>201</v>
      </c>
      <c r="B860" s="159" t="s">
        <v>687</v>
      </c>
      <c r="C860" s="206" t="s">
        <v>36</v>
      </c>
      <c r="D860" s="49" t="s">
        <v>118</v>
      </c>
      <c r="E860" s="56">
        <v>3850</v>
      </c>
      <c r="F860" s="183" t="s">
        <v>118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18"/>
        <v>H_201</v>
      </c>
      <c r="K860" s="117"/>
    </row>
    <row r="861" spans="1:11" ht="30">
      <c r="A861" s="42">
        <f t="shared" si="19"/>
        <v>202</v>
      </c>
      <c r="B861" s="159" t="s">
        <v>688</v>
      </c>
      <c r="C861" s="206" t="s">
        <v>36</v>
      </c>
      <c r="D861" s="49" t="s">
        <v>118</v>
      </c>
      <c r="E861" s="56">
        <v>3850</v>
      </c>
      <c r="F861" s="183" t="s">
        <v>118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18"/>
        <v>H_202</v>
      </c>
      <c r="K861" s="117"/>
    </row>
    <row r="862" spans="1:11" ht="30">
      <c r="A862" s="42">
        <f t="shared" si="19"/>
        <v>203</v>
      </c>
      <c r="B862" s="159" t="s">
        <v>689</v>
      </c>
      <c r="C862" s="206" t="s">
        <v>36</v>
      </c>
      <c r="D862" s="49" t="s">
        <v>118</v>
      </c>
      <c r="E862" s="56">
        <v>3850</v>
      </c>
      <c r="F862" s="183" t="s">
        <v>118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18"/>
        <v>H_203</v>
      </c>
      <c r="K862" s="117"/>
    </row>
    <row r="863" spans="1:11" ht="30">
      <c r="A863" s="42">
        <f t="shared" si="19"/>
        <v>204</v>
      </c>
      <c r="B863" s="159" t="s">
        <v>690</v>
      </c>
      <c r="C863" s="206" t="s">
        <v>36</v>
      </c>
      <c r="D863" s="49" t="s">
        <v>118</v>
      </c>
      <c r="E863" s="56">
        <v>3850</v>
      </c>
      <c r="F863" s="183" t="s">
        <v>118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18"/>
        <v>H_204</v>
      </c>
      <c r="K863" s="117"/>
    </row>
    <row r="864" spans="1:11" ht="30">
      <c r="A864" s="42">
        <f t="shared" si="19"/>
        <v>205</v>
      </c>
      <c r="B864" s="159" t="s">
        <v>691</v>
      </c>
      <c r="C864" s="206" t="s">
        <v>36</v>
      </c>
      <c r="D864" s="49" t="s">
        <v>118</v>
      </c>
      <c r="E864" s="56">
        <v>3850</v>
      </c>
      <c r="F864" s="183" t="s">
        <v>118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18"/>
        <v>H_205</v>
      </c>
      <c r="K864" s="117"/>
    </row>
    <row r="865" spans="1:11" ht="30">
      <c r="A865" s="42">
        <f t="shared" si="19"/>
        <v>206</v>
      </c>
      <c r="B865" s="159" t="s">
        <v>692</v>
      </c>
      <c r="C865" s="206" t="s">
        <v>36</v>
      </c>
      <c r="D865" s="49" t="s">
        <v>118</v>
      </c>
      <c r="E865" s="56">
        <v>3850</v>
      </c>
      <c r="F865" s="183" t="s">
        <v>118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18"/>
        <v>H_206</v>
      </c>
      <c r="K865" s="117"/>
    </row>
    <row r="866" spans="1:11" ht="30">
      <c r="A866" s="42">
        <f t="shared" si="19"/>
        <v>207</v>
      </c>
      <c r="B866" s="159" t="s">
        <v>693</v>
      </c>
      <c r="C866" s="206" t="s">
        <v>36</v>
      </c>
      <c r="D866" s="49" t="s">
        <v>118</v>
      </c>
      <c r="E866" s="56">
        <v>3850</v>
      </c>
      <c r="F866" s="183" t="s">
        <v>118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18"/>
        <v>H_207</v>
      </c>
      <c r="K866" s="117"/>
    </row>
    <row r="867" spans="1:11" ht="30">
      <c r="A867" s="42">
        <f t="shared" si="19"/>
        <v>208</v>
      </c>
      <c r="B867" s="159" t="s">
        <v>694</v>
      </c>
      <c r="C867" s="206" t="s">
        <v>36</v>
      </c>
      <c r="D867" s="49" t="s">
        <v>118</v>
      </c>
      <c r="E867" s="56">
        <v>3850</v>
      </c>
      <c r="F867" s="183" t="s">
        <v>118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18"/>
        <v>H_208</v>
      </c>
      <c r="K867" s="117"/>
    </row>
    <row r="868" spans="1:11" ht="30">
      <c r="A868" s="42">
        <f t="shared" si="19"/>
        <v>209</v>
      </c>
      <c r="B868" s="159" t="s">
        <v>695</v>
      </c>
      <c r="C868" s="206" t="s">
        <v>36</v>
      </c>
      <c r="D868" s="49" t="s">
        <v>118</v>
      </c>
      <c r="E868" s="56">
        <v>3850</v>
      </c>
      <c r="F868" s="183" t="s">
        <v>118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18"/>
        <v>H_209</v>
      </c>
      <c r="K868" s="117"/>
    </row>
    <row r="869" spans="1:11" ht="30">
      <c r="A869" s="42">
        <f t="shared" si="19"/>
        <v>210</v>
      </c>
      <c r="B869" s="159" t="s">
        <v>696</v>
      </c>
      <c r="C869" s="206" t="s">
        <v>36</v>
      </c>
      <c r="D869" s="49" t="s">
        <v>118</v>
      </c>
      <c r="E869" s="56">
        <v>3850</v>
      </c>
      <c r="F869" s="183" t="s">
        <v>118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18"/>
        <v>H_210</v>
      </c>
      <c r="K869" s="117"/>
    </row>
    <row r="870" spans="1:11" ht="30">
      <c r="A870" s="42">
        <f t="shared" si="19"/>
        <v>211</v>
      </c>
      <c r="B870" s="159" t="s">
        <v>697</v>
      </c>
      <c r="C870" s="206" t="s">
        <v>36</v>
      </c>
      <c r="D870" s="49" t="s">
        <v>118</v>
      </c>
      <c r="E870" s="56">
        <v>3850</v>
      </c>
      <c r="F870" s="183" t="s">
        <v>118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18"/>
        <v>H_211</v>
      </c>
      <c r="K870" s="117"/>
    </row>
    <row r="871" spans="1:11" ht="30">
      <c r="A871" s="42">
        <f t="shared" si="19"/>
        <v>212</v>
      </c>
      <c r="B871" s="159" t="s">
        <v>698</v>
      </c>
      <c r="C871" s="206" t="s">
        <v>36</v>
      </c>
      <c r="D871" s="49" t="s">
        <v>118</v>
      </c>
      <c r="E871" s="56">
        <v>8973.7900000000009</v>
      </c>
      <c r="F871" s="183" t="s">
        <v>118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18"/>
        <v>H_212</v>
      </c>
      <c r="K871" s="117"/>
    </row>
    <row r="872" spans="1:11" ht="30">
      <c r="A872" s="42">
        <f t="shared" si="19"/>
        <v>213</v>
      </c>
      <c r="B872" s="159" t="s">
        <v>699</v>
      </c>
      <c r="C872" s="206" t="s">
        <v>36</v>
      </c>
      <c r="D872" s="49" t="s">
        <v>118</v>
      </c>
      <c r="E872" s="56">
        <v>8973.7900000000009</v>
      </c>
      <c r="F872" s="183" t="s">
        <v>118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18"/>
        <v>H_213</v>
      </c>
      <c r="K872" s="117"/>
    </row>
    <row r="873" spans="1:11" ht="30">
      <c r="A873" s="42">
        <f t="shared" si="19"/>
        <v>214</v>
      </c>
      <c r="B873" s="159" t="s">
        <v>700</v>
      </c>
      <c r="C873" s="206" t="s">
        <v>36</v>
      </c>
      <c r="D873" s="49" t="s">
        <v>118</v>
      </c>
      <c r="E873" s="56">
        <v>8973.7900000000009</v>
      </c>
      <c r="F873" s="183" t="s">
        <v>118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18"/>
        <v>H_214</v>
      </c>
      <c r="K873" s="117"/>
    </row>
    <row r="874" spans="1:11">
      <c r="A874" s="42">
        <f t="shared" si="19"/>
        <v>215</v>
      </c>
      <c r="B874" s="159" t="s">
        <v>701</v>
      </c>
      <c r="C874" s="206" t="s">
        <v>36</v>
      </c>
      <c r="D874" s="49" t="s">
        <v>118</v>
      </c>
      <c r="E874" s="56">
        <v>1661.24</v>
      </c>
      <c r="F874" s="183" t="s">
        <v>118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18"/>
        <v>H_215</v>
      </c>
      <c r="K874" s="117"/>
    </row>
    <row r="875" spans="1:11" ht="30">
      <c r="A875" s="42">
        <f t="shared" si="19"/>
        <v>216</v>
      </c>
      <c r="B875" s="159" t="s">
        <v>702</v>
      </c>
      <c r="C875" s="206" t="s">
        <v>36</v>
      </c>
      <c r="D875" s="49" t="s">
        <v>118</v>
      </c>
      <c r="E875" s="56">
        <v>1661.24</v>
      </c>
      <c r="F875" s="183" t="s">
        <v>118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18"/>
        <v>H_216</v>
      </c>
      <c r="K875" s="117"/>
    </row>
    <row r="876" spans="1:11">
      <c r="A876" s="42">
        <f t="shared" si="19"/>
        <v>217</v>
      </c>
      <c r="B876" s="159" t="s">
        <v>703</v>
      </c>
      <c r="C876" s="206" t="s">
        <v>36</v>
      </c>
      <c r="D876" s="49" t="s">
        <v>118</v>
      </c>
      <c r="E876" s="56">
        <v>690.75</v>
      </c>
      <c r="F876" s="183" t="s">
        <v>118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18"/>
        <v>H_217</v>
      </c>
      <c r="K876" s="117"/>
    </row>
    <row r="877" spans="1:11">
      <c r="A877" s="42">
        <f t="shared" si="19"/>
        <v>218</v>
      </c>
      <c r="B877" s="172" t="s">
        <v>704</v>
      </c>
      <c r="C877" s="206" t="s">
        <v>36</v>
      </c>
      <c r="D877" s="49" t="s">
        <v>118</v>
      </c>
      <c r="E877" s="57">
        <v>1505.04</v>
      </c>
      <c r="F877" s="177" t="s">
        <v>118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18"/>
        <v>H_218</v>
      </c>
      <c r="K877" s="117"/>
    </row>
    <row r="878" spans="1:11">
      <c r="A878" s="42">
        <f t="shared" si="19"/>
        <v>219</v>
      </c>
      <c r="B878" s="172" t="s">
        <v>705</v>
      </c>
      <c r="C878" s="206" t="s">
        <v>36</v>
      </c>
      <c r="D878" s="49" t="s">
        <v>118</v>
      </c>
      <c r="E878" s="57">
        <v>3628.57</v>
      </c>
      <c r="F878" s="177" t="s">
        <v>118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18"/>
        <v>H_219</v>
      </c>
      <c r="K878" s="117"/>
    </row>
    <row r="879" spans="1:11">
      <c r="A879" s="42">
        <f t="shared" si="19"/>
        <v>220</v>
      </c>
      <c r="B879" s="172" t="s">
        <v>706</v>
      </c>
      <c r="C879" s="206" t="s">
        <v>36</v>
      </c>
      <c r="D879" s="49" t="s">
        <v>118</v>
      </c>
      <c r="E879" s="57">
        <v>1505.04</v>
      </c>
      <c r="F879" s="177" t="s">
        <v>118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18"/>
        <v>H_220</v>
      </c>
      <c r="K879" s="117"/>
    </row>
    <row r="880" spans="1:11" ht="30">
      <c r="A880" s="42">
        <f t="shared" si="19"/>
        <v>221</v>
      </c>
      <c r="B880" s="159" t="s">
        <v>707</v>
      </c>
      <c r="C880" s="206" t="s">
        <v>36</v>
      </c>
      <c r="D880" s="49" t="s">
        <v>118</v>
      </c>
      <c r="E880" s="56">
        <v>2898.84</v>
      </c>
      <c r="F880" s="183" t="s">
        <v>118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18"/>
        <v>H_221</v>
      </c>
      <c r="K880" s="117"/>
    </row>
    <row r="881" spans="1:11" ht="30">
      <c r="A881" s="42">
        <f t="shared" si="19"/>
        <v>222</v>
      </c>
      <c r="B881" s="159" t="s">
        <v>708</v>
      </c>
      <c r="C881" s="206" t="s">
        <v>36</v>
      </c>
      <c r="D881" s="49" t="s">
        <v>118</v>
      </c>
      <c r="E881" s="56">
        <v>2898.84</v>
      </c>
      <c r="F881" s="183" t="s">
        <v>118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18"/>
        <v>H_222</v>
      </c>
      <c r="K881" s="117"/>
    </row>
    <row r="882" spans="1:11" ht="30">
      <c r="A882" s="42">
        <f t="shared" si="19"/>
        <v>223</v>
      </c>
      <c r="B882" s="159" t="s">
        <v>709</v>
      </c>
      <c r="C882" s="206" t="s">
        <v>36</v>
      </c>
      <c r="D882" s="49" t="s">
        <v>118</v>
      </c>
      <c r="E882" s="56">
        <v>2898.84</v>
      </c>
      <c r="F882" s="183" t="s">
        <v>118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18"/>
        <v>H_223</v>
      </c>
      <c r="K882" s="117"/>
    </row>
    <row r="883" spans="1:11" ht="30">
      <c r="A883" s="42">
        <f t="shared" si="19"/>
        <v>224</v>
      </c>
      <c r="B883" s="159" t="s">
        <v>710</v>
      </c>
      <c r="C883" s="206" t="s">
        <v>36</v>
      </c>
      <c r="D883" s="49" t="s">
        <v>118</v>
      </c>
      <c r="E883" s="56">
        <v>833</v>
      </c>
      <c r="F883" s="183" t="s">
        <v>118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18"/>
        <v>H_224</v>
      </c>
      <c r="K883" s="117"/>
    </row>
    <row r="884" spans="1:11" ht="30">
      <c r="A884" s="42">
        <f t="shared" si="19"/>
        <v>225</v>
      </c>
      <c r="B884" s="159" t="s">
        <v>711</v>
      </c>
      <c r="C884" s="206" t="s">
        <v>36</v>
      </c>
      <c r="D884" s="49" t="s">
        <v>118</v>
      </c>
      <c r="E884" s="56">
        <v>833</v>
      </c>
      <c r="F884" s="183" t="s">
        <v>118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18"/>
        <v>H_225</v>
      </c>
      <c r="K884" s="117"/>
    </row>
    <row r="885" spans="1:11" ht="30">
      <c r="A885" s="42">
        <f t="shared" si="19"/>
        <v>226</v>
      </c>
      <c r="B885" s="159" t="s">
        <v>712</v>
      </c>
      <c r="C885" s="206" t="s">
        <v>36</v>
      </c>
      <c r="D885" s="49" t="s">
        <v>118</v>
      </c>
      <c r="E885" s="56">
        <v>1266.6666666666667</v>
      </c>
      <c r="F885" s="183" t="s">
        <v>118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18"/>
        <v>H_226</v>
      </c>
      <c r="K885" s="117"/>
    </row>
    <row r="886" spans="1:11" ht="30">
      <c r="A886" s="42">
        <f t="shared" si="19"/>
        <v>227</v>
      </c>
      <c r="B886" s="159" t="s">
        <v>713</v>
      </c>
      <c r="C886" s="206" t="s">
        <v>36</v>
      </c>
      <c r="D886" s="49" t="s">
        <v>118</v>
      </c>
      <c r="E886" s="56">
        <v>1266.6666666666667</v>
      </c>
      <c r="F886" s="183" t="s">
        <v>118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18"/>
        <v>H_227</v>
      </c>
      <c r="K886" s="117"/>
    </row>
    <row r="887" spans="1:11" ht="30">
      <c r="A887" s="42">
        <f t="shared" si="19"/>
        <v>228</v>
      </c>
      <c r="B887" s="159" t="s">
        <v>714</v>
      </c>
      <c r="C887" s="206" t="s">
        <v>36</v>
      </c>
      <c r="D887" s="49" t="s">
        <v>118</v>
      </c>
      <c r="E887" s="56">
        <v>1266.6666666666667</v>
      </c>
      <c r="F887" s="183" t="s">
        <v>118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18"/>
        <v>H_228</v>
      </c>
      <c r="K887" s="117"/>
    </row>
    <row r="888" spans="1:11" ht="30">
      <c r="A888" s="42">
        <f t="shared" si="19"/>
        <v>229</v>
      </c>
      <c r="B888" s="159" t="s">
        <v>715</v>
      </c>
      <c r="C888" s="206" t="s">
        <v>36</v>
      </c>
      <c r="D888" s="49" t="s">
        <v>118</v>
      </c>
      <c r="E888" s="56">
        <v>1266.6666666666667</v>
      </c>
      <c r="F888" s="183" t="s">
        <v>118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18"/>
        <v>H_229</v>
      </c>
      <c r="K888" s="117"/>
    </row>
    <row r="889" spans="1:11" ht="30">
      <c r="A889" s="42">
        <f t="shared" si="19"/>
        <v>230</v>
      </c>
      <c r="B889" s="159" t="s">
        <v>716</v>
      </c>
      <c r="C889" s="206" t="s">
        <v>36</v>
      </c>
      <c r="D889" s="49" t="s">
        <v>118</v>
      </c>
      <c r="E889" s="44">
        <v>1266.6666666666667</v>
      </c>
      <c r="F889" s="177" t="s">
        <v>118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18"/>
        <v>H_230</v>
      </c>
      <c r="K889" s="117"/>
    </row>
    <row r="890" spans="1:11" ht="30">
      <c r="A890" s="42">
        <f t="shared" si="19"/>
        <v>231</v>
      </c>
      <c r="B890" s="159" t="s">
        <v>717</v>
      </c>
      <c r="C890" s="206" t="s">
        <v>36</v>
      </c>
      <c r="D890" s="49" t="s">
        <v>118</v>
      </c>
      <c r="E890" s="56">
        <v>1266.6666666666667</v>
      </c>
      <c r="F890" s="183" t="s">
        <v>118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18"/>
        <v>H_231</v>
      </c>
      <c r="K890" s="117"/>
    </row>
    <row r="891" spans="1:11" ht="30">
      <c r="A891" s="42">
        <f t="shared" si="19"/>
        <v>232</v>
      </c>
      <c r="B891" s="159" t="s">
        <v>718</v>
      </c>
      <c r="C891" s="206" t="s">
        <v>36</v>
      </c>
      <c r="D891" s="49" t="s">
        <v>118</v>
      </c>
      <c r="E891" s="56">
        <v>1266.6666666666667</v>
      </c>
      <c r="F891" s="183" t="s">
        <v>118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18"/>
        <v>H_232</v>
      </c>
      <c r="K891" s="117"/>
    </row>
    <row r="892" spans="1:11" ht="30">
      <c r="A892" s="42">
        <f t="shared" si="19"/>
        <v>233</v>
      </c>
      <c r="B892" s="159" t="s">
        <v>719</v>
      </c>
      <c r="C892" s="206" t="s">
        <v>36</v>
      </c>
      <c r="D892" s="49" t="s">
        <v>118</v>
      </c>
      <c r="E892" s="56">
        <v>1266.6666666666667</v>
      </c>
      <c r="F892" s="183" t="s">
        <v>118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18"/>
        <v>H_233</v>
      </c>
      <c r="K892" s="117"/>
    </row>
    <row r="893" spans="1:11" ht="30">
      <c r="A893" s="42">
        <f t="shared" si="19"/>
        <v>234</v>
      </c>
      <c r="B893" s="159" t="s">
        <v>720</v>
      </c>
      <c r="C893" s="206" t="s">
        <v>36</v>
      </c>
      <c r="D893" s="49" t="s">
        <v>118</v>
      </c>
      <c r="E893" s="56">
        <v>1266.6666666666667</v>
      </c>
      <c r="F893" s="183" t="s">
        <v>118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18"/>
        <v>H_234</v>
      </c>
      <c r="K893" s="117"/>
    </row>
    <row r="894" spans="1:11" ht="30">
      <c r="A894" s="42">
        <f t="shared" si="19"/>
        <v>235</v>
      </c>
      <c r="B894" s="159" t="s">
        <v>721</v>
      </c>
      <c r="C894" s="206" t="s">
        <v>36</v>
      </c>
      <c r="D894" s="49" t="s">
        <v>118</v>
      </c>
      <c r="E894" s="56">
        <v>1266.6666666666667</v>
      </c>
      <c r="F894" s="183" t="s">
        <v>118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18"/>
        <v>H_235</v>
      </c>
      <c r="K894" s="117"/>
    </row>
    <row r="895" spans="1:11" ht="30">
      <c r="A895" s="42">
        <f t="shared" si="19"/>
        <v>236</v>
      </c>
      <c r="B895" s="159" t="s">
        <v>722</v>
      </c>
      <c r="C895" s="206" t="s">
        <v>36</v>
      </c>
      <c r="D895" s="49" t="s">
        <v>118</v>
      </c>
      <c r="E895" s="56">
        <v>1266.6666666666667</v>
      </c>
      <c r="F895" s="183" t="s">
        <v>118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18"/>
        <v>H_236</v>
      </c>
      <c r="K895" s="117"/>
    </row>
    <row r="896" spans="1:11" ht="30">
      <c r="A896" s="42">
        <f t="shared" si="19"/>
        <v>237</v>
      </c>
      <c r="B896" s="159" t="s">
        <v>723</v>
      </c>
      <c r="C896" s="206" t="s">
        <v>36</v>
      </c>
      <c r="D896" s="49" t="s">
        <v>118</v>
      </c>
      <c r="E896" s="56">
        <v>1266.6666666666667</v>
      </c>
      <c r="F896" s="183" t="s">
        <v>118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18"/>
        <v>H_237</v>
      </c>
      <c r="K896" s="117"/>
    </row>
    <row r="897" spans="1:11" ht="30">
      <c r="A897" s="42">
        <f t="shared" si="19"/>
        <v>238</v>
      </c>
      <c r="B897" s="159" t="s">
        <v>724</v>
      </c>
      <c r="C897" s="206" t="s">
        <v>36</v>
      </c>
      <c r="D897" s="49" t="s">
        <v>118</v>
      </c>
      <c r="E897" s="56">
        <v>455.66624999999999</v>
      </c>
      <c r="F897" s="183" t="s">
        <v>118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18"/>
        <v>H_238</v>
      </c>
      <c r="K897" s="117"/>
    </row>
    <row r="898" spans="1:11" ht="30">
      <c r="A898" s="42">
        <f t="shared" si="19"/>
        <v>239</v>
      </c>
      <c r="B898" s="159" t="s">
        <v>725</v>
      </c>
      <c r="C898" s="206" t="s">
        <v>36</v>
      </c>
      <c r="D898" s="49" t="s">
        <v>118</v>
      </c>
      <c r="E898" s="56">
        <v>455.66624999999999</v>
      </c>
      <c r="F898" s="183" t="s">
        <v>118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18"/>
        <v>H_239</v>
      </c>
      <c r="K898" s="117"/>
    </row>
    <row r="899" spans="1:11" ht="30">
      <c r="A899" s="42">
        <f t="shared" si="19"/>
        <v>240</v>
      </c>
      <c r="B899" s="159" t="s">
        <v>726</v>
      </c>
      <c r="C899" s="206" t="s">
        <v>36</v>
      </c>
      <c r="D899" s="49" t="s">
        <v>118</v>
      </c>
      <c r="E899" s="56">
        <v>455.66624999999999</v>
      </c>
      <c r="F899" s="183" t="s">
        <v>118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18"/>
        <v>H_240</v>
      </c>
      <c r="K899" s="117"/>
    </row>
    <row r="900" spans="1:11" ht="30">
      <c r="A900" s="42">
        <f t="shared" si="19"/>
        <v>241</v>
      </c>
      <c r="B900" s="159" t="s">
        <v>727</v>
      </c>
      <c r="C900" s="206" t="s">
        <v>36</v>
      </c>
      <c r="D900" s="49" t="s">
        <v>118</v>
      </c>
      <c r="E900" s="56">
        <v>455.66624999999999</v>
      </c>
      <c r="F900" s="183" t="s">
        <v>118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18"/>
        <v>H_241</v>
      </c>
      <c r="K900" s="117"/>
    </row>
    <row r="901" spans="1:11" ht="30">
      <c r="A901" s="42">
        <f t="shared" si="19"/>
        <v>242</v>
      </c>
      <c r="B901" s="159" t="s">
        <v>728</v>
      </c>
      <c r="C901" s="206" t="s">
        <v>36</v>
      </c>
      <c r="D901" s="49" t="s">
        <v>118</v>
      </c>
      <c r="E901" s="56">
        <v>455.66624999999999</v>
      </c>
      <c r="F901" s="183" t="s">
        <v>118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18"/>
        <v>H_242</v>
      </c>
      <c r="K901" s="117"/>
    </row>
    <row r="902" spans="1:11" ht="30">
      <c r="A902" s="42">
        <f t="shared" si="19"/>
        <v>243</v>
      </c>
      <c r="B902" s="159" t="s">
        <v>729</v>
      </c>
      <c r="C902" s="206" t="s">
        <v>36</v>
      </c>
      <c r="D902" s="49" t="s">
        <v>118</v>
      </c>
      <c r="E902" s="56">
        <v>455.66624999999999</v>
      </c>
      <c r="F902" s="183" t="s">
        <v>118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18"/>
        <v>H_243</v>
      </c>
      <c r="K902" s="117"/>
    </row>
    <row r="903" spans="1:11" ht="30">
      <c r="A903" s="42">
        <f t="shared" si="19"/>
        <v>244</v>
      </c>
      <c r="B903" s="159" t="s">
        <v>730</v>
      </c>
      <c r="C903" s="206" t="s">
        <v>36</v>
      </c>
      <c r="D903" s="49" t="s">
        <v>118</v>
      </c>
      <c r="E903" s="56">
        <v>455.66624999999999</v>
      </c>
      <c r="F903" s="183" t="s">
        <v>118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18"/>
        <v>H_244</v>
      </c>
      <c r="K903" s="117"/>
    </row>
    <row r="904" spans="1:11" ht="30">
      <c r="A904" s="42">
        <f t="shared" si="19"/>
        <v>245</v>
      </c>
      <c r="B904" s="159" t="s">
        <v>731</v>
      </c>
      <c r="C904" s="206" t="s">
        <v>36</v>
      </c>
      <c r="D904" s="49" t="s">
        <v>118</v>
      </c>
      <c r="E904" s="56">
        <v>455.66624999999999</v>
      </c>
      <c r="F904" s="183" t="s">
        <v>118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18"/>
        <v>H_245</v>
      </c>
      <c r="K904" s="117"/>
    </row>
    <row r="905" spans="1:11" ht="30">
      <c r="A905" s="42">
        <f t="shared" si="19"/>
        <v>246</v>
      </c>
      <c r="B905" s="159" t="s">
        <v>732</v>
      </c>
      <c r="C905" s="206" t="s">
        <v>36</v>
      </c>
      <c r="D905" s="49" t="s">
        <v>118</v>
      </c>
      <c r="E905" s="56">
        <v>455.66624999999999</v>
      </c>
      <c r="F905" s="183" t="s">
        <v>118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18"/>
        <v>H_246</v>
      </c>
      <c r="K905" s="117"/>
    </row>
    <row r="906" spans="1:11" ht="30">
      <c r="A906" s="42">
        <f t="shared" si="19"/>
        <v>247</v>
      </c>
      <c r="B906" s="159" t="s">
        <v>733</v>
      </c>
      <c r="C906" s="206" t="s">
        <v>36</v>
      </c>
      <c r="D906" s="49" t="s">
        <v>118</v>
      </c>
      <c r="E906" s="56">
        <v>455.66624999999999</v>
      </c>
      <c r="F906" s="183" t="s">
        <v>118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18"/>
        <v>H_247</v>
      </c>
      <c r="K906" s="117"/>
    </row>
    <row r="907" spans="1:11" ht="30">
      <c r="A907" s="42">
        <f t="shared" si="19"/>
        <v>248</v>
      </c>
      <c r="B907" s="159" t="s">
        <v>734</v>
      </c>
      <c r="C907" s="206" t="s">
        <v>36</v>
      </c>
      <c r="D907" s="49" t="s">
        <v>118</v>
      </c>
      <c r="E907" s="56">
        <v>455.66624999999999</v>
      </c>
      <c r="F907" s="183" t="s">
        <v>118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18"/>
        <v>H_248</v>
      </c>
      <c r="K907" s="117"/>
    </row>
    <row r="908" spans="1:11" ht="30">
      <c r="A908" s="42">
        <f t="shared" si="19"/>
        <v>249</v>
      </c>
      <c r="B908" s="159" t="s">
        <v>735</v>
      </c>
      <c r="C908" s="206" t="s">
        <v>36</v>
      </c>
      <c r="D908" s="49" t="s">
        <v>118</v>
      </c>
      <c r="E908" s="56">
        <v>455.66624999999999</v>
      </c>
      <c r="F908" s="183" t="s">
        <v>118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18"/>
        <v>H_249</v>
      </c>
      <c r="K908" s="117"/>
    </row>
    <row r="909" spans="1:11" ht="30">
      <c r="A909" s="42">
        <f t="shared" si="19"/>
        <v>250</v>
      </c>
      <c r="B909" s="159" t="s">
        <v>736</v>
      </c>
      <c r="C909" s="206" t="s">
        <v>36</v>
      </c>
      <c r="D909" s="49" t="s">
        <v>118</v>
      </c>
      <c r="E909" s="56">
        <v>455.66624999999999</v>
      </c>
      <c r="F909" s="183" t="s">
        <v>118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18"/>
        <v>H_250</v>
      </c>
      <c r="K909" s="117"/>
    </row>
    <row r="910" spans="1:11" ht="30">
      <c r="A910" s="42">
        <f t="shared" si="19"/>
        <v>251</v>
      </c>
      <c r="B910" s="159" t="s">
        <v>737</v>
      </c>
      <c r="C910" s="206" t="s">
        <v>36</v>
      </c>
      <c r="D910" s="49" t="s">
        <v>118</v>
      </c>
      <c r="E910" s="56">
        <v>455.66624999999999</v>
      </c>
      <c r="F910" s="183" t="s">
        <v>118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18"/>
        <v>H_251</v>
      </c>
      <c r="K910" s="117"/>
    </row>
    <row r="911" spans="1:11">
      <c r="A911" s="42">
        <f t="shared" si="19"/>
        <v>252</v>
      </c>
      <c r="B911" s="37" t="s">
        <v>738</v>
      </c>
      <c r="C911" s="206" t="s">
        <v>36</v>
      </c>
      <c r="D911" s="49" t="s">
        <v>118</v>
      </c>
      <c r="E911" s="44">
        <v>3356</v>
      </c>
      <c r="F911" s="177" t="s">
        <v>118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18"/>
        <v>H_252</v>
      </c>
      <c r="K911" s="117"/>
    </row>
    <row r="912" spans="1:11">
      <c r="A912" s="42">
        <f t="shared" si="19"/>
        <v>253</v>
      </c>
      <c r="B912" s="159" t="s">
        <v>739</v>
      </c>
      <c r="C912" s="206" t="s">
        <v>36</v>
      </c>
      <c r="D912" s="49" t="s">
        <v>118</v>
      </c>
      <c r="E912" s="56">
        <v>1900</v>
      </c>
      <c r="F912" s="183" t="s">
        <v>118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18"/>
        <v>H_253</v>
      </c>
      <c r="K912" s="117"/>
    </row>
    <row r="913" spans="1:11">
      <c r="A913" s="42">
        <f t="shared" si="19"/>
        <v>254</v>
      </c>
      <c r="B913" s="159" t="s">
        <v>740</v>
      </c>
      <c r="C913" s="206" t="s">
        <v>36</v>
      </c>
      <c r="D913" s="49" t="s">
        <v>118</v>
      </c>
      <c r="E913" s="56">
        <v>1900</v>
      </c>
      <c r="F913" s="183" t="s">
        <v>118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18"/>
        <v>H_254</v>
      </c>
      <c r="K913" s="117"/>
    </row>
    <row r="914" spans="1:11">
      <c r="A914" s="42">
        <f t="shared" si="19"/>
        <v>255</v>
      </c>
      <c r="B914" s="159" t="s">
        <v>741</v>
      </c>
      <c r="C914" s="206" t="s">
        <v>36</v>
      </c>
      <c r="D914" s="49" t="s">
        <v>118</v>
      </c>
      <c r="E914" s="56">
        <v>23075</v>
      </c>
      <c r="F914" s="183" t="s">
        <v>118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18"/>
        <v>H_255</v>
      </c>
      <c r="K914" s="117"/>
    </row>
    <row r="915" spans="1:11">
      <c r="A915" s="42">
        <f t="shared" si="19"/>
        <v>256</v>
      </c>
      <c r="B915" s="37" t="s">
        <v>742</v>
      </c>
      <c r="C915" s="206" t="s">
        <v>36</v>
      </c>
      <c r="D915" s="49" t="s">
        <v>118</v>
      </c>
      <c r="E915" s="56">
        <v>23075.289999999997</v>
      </c>
      <c r="F915" s="177" t="s">
        <v>118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18"/>
        <v>H_256</v>
      </c>
      <c r="K915" s="117"/>
    </row>
    <row r="916" spans="1:11">
      <c r="A916" s="42">
        <f t="shared" si="19"/>
        <v>257</v>
      </c>
      <c r="B916" s="159" t="s">
        <v>743</v>
      </c>
      <c r="C916" s="206" t="s">
        <v>36</v>
      </c>
      <c r="D916" s="49" t="s">
        <v>118</v>
      </c>
      <c r="E916" s="56">
        <v>1018.64</v>
      </c>
      <c r="F916" s="183" t="s">
        <v>118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0">IFERROR(CONCATENATE(LEFT(C916,1),"_",TEXT(A916,"000")),"")</f>
        <v>H_257</v>
      </c>
      <c r="K916" s="117"/>
    </row>
    <row r="917" spans="1:11">
      <c r="A917" s="42">
        <f t="shared" ref="A917:A980" si="21">A916+1</f>
        <v>258</v>
      </c>
      <c r="B917" s="159" t="s">
        <v>744</v>
      </c>
      <c r="C917" s="206" t="s">
        <v>36</v>
      </c>
      <c r="D917" s="49" t="s">
        <v>118</v>
      </c>
      <c r="E917" s="56">
        <v>1018.64</v>
      </c>
      <c r="F917" s="183" t="s">
        <v>118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0"/>
        <v>H_258</v>
      </c>
      <c r="K917" s="117"/>
    </row>
    <row r="918" spans="1:11">
      <c r="A918" s="42">
        <f t="shared" si="21"/>
        <v>259</v>
      </c>
      <c r="B918" s="37" t="s">
        <v>745</v>
      </c>
      <c r="C918" s="206" t="s">
        <v>36</v>
      </c>
      <c r="D918" s="49" t="s">
        <v>118</v>
      </c>
      <c r="E918" s="44">
        <v>3356</v>
      </c>
      <c r="F918" s="177" t="s">
        <v>118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0"/>
        <v>H_259</v>
      </c>
      <c r="K918" s="117"/>
    </row>
    <row r="919" spans="1:11" ht="30">
      <c r="A919" s="42">
        <f t="shared" si="21"/>
        <v>260</v>
      </c>
      <c r="B919" s="37" t="s">
        <v>746</v>
      </c>
      <c r="C919" s="206" t="s">
        <v>36</v>
      </c>
      <c r="D919" s="49" t="s">
        <v>118</v>
      </c>
      <c r="E919" s="44">
        <v>3356</v>
      </c>
      <c r="F919" s="177" t="s">
        <v>118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0"/>
        <v>H_260</v>
      </c>
      <c r="K919" s="117"/>
    </row>
    <row r="920" spans="1:11">
      <c r="A920" s="42">
        <f t="shared" si="21"/>
        <v>261</v>
      </c>
      <c r="B920" s="37" t="s">
        <v>747</v>
      </c>
      <c r="C920" s="206" t="s">
        <v>36</v>
      </c>
      <c r="D920" s="49" t="s">
        <v>118</v>
      </c>
      <c r="E920" s="44">
        <v>3356</v>
      </c>
      <c r="F920" s="177" t="s">
        <v>118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0"/>
        <v>H_261</v>
      </c>
      <c r="K920" s="117"/>
    </row>
    <row r="921" spans="1:11">
      <c r="A921" s="42">
        <f t="shared" si="21"/>
        <v>262</v>
      </c>
      <c r="B921" s="37" t="s">
        <v>748</v>
      </c>
      <c r="C921" s="206" t="s">
        <v>36</v>
      </c>
      <c r="D921" s="49" t="s">
        <v>118</v>
      </c>
      <c r="E921" s="44">
        <v>3356</v>
      </c>
      <c r="F921" s="177" t="s">
        <v>118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0"/>
        <v>H_262</v>
      </c>
      <c r="K921" s="117"/>
    </row>
    <row r="922" spans="1:11" ht="30">
      <c r="A922" s="42">
        <f t="shared" si="21"/>
        <v>263</v>
      </c>
      <c r="B922" s="37" t="s">
        <v>749</v>
      </c>
      <c r="C922" s="206" t="s">
        <v>36</v>
      </c>
      <c r="D922" s="49" t="s">
        <v>118</v>
      </c>
      <c r="E922" s="56">
        <v>3356</v>
      </c>
      <c r="F922" s="183" t="s">
        <v>118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0"/>
        <v>H_263</v>
      </c>
      <c r="K922" s="117"/>
    </row>
    <row r="923" spans="1:11">
      <c r="A923" s="42">
        <f t="shared" si="21"/>
        <v>264</v>
      </c>
      <c r="B923" s="37" t="s">
        <v>750</v>
      </c>
      <c r="C923" s="206" t="s">
        <v>36</v>
      </c>
      <c r="D923" s="49" t="s">
        <v>118</v>
      </c>
      <c r="E923" s="44">
        <v>3356</v>
      </c>
      <c r="F923" s="177" t="s">
        <v>118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0"/>
        <v>H_264</v>
      </c>
      <c r="K923" s="117"/>
    </row>
    <row r="924" spans="1:11" ht="30">
      <c r="A924" s="42">
        <f t="shared" si="21"/>
        <v>265</v>
      </c>
      <c r="B924" s="37" t="s">
        <v>751</v>
      </c>
      <c r="C924" s="206" t="s">
        <v>36</v>
      </c>
      <c r="D924" s="49" t="s">
        <v>118</v>
      </c>
      <c r="E924" s="44">
        <v>3356</v>
      </c>
      <c r="F924" s="177" t="s">
        <v>118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0"/>
        <v>H_265</v>
      </c>
      <c r="K924" s="117"/>
    </row>
    <row r="925" spans="1:11" ht="30">
      <c r="A925" s="42">
        <f t="shared" si="21"/>
        <v>266</v>
      </c>
      <c r="B925" s="37" t="s">
        <v>752</v>
      </c>
      <c r="C925" s="206" t="s">
        <v>36</v>
      </c>
      <c r="D925" s="49" t="s">
        <v>118</v>
      </c>
      <c r="E925" s="44">
        <v>3356</v>
      </c>
      <c r="F925" s="177" t="s">
        <v>118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0"/>
        <v>H_266</v>
      </c>
      <c r="K925" s="117"/>
    </row>
    <row r="926" spans="1:11">
      <c r="A926" s="42">
        <f t="shared" si="21"/>
        <v>267</v>
      </c>
      <c r="B926" s="37" t="s">
        <v>753</v>
      </c>
      <c r="C926" s="206" t="s">
        <v>36</v>
      </c>
      <c r="D926" s="49" t="s">
        <v>118</v>
      </c>
      <c r="E926" s="56">
        <v>198</v>
      </c>
      <c r="F926" s="183" t="s">
        <v>118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0"/>
        <v>H_267</v>
      </c>
      <c r="K926" s="117"/>
    </row>
    <row r="927" spans="1:11">
      <c r="A927" s="42">
        <f t="shared" si="21"/>
        <v>268</v>
      </c>
      <c r="B927" s="37" t="s">
        <v>754</v>
      </c>
      <c r="C927" s="206" t="s">
        <v>36</v>
      </c>
      <c r="D927" s="49" t="s">
        <v>118</v>
      </c>
      <c r="E927" s="56">
        <v>3356</v>
      </c>
      <c r="F927" s="183" t="s">
        <v>118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0"/>
        <v>H_268</v>
      </c>
      <c r="K927" s="117"/>
    </row>
    <row r="928" spans="1:11">
      <c r="A928" s="42">
        <f t="shared" si="21"/>
        <v>269</v>
      </c>
      <c r="B928" s="37" t="s">
        <v>755</v>
      </c>
      <c r="C928" s="206" t="s">
        <v>36</v>
      </c>
      <c r="D928" s="49" t="s">
        <v>118</v>
      </c>
      <c r="E928" s="56">
        <v>198</v>
      </c>
      <c r="F928" s="183" t="s">
        <v>118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0"/>
        <v>H_269</v>
      </c>
      <c r="K928" s="117"/>
    </row>
    <row r="929" spans="1:11">
      <c r="A929" s="42">
        <f t="shared" si="21"/>
        <v>270</v>
      </c>
      <c r="B929" s="37" t="s">
        <v>756</v>
      </c>
      <c r="C929" s="206" t="s">
        <v>36</v>
      </c>
      <c r="D929" s="49" t="s">
        <v>118</v>
      </c>
      <c r="E929" s="56">
        <v>3356</v>
      </c>
      <c r="F929" s="183" t="s">
        <v>118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0"/>
        <v>H_270</v>
      </c>
      <c r="K929" s="117"/>
    </row>
    <row r="930" spans="1:11">
      <c r="A930" s="42">
        <f t="shared" si="21"/>
        <v>271</v>
      </c>
      <c r="B930" s="37" t="s">
        <v>757</v>
      </c>
      <c r="C930" s="206" t="s">
        <v>36</v>
      </c>
      <c r="D930" s="49" t="s">
        <v>118</v>
      </c>
      <c r="E930" s="56">
        <v>3356</v>
      </c>
      <c r="F930" s="183" t="s">
        <v>118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0"/>
        <v>H_271</v>
      </c>
      <c r="K930" s="117"/>
    </row>
    <row r="931" spans="1:11" ht="30">
      <c r="A931" s="42">
        <f t="shared" si="21"/>
        <v>272</v>
      </c>
      <c r="B931" s="37" t="s">
        <v>758</v>
      </c>
      <c r="C931" s="206" t="s">
        <v>36</v>
      </c>
      <c r="D931" s="49" t="s">
        <v>118</v>
      </c>
      <c r="E931" s="44">
        <v>198</v>
      </c>
      <c r="F931" s="177" t="s">
        <v>118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0"/>
        <v>H_272</v>
      </c>
      <c r="K931" s="117"/>
    </row>
    <row r="932" spans="1:11" ht="30">
      <c r="A932" s="42">
        <f t="shared" si="21"/>
        <v>273</v>
      </c>
      <c r="B932" s="37" t="s">
        <v>759</v>
      </c>
      <c r="C932" s="206" t="s">
        <v>36</v>
      </c>
      <c r="D932" s="49" t="s">
        <v>118</v>
      </c>
      <c r="E932" s="56">
        <v>198</v>
      </c>
      <c r="F932" s="183" t="s">
        <v>118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0"/>
        <v>H_273</v>
      </c>
      <c r="K932" s="117"/>
    </row>
    <row r="933" spans="1:11">
      <c r="A933" s="42">
        <f t="shared" si="21"/>
        <v>274</v>
      </c>
      <c r="B933" s="37" t="s">
        <v>760</v>
      </c>
      <c r="C933" s="206" t="s">
        <v>36</v>
      </c>
      <c r="D933" s="49" t="s">
        <v>118</v>
      </c>
      <c r="E933" s="56">
        <v>198</v>
      </c>
      <c r="F933" s="183" t="s">
        <v>118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0"/>
        <v>H_274</v>
      </c>
      <c r="K933" s="117"/>
    </row>
    <row r="934" spans="1:11">
      <c r="A934" s="42">
        <f t="shared" si="21"/>
        <v>275</v>
      </c>
      <c r="B934" s="37" t="s">
        <v>761</v>
      </c>
      <c r="C934" s="206" t="s">
        <v>36</v>
      </c>
      <c r="D934" s="49" t="s">
        <v>118</v>
      </c>
      <c r="E934" s="56">
        <v>198</v>
      </c>
      <c r="F934" s="183" t="s">
        <v>118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0"/>
        <v>H_275</v>
      </c>
      <c r="K934" s="117"/>
    </row>
    <row r="935" spans="1:11" ht="30">
      <c r="A935" s="42">
        <f t="shared" si="21"/>
        <v>276</v>
      </c>
      <c r="B935" s="37" t="s">
        <v>762</v>
      </c>
      <c r="C935" s="206" t="s">
        <v>36</v>
      </c>
      <c r="D935" s="49" t="s">
        <v>118</v>
      </c>
      <c r="E935" s="56">
        <v>198</v>
      </c>
      <c r="F935" s="183" t="s">
        <v>118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0"/>
        <v>H_276</v>
      </c>
      <c r="K935" s="117"/>
    </row>
    <row r="936" spans="1:11">
      <c r="A936" s="42">
        <f t="shared" si="21"/>
        <v>277</v>
      </c>
      <c r="B936" s="37" t="s">
        <v>763</v>
      </c>
      <c r="C936" s="206" t="s">
        <v>36</v>
      </c>
      <c r="D936" s="49" t="s">
        <v>118</v>
      </c>
      <c r="E936" s="56">
        <v>3356</v>
      </c>
      <c r="F936" s="183" t="s">
        <v>118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0"/>
        <v>H_277</v>
      </c>
      <c r="K936" s="117"/>
    </row>
    <row r="937" spans="1:11">
      <c r="A937" s="42">
        <f t="shared" si="21"/>
        <v>278</v>
      </c>
      <c r="B937" s="159" t="s">
        <v>764</v>
      </c>
      <c r="C937" s="206" t="s">
        <v>36</v>
      </c>
      <c r="D937" s="49" t="s">
        <v>118</v>
      </c>
      <c r="E937" s="56">
        <v>1100</v>
      </c>
      <c r="F937" s="183" t="s">
        <v>118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0"/>
        <v>H_278</v>
      </c>
      <c r="K937" s="117"/>
    </row>
    <row r="938" spans="1:11">
      <c r="A938" s="42">
        <f t="shared" si="21"/>
        <v>279</v>
      </c>
      <c r="B938" s="159" t="s">
        <v>765</v>
      </c>
      <c r="C938" s="206" t="s">
        <v>36</v>
      </c>
      <c r="D938" s="49" t="s">
        <v>118</v>
      </c>
      <c r="E938" s="56">
        <v>1350</v>
      </c>
      <c r="F938" s="183" t="s">
        <v>118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0"/>
        <v>H_279</v>
      </c>
      <c r="K938" s="117"/>
    </row>
    <row r="939" spans="1:11">
      <c r="A939" s="42">
        <f t="shared" si="21"/>
        <v>280</v>
      </c>
      <c r="B939" s="159" t="s">
        <v>766</v>
      </c>
      <c r="C939" s="206" t="s">
        <v>36</v>
      </c>
      <c r="D939" s="49" t="s">
        <v>118</v>
      </c>
      <c r="E939" s="56">
        <v>925</v>
      </c>
      <c r="F939" s="183" t="s">
        <v>118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0"/>
        <v>H_280</v>
      </c>
      <c r="K939" s="117"/>
    </row>
    <row r="940" spans="1:11">
      <c r="A940" s="42">
        <f t="shared" si="21"/>
        <v>281</v>
      </c>
      <c r="B940" s="37" t="s">
        <v>767</v>
      </c>
      <c r="C940" s="206" t="s">
        <v>36</v>
      </c>
      <c r="D940" s="49" t="s">
        <v>118</v>
      </c>
      <c r="E940" s="44">
        <v>3373</v>
      </c>
      <c r="F940" s="177" t="s">
        <v>118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0"/>
        <v>H_281</v>
      </c>
      <c r="K940" s="117"/>
    </row>
    <row r="941" spans="1:11">
      <c r="A941" s="42">
        <f t="shared" si="21"/>
        <v>282</v>
      </c>
      <c r="B941" s="172" t="s">
        <v>768</v>
      </c>
      <c r="C941" s="206" t="s">
        <v>36</v>
      </c>
      <c r="D941" s="49" t="s">
        <v>118</v>
      </c>
      <c r="E941" s="57">
        <v>1275.68</v>
      </c>
      <c r="F941" s="177" t="s">
        <v>118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0"/>
        <v>H_282</v>
      </c>
      <c r="K941" s="117"/>
    </row>
    <row r="942" spans="1:11">
      <c r="A942" s="42">
        <f t="shared" si="21"/>
        <v>283</v>
      </c>
      <c r="B942" s="37" t="s">
        <v>769</v>
      </c>
      <c r="C942" s="206" t="s">
        <v>36</v>
      </c>
      <c r="D942" s="49" t="s">
        <v>118</v>
      </c>
      <c r="E942" s="56">
        <v>3373</v>
      </c>
      <c r="F942" s="183" t="s">
        <v>118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0"/>
        <v>H_283</v>
      </c>
      <c r="K942" s="117"/>
    </row>
    <row r="943" spans="1:11">
      <c r="A943" s="42">
        <f t="shared" si="21"/>
        <v>284</v>
      </c>
      <c r="B943" s="172" t="s">
        <v>770</v>
      </c>
      <c r="C943" s="206" t="s">
        <v>36</v>
      </c>
      <c r="D943" s="49" t="s">
        <v>118</v>
      </c>
      <c r="E943" s="57">
        <v>1275.68</v>
      </c>
      <c r="F943" s="177" t="s">
        <v>118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0"/>
        <v>H_284</v>
      </c>
      <c r="K943" s="117"/>
    </row>
    <row r="944" spans="1:11">
      <c r="A944" s="42">
        <f t="shared" si="21"/>
        <v>285</v>
      </c>
      <c r="B944" s="37" t="s">
        <v>771</v>
      </c>
      <c r="C944" s="206" t="s">
        <v>36</v>
      </c>
      <c r="D944" s="49" t="s">
        <v>118</v>
      </c>
      <c r="E944" s="44">
        <v>1275.68</v>
      </c>
      <c r="F944" s="177" t="s">
        <v>118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0"/>
        <v>H_285</v>
      </c>
      <c r="K944" s="117"/>
    </row>
    <row r="945" spans="1:11">
      <c r="A945" s="42">
        <f t="shared" si="21"/>
        <v>286</v>
      </c>
      <c r="B945" s="159" t="s">
        <v>772</v>
      </c>
      <c r="C945" s="206" t="s">
        <v>36</v>
      </c>
      <c r="D945" s="49" t="s">
        <v>118</v>
      </c>
      <c r="E945" s="56">
        <v>2746.52</v>
      </c>
      <c r="F945" s="183" t="s">
        <v>118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0"/>
        <v>H_286</v>
      </c>
      <c r="K945" s="117"/>
    </row>
    <row r="946" spans="1:11">
      <c r="A946" s="42">
        <f t="shared" si="21"/>
        <v>287</v>
      </c>
      <c r="B946" s="37" t="s">
        <v>773</v>
      </c>
      <c r="C946" s="206" t="s">
        <v>36</v>
      </c>
      <c r="D946" s="49" t="s">
        <v>118</v>
      </c>
      <c r="E946" s="44">
        <v>1275.68</v>
      </c>
      <c r="F946" s="177" t="s">
        <v>118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0"/>
        <v>H_287</v>
      </c>
      <c r="K946" s="117"/>
    </row>
    <row r="947" spans="1:11">
      <c r="A947" s="42">
        <f t="shared" si="21"/>
        <v>288</v>
      </c>
      <c r="B947" s="37" t="s">
        <v>774</v>
      </c>
      <c r="C947" s="206" t="s">
        <v>36</v>
      </c>
      <c r="D947" s="49" t="s">
        <v>118</v>
      </c>
      <c r="E947" s="44">
        <v>1225.7</v>
      </c>
      <c r="F947" s="177" t="s">
        <v>118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0"/>
        <v>H_288</v>
      </c>
      <c r="K947" s="117"/>
    </row>
    <row r="948" spans="1:11">
      <c r="A948" s="42">
        <f t="shared" si="21"/>
        <v>289</v>
      </c>
      <c r="B948" s="37" t="s">
        <v>775</v>
      </c>
      <c r="C948" s="206" t="s">
        <v>36</v>
      </c>
      <c r="D948" s="49" t="s">
        <v>118</v>
      </c>
      <c r="E948" s="44">
        <v>3881.78</v>
      </c>
      <c r="F948" s="177" t="s">
        <v>118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0"/>
        <v>H_289</v>
      </c>
      <c r="K948" s="117"/>
    </row>
    <row r="949" spans="1:11">
      <c r="A949" s="42">
        <f t="shared" si="21"/>
        <v>290</v>
      </c>
      <c r="B949" s="37" t="s">
        <v>776</v>
      </c>
      <c r="C949" s="206" t="s">
        <v>36</v>
      </c>
      <c r="D949" s="49" t="s">
        <v>118</v>
      </c>
      <c r="E949" s="44">
        <v>1275.68</v>
      </c>
      <c r="F949" s="177" t="s">
        <v>118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0"/>
        <v>H_290</v>
      </c>
      <c r="K949" s="117"/>
    </row>
    <row r="950" spans="1:11">
      <c r="A950" s="42">
        <f t="shared" si="21"/>
        <v>291</v>
      </c>
      <c r="B950" s="37" t="s">
        <v>777</v>
      </c>
      <c r="C950" s="206" t="s">
        <v>36</v>
      </c>
      <c r="D950" s="49" t="s">
        <v>118</v>
      </c>
      <c r="E950" s="44">
        <v>3881.78</v>
      </c>
      <c r="F950" s="177" t="s">
        <v>118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0"/>
        <v>H_291</v>
      </c>
      <c r="K950" s="117"/>
    </row>
    <row r="951" spans="1:11">
      <c r="A951" s="42">
        <f t="shared" si="21"/>
        <v>292</v>
      </c>
      <c r="B951" s="37" t="s">
        <v>778</v>
      </c>
      <c r="C951" s="206" t="s">
        <v>36</v>
      </c>
      <c r="D951" s="49" t="s">
        <v>118</v>
      </c>
      <c r="E951" s="56">
        <v>1225.7</v>
      </c>
      <c r="F951" s="183" t="s">
        <v>118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0"/>
        <v>H_292</v>
      </c>
      <c r="K951" s="117"/>
    </row>
    <row r="952" spans="1:11">
      <c r="A952" s="42">
        <f t="shared" si="21"/>
        <v>293</v>
      </c>
      <c r="B952" s="37" t="s">
        <v>779</v>
      </c>
      <c r="C952" s="206" t="s">
        <v>36</v>
      </c>
      <c r="D952" s="49" t="s">
        <v>118</v>
      </c>
      <c r="E952" s="44">
        <v>1225.7</v>
      </c>
      <c r="F952" s="177" t="s">
        <v>118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0"/>
        <v>H_293</v>
      </c>
      <c r="K952" s="117"/>
    </row>
    <row r="953" spans="1:11">
      <c r="A953" s="42">
        <f t="shared" si="21"/>
        <v>294</v>
      </c>
      <c r="B953" s="37" t="s">
        <v>780</v>
      </c>
      <c r="C953" s="206" t="s">
        <v>36</v>
      </c>
      <c r="D953" s="49" t="s">
        <v>118</v>
      </c>
      <c r="E953" s="44">
        <v>2400</v>
      </c>
      <c r="F953" s="177" t="s">
        <v>118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0"/>
        <v>H_294</v>
      </c>
      <c r="K953" s="117"/>
    </row>
    <row r="954" spans="1:11">
      <c r="A954" s="42">
        <f t="shared" si="21"/>
        <v>295</v>
      </c>
      <c r="B954" s="37" t="s">
        <v>781</v>
      </c>
      <c r="C954" s="206" t="s">
        <v>36</v>
      </c>
      <c r="D954" s="49" t="s">
        <v>118</v>
      </c>
      <c r="E954" s="44">
        <v>1275.68</v>
      </c>
      <c r="F954" s="177" t="s">
        <v>118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0"/>
        <v>H_295</v>
      </c>
      <c r="K954" s="117"/>
    </row>
    <row r="955" spans="1:11">
      <c r="A955" s="42">
        <f t="shared" si="21"/>
        <v>296</v>
      </c>
      <c r="B955" s="37" t="s">
        <v>782</v>
      </c>
      <c r="C955" s="206" t="s">
        <v>36</v>
      </c>
      <c r="D955" s="49" t="s">
        <v>118</v>
      </c>
      <c r="E955" s="44">
        <v>1225.7</v>
      </c>
      <c r="F955" s="177" t="s">
        <v>118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0"/>
        <v>H_296</v>
      </c>
      <c r="K955" s="117"/>
    </row>
    <row r="956" spans="1:11">
      <c r="A956" s="42">
        <f t="shared" si="21"/>
        <v>297</v>
      </c>
      <c r="B956" s="37" t="s">
        <v>783</v>
      </c>
      <c r="C956" s="206" t="s">
        <v>36</v>
      </c>
      <c r="D956" s="49" t="s">
        <v>118</v>
      </c>
      <c r="E956" s="44">
        <v>1275.68</v>
      </c>
      <c r="F956" s="177" t="s">
        <v>118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0"/>
        <v>H_297</v>
      </c>
      <c r="K956" s="117"/>
    </row>
    <row r="957" spans="1:11">
      <c r="A957" s="42">
        <f t="shared" si="21"/>
        <v>298</v>
      </c>
      <c r="B957" s="37" t="s">
        <v>784</v>
      </c>
      <c r="C957" s="206" t="s">
        <v>36</v>
      </c>
      <c r="D957" s="49" t="s">
        <v>118</v>
      </c>
      <c r="E957" s="44">
        <v>2400</v>
      </c>
      <c r="F957" s="177" t="s">
        <v>118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0"/>
        <v>H_298</v>
      </c>
      <c r="K957" s="117"/>
    </row>
    <row r="958" spans="1:11" ht="30">
      <c r="A958" s="42">
        <f t="shared" si="21"/>
        <v>299</v>
      </c>
      <c r="B958" s="159" t="s">
        <v>785</v>
      </c>
      <c r="C958" s="206" t="s">
        <v>36</v>
      </c>
      <c r="D958" s="49" t="s">
        <v>118</v>
      </c>
      <c r="E958" s="56">
        <v>873.94</v>
      </c>
      <c r="F958" s="183" t="s">
        <v>118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0"/>
        <v>H_299</v>
      </c>
      <c r="K958" s="117"/>
    </row>
    <row r="959" spans="1:11">
      <c r="A959" s="42">
        <f t="shared" si="21"/>
        <v>300</v>
      </c>
      <c r="B959" s="159" t="s">
        <v>786</v>
      </c>
      <c r="C959" s="206" t="s">
        <v>36</v>
      </c>
      <c r="D959" s="49" t="s">
        <v>118</v>
      </c>
      <c r="E959" s="56">
        <v>873.94</v>
      </c>
      <c r="F959" s="183" t="s">
        <v>118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0"/>
        <v>H_300</v>
      </c>
      <c r="K959" s="117"/>
    </row>
    <row r="960" spans="1:11">
      <c r="A960" s="42">
        <f t="shared" si="21"/>
        <v>301</v>
      </c>
      <c r="B960" s="159" t="s">
        <v>787</v>
      </c>
      <c r="C960" s="206" t="s">
        <v>36</v>
      </c>
      <c r="D960" s="49" t="s">
        <v>118</v>
      </c>
      <c r="E960" s="56">
        <v>873.94</v>
      </c>
      <c r="F960" s="183" t="s">
        <v>118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0"/>
        <v>H_301</v>
      </c>
      <c r="K960" s="117"/>
    </row>
    <row r="961" spans="1:11">
      <c r="A961" s="42">
        <f t="shared" si="21"/>
        <v>302</v>
      </c>
      <c r="B961" s="159" t="s">
        <v>788</v>
      </c>
      <c r="C961" s="206" t="s">
        <v>36</v>
      </c>
      <c r="D961" s="49" t="s">
        <v>118</v>
      </c>
      <c r="E961" s="56">
        <v>873.94</v>
      </c>
      <c r="F961" s="183" t="s">
        <v>118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0"/>
        <v>H_302</v>
      </c>
      <c r="K961" s="117"/>
    </row>
    <row r="962" spans="1:11">
      <c r="A962" s="42">
        <f t="shared" si="21"/>
        <v>303</v>
      </c>
      <c r="B962" s="37" t="s">
        <v>789</v>
      </c>
      <c r="C962" s="206" t="s">
        <v>36</v>
      </c>
      <c r="D962" s="49" t="s">
        <v>118</v>
      </c>
      <c r="E962" s="44">
        <v>131.97</v>
      </c>
      <c r="F962" s="177" t="s">
        <v>118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0"/>
        <v>H_303</v>
      </c>
      <c r="K962" s="117"/>
    </row>
    <row r="963" spans="1:11">
      <c r="A963" s="42">
        <f t="shared" si="21"/>
        <v>304</v>
      </c>
      <c r="B963" s="159" t="s">
        <v>790</v>
      </c>
      <c r="C963" s="206" t="s">
        <v>36</v>
      </c>
      <c r="D963" s="49" t="s">
        <v>118</v>
      </c>
      <c r="E963" s="56">
        <v>5450</v>
      </c>
      <c r="F963" s="183" t="s">
        <v>118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0"/>
        <v>H_304</v>
      </c>
      <c r="K963" s="117"/>
    </row>
    <row r="964" spans="1:11">
      <c r="A964" s="42">
        <f t="shared" si="21"/>
        <v>305</v>
      </c>
      <c r="B964" s="159" t="s">
        <v>791</v>
      </c>
      <c r="C964" s="206" t="s">
        <v>36</v>
      </c>
      <c r="D964" s="49" t="s">
        <v>118</v>
      </c>
      <c r="E964" s="56">
        <v>5450</v>
      </c>
      <c r="F964" s="183" t="s">
        <v>118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0"/>
        <v>H_305</v>
      </c>
      <c r="K964" s="117"/>
    </row>
    <row r="965" spans="1:11" ht="30">
      <c r="A965" s="42">
        <f t="shared" si="21"/>
        <v>306</v>
      </c>
      <c r="B965" s="159" t="s">
        <v>792</v>
      </c>
      <c r="C965" s="206" t="s">
        <v>36</v>
      </c>
      <c r="D965" s="49" t="s">
        <v>118</v>
      </c>
      <c r="E965" s="56">
        <v>5450</v>
      </c>
      <c r="F965" s="183" t="s">
        <v>118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0"/>
        <v>H_306</v>
      </c>
      <c r="K965" s="117"/>
    </row>
    <row r="966" spans="1:11" ht="30">
      <c r="A966" s="42">
        <f t="shared" si="21"/>
        <v>307</v>
      </c>
      <c r="B966" s="159" t="s">
        <v>793</v>
      </c>
      <c r="C966" s="206" t="s">
        <v>36</v>
      </c>
      <c r="D966" s="49" t="s">
        <v>118</v>
      </c>
      <c r="E966" s="56">
        <v>5450</v>
      </c>
      <c r="F966" s="183" t="s">
        <v>118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0"/>
        <v>H_307</v>
      </c>
      <c r="K966" s="117"/>
    </row>
    <row r="967" spans="1:11" ht="30">
      <c r="A967" s="42">
        <f t="shared" si="21"/>
        <v>308</v>
      </c>
      <c r="B967" s="159" t="s">
        <v>794</v>
      </c>
      <c r="C967" s="206" t="s">
        <v>36</v>
      </c>
      <c r="D967" s="49" t="s">
        <v>118</v>
      </c>
      <c r="E967" s="56">
        <v>5450</v>
      </c>
      <c r="F967" s="183" t="s">
        <v>118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0"/>
        <v>H_308</v>
      </c>
      <c r="K967" s="117"/>
    </row>
    <row r="968" spans="1:11" ht="30">
      <c r="A968" s="42">
        <f t="shared" si="21"/>
        <v>309</v>
      </c>
      <c r="B968" s="159" t="s">
        <v>795</v>
      </c>
      <c r="C968" s="206" t="s">
        <v>36</v>
      </c>
      <c r="D968" s="49" t="s">
        <v>118</v>
      </c>
      <c r="E968" s="56">
        <v>5450</v>
      </c>
      <c r="F968" s="183" t="s">
        <v>118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0"/>
        <v>H_309</v>
      </c>
      <c r="K968" s="117"/>
    </row>
    <row r="969" spans="1:11" ht="30">
      <c r="A969" s="42">
        <f t="shared" si="21"/>
        <v>310</v>
      </c>
      <c r="B969" s="159" t="s">
        <v>796</v>
      </c>
      <c r="C969" s="206" t="s">
        <v>36</v>
      </c>
      <c r="D969" s="49" t="s">
        <v>118</v>
      </c>
      <c r="E969" s="56">
        <v>5450</v>
      </c>
      <c r="F969" s="183" t="s">
        <v>118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0"/>
        <v>H_310</v>
      </c>
      <c r="K969" s="117"/>
    </row>
    <row r="970" spans="1:11" ht="30">
      <c r="A970" s="42">
        <f t="shared" si="21"/>
        <v>311</v>
      </c>
      <c r="B970" s="159" t="s">
        <v>797</v>
      </c>
      <c r="C970" s="206" t="s">
        <v>36</v>
      </c>
      <c r="D970" s="49" t="s">
        <v>118</v>
      </c>
      <c r="E970" s="56">
        <v>5450</v>
      </c>
      <c r="F970" s="183" t="s">
        <v>118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0"/>
        <v>H_311</v>
      </c>
      <c r="K970" s="117"/>
    </row>
    <row r="971" spans="1:11">
      <c r="A971" s="42">
        <f t="shared" si="21"/>
        <v>312</v>
      </c>
      <c r="B971" s="37" t="s">
        <v>798</v>
      </c>
      <c r="C971" s="206" t="s">
        <v>36</v>
      </c>
      <c r="D971" s="49" t="s">
        <v>118</v>
      </c>
      <c r="E971" s="44">
        <v>131.97</v>
      </c>
      <c r="F971" s="177" t="s">
        <v>118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0"/>
        <v>H_312</v>
      </c>
      <c r="K971" s="117"/>
    </row>
    <row r="972" spans="1:11">
      <c r="A972" s="42">
        <f t="shared" si="21"/>
        <v>313</v>
      </c>
      <c r="B972" s="37" t="s">
        <v>799</v>
      </c>
      <c r="C972" s="206" t="s">
        <v>36</v>
      </c>
      <c r="D972" s="49" t="s">
        <v>118</v>
      </c>
      <c r="E972" s="44">
        <v>131.97</v>
      </c>
      <c r="F972" s="177" t="s">
        <v>118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0"/>
        <v>H_313</v>
      </c>
      <c r="K972" s="117"/>
    </row>
    <row r="973" spans="1:11">
      <c r="A973" s="42">
        <f t="shared" si="21"/>
        <v>314</v>
      </c>
      <c r="B973" s="171" t="s">
        <v>800</v>
      </c>
      <c r="C973" s="206" t="s">
        <v>36</v>
      </c>
      <c r="D973" s="49" t="s">
        <v>118</v>
      </c>
      <c r="E973" s="44">
        <v>249.9</v>
      </c>
      <c r="F973" s="177" t="s">
        <v>95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0"/>
        <v>H_314</v>
      </c>
      <c r="K973" s="117"/>
    </row>
    <row r="974" spans="1:11">
      <c r="A974" s="42">
        <f t="shared" si="21"/>
        <v>315</v>
      </c>
      <c r="B974" s="37" t="s">
        <v>801</v>
      </c>
      <c r="C974" s="206" t="s">
        <v>36</v>
      </c>
      <c r="D974" s="49" t="s">
        <v>118</v>
      </c>
      <c r="E974" s="44">
        <v>131.97</v>
      </c>
      <c r="F974" s="177" t="s">
        <v>246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0"/>
        <v>H_315</v>
      </c>
      <c r="K974" s="117"/>
    </row>
    <row r="975" spans="1:11">
      <c r="A975" s="42">
        <f t="shared" si="21"/>
        <v>316</v>
      </c>
      <c r="B975" s="37" t="s">
        <v>802</v>
      </c>
      <c r="C975" s="206" t="s">
        <v>36</v>
      </c>
      <c r="D975" s="49" t="s">
        <v>118</v>
      </c>
      <c r="E975" s="44">
        <v>131.97</v>
      </c>
      <c r="F975" s="177" t="s">
        <v>118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0"/>
        <v>H_316</v>
      </c>
      <c r="K975" s="117"/>
    </row>
    <row r="976" spans="1:11">
      <c r="A976" s="42">
        <f t="shared" si="21"/>
        <v>317</v>
      </c>
      <c r="B976" s="37" t="s">
        <v>803</v>
      </c>
      <c r="C976" s="206" t="s">
        <v>36</v>
      </c>
      <c r="D976" s="49" t="s">
        <v>118</v>
      </c>
      <c r="E976" s="56">
        <v>131.97</v>
      </c>
      <c r="F976" s="183" t="s">
        <v>118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0"/>
        <v>H_317</v>
      </c>
      <c r="K976" s="117"/>
    </row>
    <row r="977" spans="1:11">
      <c r="A977" s="42">
        <f t="shared" si="21"/>
        <v>318</v>
      </c>
      <c r="B977" s="37" t="s">
        <v>804</v>
      </c>
      <c r="C977" s="206" t="s">
        <v>36</v>
      </c>
      <c r="D977" s="49" t="s">
        <v>118</v>
      </c>
      <c r="E977" s="44">
        <v>131.97</v>
      </c>
      <c r="F977" s="177" t="s">
        <v>118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0"/>
        <v>H_318</v>
      </c>
      <c r="K977" s="117"/>
    </row>
    <row r="978" spans="1:11">
      <c r="A978" s="42">
        <f t="shared" si="21"/>
        <v>319</v>
      </c>
      <c r="B978" s="37" t="s">
        <v>805</v>
      </c>
      <c r="C978" s="206" t="s">
        <v>36</v>
      </c>
      <c r="D978" s="49" t="s">
        <v>118</v>
      </c>
      <c r="E978" s="44">
        <v>131.97</v>
      </c>
      <c r="F978" s="177" t="s">
        <v>118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0"/>
        <v>H_319</v>
      </c>
      <c r="K978" s="117"/>
    </row>
    <row r="979" spans="1:11">
      <c r="A979" s="42">
        <f t="shared" si="21"/>
        <v>320</v>
      </c>
      <c r="B979" s="37" t="s">
        <v>806</v>
      </c>
      <c r="C979" s="206" t="s">
        <v>36</v>
      </c>
      <c r="D979" s="49" t="s">
        <v>118</v>
      </c>
      <c r="E979" s="44">
        <v>131.97</v>
      </c>
      <c r="F979" s="177" t="s">
        <v>118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0"/>
        <v>H_320</v>
      </c>
      <c r="K979" s="117"/>
    </row>
    <row r="980" spans="1:11">
      <c r="A980" s="42">
        <f t="shared" si="21"/>
        <v>321</v>
      </c>
      <c r="B980" s="37" t="s">
        <v>807</v>
      </c>
      <c r="C980" s="206" t="s">
        <v>36</v>
      </c>
      <c r="D980" s="49" t="s">
        <v>118</v>
      </c>
      <c r="E980" s="44">
        <v>131.97</v>
      </c>
      <c r="F980" s="177" t="s">
        <v>118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2">IFERROR(CONCATENATE(LEFT(C980,1),"_",TEXT(A980,"000")),"")</f>
        <v>H_321</v>
      </c>
      <c r="K980" s="117"/>
    </row>
    <row r="981" spans="1:11">
      <c r="A981" s="42">
        <f t="shared" ref="A981:A1044" si="23">A980+1</f>
        <v>322</v>
      </c>
      <c r="B981" s="37" t="s">
        <v>808</v>
      </c>
      <c r="C981" s="206" t="s">
        <v>36</v>
      </c>
      <c r="D981" s="49" t="s">
        <v>118</v>
      </c>
      <c r="E981" s="44">
        <v>131.97</v>
      </c>
      <c r="F981" s="177" t="s">
        <v>118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2"/>
        <v>H_322</v>
      </c>
      <c r="K981" s="117"/>
    </row>
    <row r="982" spans="1:11">
      <c r="A982" s="42">
        <f t="shared" si="23"/>
        <v>323</v>
      </c>
      <c r="B982" s="37" t="s">
        <v>809</v>
      </c>
      <c r="C982" s="206" t="s">
        <v>36</v>
      </c>
      <c r="D982" s="49" t="s">
        <v>118</v>
      </c>
      <c r="E982" s="44">
        <v>131.97</v>
      </c>
      <c r="F982" s="177" t="s">
        <v>118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2"/>
        <v>H_323</v>
      </c>
      <c r="K982" s="117"/>
    </row>
    <row r="983" spans="1:11">
      <c r="A983" s="42">
        <f t="shared" si="23"/>
        <v>324</v>
      </c>
      <c r="B983" s="37" t="s">
        <v>810</v>
      </c>
      <c r="C983" s="206" t="s">
        <v>36</v>
      </c>
      <c r="D983" s="49" t="s">
        <v>118</v>
      </c>
      <c r="E983" s="44">
        <v>131.97</v>
      </c>
      <c r="F983" s="183" t="s">
        <v>118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2"/>
        <v>H_324</v>
      </c>
      <c r="K983" s="117"/>
    </row>
    <row r="984" spans="1:11">
      <c r="A984" s="42">
        <f t="shared" si="23"/>
        <v>325</v>
      </c>
      <c r="B984" s="37" t="s">
        <v>811</v>
      </c>
      <c r="C984" s="206" t="s">
        <v>36</v>
      </c>
      <c r="D984" s="49" t="s">
        <v>118</v>
      </c>
      <c r="E984" s="44">
        <v>131.97</v>
      </c>
      <c r="F984" s="177" t="s">
        <v>118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2"/>
        <v>H_325</v>
      </c>
      <c r="K984" s="117"/>
    </row>
    <row r="985" spans="1:11">
      <c r="A985" s="42">
        <f t="shared" si="23"/>
        <v>326</v>
      </c>
      <c r="B985" s="37" t="s">
        <v>812</v>
      </c>
      <c r="C985" s="206" t="s">
        <v>36</v>
      </c>
      <c r="D985" s="49" t="s">
        <v>118</v>
      </c>
      <c r="E985" s="44">
        <v>131.97</v>
      </c>
      <c r="F985" s="177" t="s">
        <v>118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2"/>
        <v>H_326</v>
      </c>
      <c r="K985" s="117"/>
    </row>
    <row r="986" spans="1:11">
      <c r="A986" s="42">
        <f t="shared" si="23"/>
        <v>327</v>
      </c>
      <c r="B986" s="37" t="s">
        <v>813</v>
      </c>
      <c r="C986" s="206" t="s">
        <v>36</v>
      </c>
      <c r="D986" s="49" t="s">
        <v>118</v>
      </c>
      <c r="E986" s="44">
        <v>131.97</v>
      </c>
      <c r="F986" s="177" t="s">
        <v>118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2"/>
        <v>H_327</v>
      </c>
      <c r="K986" s="117"/>
    </row>
    <row r="987" spans="1:11">
      <c r="A987" s="42">
        <f t="shared" si="23"/>
        <v>328</v>
      </c>
      <c r="B987" s="37" t="s">
        <v>814</v>
      </c>
      <c r="C987" s="206" t="s">
        <v>36</v>
      </c>
      <c r="D987" s="49" t="s">
        <v>118</v>
      </c>
      <c r="E987" s="56">
        <v>131.97</v>
      </c>
      <c r="F987" s="183" t="s">
        <v>118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2"/>
        <v>H_328</v>
      </c>
      <c r="K987" s="117"/>
    </row>
    <row r="988" spans="1:11">
      <c r="A988" s="42">
        <f t="shared" si="23"/>
        <v>329</v>
      </c>
      <c r="B988" s="37" t="s">
        <v>815</v>
      </c>
      <c r="C988" s="206" t="s">
        <v>36</v>
      </c>
      <c r="D988" s="49" t="s">
        <v>118</v>
      </c>
      <c r="E988" s="44">
        <v>131.97</v>
      </c>
      <c r="F988" s="177" t="s">
        <v>118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2"/>
        <v>H_329</v>
      </c>
      <c r="K988" s="117"/>
    </row>
    <row r="989" spans="1:11">
      <c r="A989" s="42">
        <f t="shared" si="23"/>
        <v>330</v>
      </c>
      <c r="B989" s="37" t="s">
        <v>816</v>
      </c>
      <c r="C989" s="206" t="s">
        <v>36</v>
      </c>
      <c r="D989" s="49" t="s">
        <v>118</v>
      </c>
      <c r="E989" s="44">
        <v>131.97</v>
      </c>
      <c r="F989" s="177" t="s">
        <v>118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2"/>
        <v>H_330</v>
      </c>
      <c r="K989" s="117"/>
    </row>
    <row r="990" spans="1:11">
      <c r="A990" s="42">
        <f t="shared" si="23"/>
        <v>331</v>
      </c>
      <c r="B990" s="37" t="s">
        <v>817</v>
      </c>
      <c r="C990" s="206" t="s">
        <v>36</v>
      </c>
      <c r="D990" s="49" t="s">
        <v>118</v>
      </c>
      <c r="E990" s="44">
        <v>131.97</v>
      </c>
      <c r="F990" s="177" t="s">
        <v>118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2"/>
        <v>H_331</v>
      </c>
      <c r="K990" s="117"/>
    </row>
    <row r="991" spans="1:11">
      <c r="A991" s="42">
        <f t="shared" si="23"/>
        <v>332</v>
      </c>
      <c r="B991" s="37" t="s">
        <v>818</v>
      </c>
      <c r="C991" s="206" t="s">
        <v>36</v>
      </c>
      <c r="D991" s="49" t="s">
        <v>118</v>
      </c>
      <c r="E991" s="44">
        <v>131.97</v>
      </c>
      <c r="F991" s="177" t="s">
        <v>118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2"/>
        <v>H_332</v>
      </c>
      <c r="K991" s="117"/>
    </row>
    <row r="992" spans="1:11">
      <c r="A992" s="42">
        <f t="shared" si="23"/>
        <v>333</v>
      </c>
      <c r="B992" s="37" t="s">
        <v>819</v>
      </c>
      <c r="C992" s="206" t="s">
        <v>36</v>
      </c>
      <c r="D992" s="49" t="s">
        <v>118</v>
      </c>
      <c r="E992" s="56">
        <v>131.97</v>
      </c>
      <c r="F992" s="183" t="s">
        <v>118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2"/>
        <v>H_333</v>
      </c>
      <c r="K992" s="117"/>
    </row>
    <row r="993" spans="1:11" ht="30">
      <c r="A993" s="42">
        <f t="shared" si="23"/>
        <v>334</v>
      </c>
      <c r="B993" s="159" t="s">
        <v>820</v>
      </c>
      <c r="C993" s="206" t="s">
        <v>36</v>
      </c>
      <c r="D993" s="49" t="s">
        <v>118</v>
      </c>
      <c r="E993" s="56">
        <v>6957.9299999999994</v>
      </c>
      <c r="F993" s="183" t="s">
        <v>118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2"/>
        <v>H_334</v>
      </c>
      <c r="K993" s="117"/>
    </row>
    <row r="994" spans="1:11">
      <c r="A994" s="42">
        <f t="shared" si="23"/>
        <v>335</v>
      </c>
      <c r="B994" s="159" t="s">
        <v>821</v>
      </c>
      <c r="C994" s="206" t="s">
        <v>36</v>
      </c>
      <c r="D994" s="49" t="s">
        <v>118</v>
      </c>
      <c r="E994" s="56">
        <v>2563</v>
      </c>
      <c r="F994" s="183" t="s">
        <v>118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2"/>
        <v>H_335</v>
      </c>
      <c r="K994" s="117"/>
    </row>
    <row r="995" spans="1:11">
      <c r="A995" s="42">
        <f t="shared" si="23"/>
        <v>336</v>
      </c>
      <c r="B995" s="159" t="s">
        <v>822</v>
      </c>
      <c r="C995" s="206" t="s">
        <v>36</v>
      </c>
      <c r="D995" s="49" t="s">
        <v>118</v>
      </c>
      <c r="E995" s="56">
        <v>2563</v>
      </c>
      <c r="F995" s="183" t="s">
        <v>118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2"/>
        <v>H_336</v>
      </c>
      <c r="K995" s="117"/>
    </row>
    <row r="996" spans="1:11" ht="30">
      <c r="A996" s="42">
        <f t="shared" si="23"/>
        <v>337</v>
      </c>
      <c r="B996" s="159" t="s">
        <v>823</v>
      </c>
      <c r="C996" s="206" t="s">
        <v>36</v>
      </c>
      <c r="D996" s="49" t="s">
        <v>118</v>
      </c>
      <c r="E996" s="56">
        <v>2563</v>
      </c>
      <c r="F996" s="183" t="s">
        <v>118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2"/>
        <v>H_337</v>
      </c>
      <c r="K996" s="117"/>
    </row>
    <row r="997" spans="1:11">
      <c r="A997" s="42">
        <f t="shared" si="23"/>
        <v>338</v>
      </c>
      <c r="B997" s="159" t="s">
        <v>824</v>
      </c>
      <c r="C997" s="206" t="s">
        <v>36</v>
      </c>
      <c r="D997" s="49" t="s">
        <v>118</v>
      </c>
      <c r="E997" s="56">
        <v>2563</v>
      </c>
      <c r="F997" s="183" t="s">
        <v>118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2"/>
        <v>H_338</v>
      </c>
      <c r="K997" s="117"/>
    </row>
    <row r="998" spans="1:11" ht="30">
      <c r="A998" s="42">
        <f t="shared" si="23"/>
        <v>339</v>
      </c>
      <c r="B998" s="159" t="s">
        <v>825</v>
      </c>
      <c r="C998" s="206" t="s">
        <v>36</v>
      </c>
      <c r="D998" s="49" t="s">
        <v>118</v>
      </c>
      <c r="E998" s="56">
        <v>2885.5</v>
      </c>
      <c r="F998" s="183" t="s">
        <v>118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2"/>
        <v>H_339</v>
      </c>
      <c r="K998" s="117"/>
    </row>
    <row r="999" spans="1:11" ht="30">
      <c r="A999" s="42">
        <f t="shared" si="23"/>
        <v>340</v>
      </c>
      <c r="B999" s="159" t="s">
        <v>826</v>
      </c>
      <c r="C999" s="206" t="s">
        <v>36</v>
      </c>
      <c r="D999" s="49" t="s">
        <v>118</v>
      </c>
      <c r="E999" s="56">
        <v>2885.5</v>
      </c>
      <c r="F999" s="183" t="s">
        <v>118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2"/>
        <v>H_340</v>
      </c>
      <c r="K999" s="117"/>
    </row>
    <row r="1000" spans="1:11" ht="30">
      <c r="A1000" s="42">
        <f t="shared" si="23"/>
        <v>341</v>
      </c>
      <c r="B1000" s="159" t="s">
        <v>827</v>
      </c>
      <c r="C1000" s="206" t="s">
        <v>36</v>
      </c>
      <c r="D1000" s="49" t="s">
        <v>118</v>
      </c>
      <c r="E1000" s="56">
        <v>2885.5</v>
      </c>
      <c r="F1000" s="183" t="s">
        <v>118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2"/>
        <v>H_341</v>
      </c>
      <c r="K1000" s="117"/>
    </row>
    <row r="1001" spans="1:11" ht="30">
      <c r="A1001" s="42">
        <f t="shared" si="23"/>
        <v>342</v>
      </c>
      <c r="B1001" s="159" t="s">
        <v>828</v>
      </c>
      <c r="C1001" s="206" t="s">
        <v>36</v>
      </c>
      <c r="D1001" s="49" t="s">
        <v>118</v>
      </c>
      <c r="E1001" s="56">
        <v>2885.5</v>
      </c>
      <c r="F1001" s="183" t="s">
        <v>118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2"/>
        <v>H_342</v>
      </c>
      <c r="K1001" s="117"/>
    </row>
    <row r="1002" spans="1:11" ht="30">
      <c r="A1002" s="42">
        <f t="shared" si="23"/>
        <v>343</v>
      </c>
      <c r="B1002" s="159" t="s">
        <v>829</v>
      </c>
      <c r="C1002" s="206" t="s">
        <v>36</v>
      </c>
      <c r="D1002" s="49" t="s">
        <v>118</v>
      </c>
      <c r="E1002" s="56">
        <v>2885.5</v>
      </c>
      <c r="F1002" s="183" t="s">
        <v>118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2"/>
        <v>H_343</v>
      </c>
      <c r="K1002" s="117"/>
    </row>
    <row r="1003" spans="1:11" ht="30">
      <c r="A1003" s="42">
        <f t="shared" si="23"/>
        <v>344</v>
      </c>
      <c r="B1003" s="159" t="s">
        <v>830</v>
      </c>
      <c r="C1003" s="206" t="s">
        <v>36</v>
      </c>
      <c r="D1003" s="49" t="s">
        <v>118</v>
      </c>
      <c r="E1003" s="56">
        <v>2885.5</v>
      </c>
      <c r="F1003" s="183" t="s">
        <v>118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2"/>
        <v>H_344</v>
      </c>
      <c r="K1003" s="117"/>
    </row>
    <row r="1004" spans="1:11" ht="30">
      <c r="A1004" s="42">
        <f t="shared" si="23"/>
        <v>345</v>
      </c>
      <c r="B1004" s="159" t="s">
        <v>831</v>
      </c>
      <c r="C1004" s="206" t="s">
        <v>36</v>
      </c>
      <c r="D1004" s="49" t="s">
        <v>118</v>
      </c>
      <c r="E1004" s="56">
        <v>2885.5</v>
      </c>
      <c r="F1004" s="183" t="s">
        <v>118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2"/>
        <v>H_345</v>
      </c>
      <c r="K1004" s="117"/>
    </row>
    <row r="1005" spans="1:11" ht="30">
      <c r="A1005" s="42">
        <f t="shared" si="23"/>
        <v>346</v>
      </c>
      <c r="B1005" s="159" t="s">
        <v>832</v>
      </c>
      <c r="C1005" s="206" t="s">
        <v>36</v>
      </c>
      <c r="D1005" s="49" t="s">
        <v>118</v>
      </c>
      <c r="E1005" s="56">
        <v>2885.5</v>
      </c>
      <c r="F1005" s="183" t="s">
        <v>118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2"/>
        <v>H_346</v>
      </c>
      <c r="K1005" s="117"/>
    </row>
    <row r="1006" spans="1:11" ht="30">
      <c r="A1006" s="42">
        <f t="shared" si="23"/>
        <v>347</v>
      </c>
      <c r="B1006" s="159" t="s">
        <v>833</v>
      </c>
      <c r="C1006" s="206" t="s">
        <v>36</v>
      </c>
      <c r="D1006" s="49" t="s">
        <v>118</v>
      </c>
      <c r="E1006" s="56">
        <v>2785.5</v>
      </c>
      <c r="F1006" s="183" t="s">
        <v>118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2"/>
        <v>H_347</v>
      </c>
      <c r="K1006" s="117"/>
    </row>
    <row r="1007" spans="1:11" ht="30">
      <c r="A1007" s="42">
        <f t="shared" si="23"/>
        <v>348</v>
      </c>
      <c r="B1007" s="159" t="s">
        <v>834</v>
      </c>
      <c r="C1007" s="206" t="s">
        <v>36</v>
      </c>
      <c r="D1007" s="49" t="s">
        <v>118</v>
      </c>
      <c r="E1007" s="56">
        <v>2785.5</v>
      </c>
      <c r="F1007" s="183" t="s">
        <v>118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2"/>
        <v>H_348</v>
      </c>
      <c r="K1007" s="117"/>
    </row>
    <row r="1008" spans="1:11" ht="30">
      <c r="A1008" s="42">
        <f t="shared" si="23"/>
        <v>349</v>
      </c>
      <c r="B1008" s="159" t="s">
        <v>835</v>
      </c>
      <c r="C1008" s="206" t="s">
        <v>36</v>
      </c>
      <c r="D1008" s="49" t="s">
        <v>118</v>
      </c>
      <c r="E1008" s="56">
        <v>1</v>
      </c>
      <c r="F1008" s="183" t="s">
        <v>118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2"/>
        <v>H_349</v>
      </c>
      <c r="K1008" s="117"/>
    </row>
    <row r="1009" spans="1:11" ht="30">
      <c r="A1009" s="42">
        <f t="shared" si="23"/>
        <v>350</v>
      </c>
      <c r="B1009" s="159" t="s">
        <v>836</v>
      </c>
      <c r="C1009" s="206" t="s">
        <v>36</v>
      </c>
      <c r="D1009" s="49" t="s">
        <v>118</v>
      </c>
      <c r="E1009" s="56">
        <v>1200</v>
      </c>
      <c r="F1009" s="183" t="s">
        <v>118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2"/>
        <v>H_350</v>
      </c>
      <c r="K1009" s="117"/>
    </row>
    <row r="1010" spans="1:11" ht="30">
      <c r="A1010" s="42">
        <f t="shared" si="23"/>
        <v>351</v>
      </c>
      <c r="B1010" s="159" t="s">
        <v>837</v>
      </c>
      <c r="C1010" s="206" t="s">
        <v>36</v>
      </c>
      <c r="D1010" s="49" t="s">
        <v>118</v>
      </c>
      <c r="E1010" s="56">
        <v>1200</v>
      </c>
      <c r="F1010" s="183" t="s">
        <v>118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2"/>
        <v>H_351</v>
      </c>
      <c r="K1010" s="117"/>
    </row>
    <row r="1011" spans="1:11">
      <c r="A1011" s="42">
        <f t="shared" si="23"/>
        <v>352</v>
      </c>
      <c r="B1011" s="159" t="s">
        <v>838</v>
      </c>
      <c r="C1011" s="206" t="s">
        <v>36</v>
      </c>
      <c r="D1011" s="49" t="s">
        <v>118</v>
      </c>
      <c r="E1011" s="56">
        <v>1200</v>
      </c>
      <c r="F1011" s="183" t="s">
        <v>118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2"/>
        <v>H_352</v>
      </c>
      <c r="K1011" s="117"/>
    </row>
    <row r="1012" spans="1:11">
      <c r="A1012" s="42">
        <f t="shared" si="23"/>
        <v>353</v>
      </c>
      <c r="B1012" s="159" t="s">
        <v>839</v>
      </c>
      <c r="C1012" s="206" t="s">
        <v>36</v>
      </c>
      <c r="D1012" s="49" t="s">
        <v>118</v>
      </c>
      <c r="E1012" s="56">
        <v>500</v>
      </c>
      <c r="F1012" s="183" t="s">
        <v>118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2"/>
        <v>H_353</v>
      </c>
      <c r="K1012" s="117"/>
    </row>
    <row r="1013" spans="1:11">
      <c r="A1013" s="42">
        <f t="shared" si="23"/>
        <v>354</v>
      </c>
      <c r="B1013" s="159" t="s">
        <v>840</v>
      </c>
      <c r="C1013" s="206" t="s">
        <v>36</v>
      </c>
      <c r="D1013" s="49" t="s">
        <v>118</v>
      </c>
      <c r="E1013" s="56">
        <v>500</v>
      </c>
      <c r="F1013" s="183" t="s">
        <v>118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2"/>
        <v>H_354</v>
      </c>
      <c r="K1013" s="117"/>
    </row>
    <row r="1014" spans="1:11">
      <c r="A1014" s="42">
        <f t="shared" si="23"/>
        <v>355</v>
      </c>
      <c r="B1014" s="159" t="s">
        <v>841</v>
      </c>
      <c r="C1014" s="206" t="s">
        <v>36</v>
      </c>
      <c r="D1014" s="49" t="s">
        <v>118</v>
      </c>
      <c r="E1014" s="56">
        <v>500</v>
      </c>
      <c r="F1014" s="183" t="s">
        <v>118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2"/>
        <v>H_355</v>
      </c>
      <c r="K1014" s="117"/>
    </row>
    <row r="1015" spans="1:11">
      <c r="A1015" s="42">
        <f t="shared" si="23"/>
        <v>356</v>
      </c>
      <c r="B1015" s="159" t="s">
        <v>842</v>
      </c>
      <c r="C1015" s="206" t="s">
        <v>36</v>
      </c>
      <c r="D1015" s="49" t="s">
        <v>118</v>
      </c>
      <c r="E1015" s="56">
        <v>500</v>
      </c>
      <c r="F1015" s="183" t="s">
        <v>118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2"/>
        <v>H_356</v>
      </c>
      <c r="K1015" s="117"/>
    </row>
    <row r="1016" spans="1:11">
      <c r="A1016" s="42">
        <f t="shared" si="23"/>
        <v>357</v>
      </c>
      <c r="B1016" s="159" t="s">
        <v>843</v>
      </c>
      <c r="C1016" s="206" t="s">
        <v>36</v>
      </c>
      <c r="D1016" s="49" t="s">
        <v>118</v>
      </c>
      <c r="E1016" s="56">
        <v>500</v>
      </c>
      <c r="F1016" s="183" t="s">
        <v>118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2"/>
        <v>H_357</v>
      </c>
      <c r="K1016" s="117"/>
    </row>
    <row r="1017" spans="1:11">
      <c r="A1017" s="42">
        <f t="shared" si="23"/>
        <v>358</v>
      </c>
      <c r="B1017" s="159" t="s">
        <v>844</v>
      </c>
      <c r="C1017" s="206" t="s">
        <v>36</v>
      </c>
      <c r="D1017" s="49" t="s">
        <v>118</v>
      </c>
      <c r="E1017" s="56">
        <v>114.24</v>
      </c>
      <c r="F1017" s="183" t="s">
        <v>118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2"/>
        <v>H_358</v>
      </c>
      <c r="K1017" s="117"/>
    </row>
    <row r="1018" spans="1:11">
      <c r="A1018" s="42">
        <f t="shared" si="23"/>
        <v>359</v>
      </c>
      <c r="B1018" s="159" t="s">
        <v>845</v>
      </c>
      <c r="C1018" s="206" t="s">
        <v>36</v>
      </c>
      <c r="D1018" s="49" t="s">
        <v>118</v>
      </c>
      <c r="E1018" s="56">
        <v>114.24</v>
      </c>
      <c r="F1018" s="183" t="s">
        <v>118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2"/>
        <v>H_359</v>
      </c>
      <c r="K1018" s="117"/>
    </row>
    <row r="1019" spans="1:11">
      <c r="A1019" s="42">
        <f t="shared" si="23"/>
        <v>360</v>
      </c>
      <c r="B1019" s="159" t="s">
        <v>846</v>
      </c>
      <c r="C1019" s="206" t="s">
        <v>36</v>
      </c>
      <c r="D1019" s="49" t="s">
        <v>118</v>
      </c>
      <c r="E1019" s="56">
        <v>114.24</v>
      </c>
      <c r="F1019" s="183" t="s">
        <v>118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2"/>
        <v>H_360</v>
      </c>
      <c r="K1019" s="117"/>
    </row>
    <row r="1020" spans="1:11">
      <c r="A1020" s="42">
        <f t="shared" si="23"/>
        <v>361</v>
      </c>
      <c r="B1020" s="159" t="s">
        <v>847</v>
      </c>
      <c r="C1020" s="206" t="s">
        <v>36</v>
      </c>
      <c r="D1020" s="49" t="s">
        <v>118</v>
      </c>
      <c r="E1020" s="56">
        <v>114.24</v>
      </c>
      <c r="F1020" s="183" t="s">
        <v>118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2"/>
        <v>H_361</v>
      </c>
      <c r="K1020" s="117"/>
    </row>
    <row r="1021" spans="1:11">
      <c r="A1021" s="42">
        <f t="shared" si="23"/>
        <v>362</v>
      </c>
      <c r="B1021" s="159" t="s">
        <v>848</v>
      </c>
      <c r="C1021" s="206" t="s">
        <v>36</v>
      </c>
      <c r="D1021" s="49" t="s">
        <v>118</v>
      </c>
      <c r="E1021" s="56">
        <v>114.24</v>
      </c>
      <c r="F1021" s="183" t="s">
        <v>118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2"/>
        <v>H_362</v>
      </c>
      <c r="K1021" s="117"/>
    </row>
    <row r="1022" spans="1:11">
      <c r="A1022" s="42">
        <f t="shared" si="23"/>
        <v>363</v>
      </c>
      <c r="B1022" s="159" t="s">
        <v>849</v>
      </c>
      <c r="C1022" s="206" t="s">
        <v>36</v>
      </c>
      <c r="D1022" s="49" t="s">
        <v>118</v>
      </c>
      <c r="E1022" s="56">
        <v>114.24</v>
      </c>
      <c r="F1022" s="183" t="s">
        <v>118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2"/>
        <v>H_363</v>
      </c>
      <c r="K1022" s="117"/>
    </row>
    <row r="1023" spans="1:11">
      <c r="A1023" s="42">
        <f t="shared" si="23"/>
        <v>364</v>
      </c>
      <c r="B1023" s="159" t="s">
        <v>850</v>
      </c>
      <c r="C1023" s="206" t="s">
        <v>36</v>
      </c>
      <c r="D1023" s="49" t="s">
        <v>118</v>
      </c>
      <c r="E1023" s="56">
        <v>114.24</v>
      </c>
      <c r="F1023" s="183" t="s">
        <v>118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2"/>
        <v>H_364</v>
      </c>
      <c r="K1023" s="117"/>
    </row>
    <row r="1024" spans="1:11">
      <c r="A1024" s="42">
        <f t="shared" si="23"/>
        <v>365</v>
      </c>
      <c r="B1024" s="159" t="s">
        <v>851</v>
      </c>
      <c r="C1024" s="206" t="s">
        <v>36</v>
      </c>
      <c r="D1024" s="49" t="s">
        <v>118</v>
      </c>
      <c r="E1024" s="56">
        <v>114.24</v>
      </c>
      <c r="F1024" s="183" t="s">
        <v>118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2"/>
        <v>H_365</v>
      </c>
      <c r="K1024" s="117"/>
    </row>
    <row r="1025" spans="1:11">
      <c r="A1025" s="42">
        <f t="shared" si="23"/>
        <v>366</v>
      </c>
      <c r="B1025" s="159" t="s">
        <v>852</v>
      </c>
      <c r="C1025" s="206" t="s">
        <v>36</v>
      </c>
      <c r="D1025" s="49" t="s">
        <v>118</v>
      </c>
      <c r="E1025" s="56">
        <v>114.24</v>
      </c>
      <c r="F1025" s="183" t="s">
        <v>118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2"/>
        <v>H_366</v>
      </c>
      <c r="K1025" s="117"/>
    </row>
    <row r="1026" spans="1:11">
      <c r="A1026" s="42">
        <f t="shared" si="23"/>
        <v>367</v>
      </c>
      <c r="B1026" s="159" t="s">
        <v>853</v>
      </c>
      <c r="C1026" s="206" t="s">
        <v>36</v>
      </c>
      <c r="D1026" s="49" t="s">
        <v>118</v>
      </c>
      <c r="E1026" s="56">
        <v>114.24</v>
      </c>
      <c r="F1026" s="183" t="s">
        <v>118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2"/>
        <v>H_367</v>
      </c>
      <c r="K1026" s="117"/>
    </row>
    <row r="1027" spans="1:11">
      <c r="A1027" s="42">
        <f t="shared" si="23"/>
        <v>368</v>
      </c>
      <c r="B1027" s="159" t="s">
        <v>854</v>
      </c>
      <c r="C1027" s="206" t="s">
        <v>36</v>
      </c>
      <c r="D1027" s="49" t="s">
        <v>118</v>
      </c>
      <c r="E1027" s="56">
        <v>114.24</v>
      </c>
      <c r="F1027" s="183" t="s">
        <v>118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2"/>
        <v>H_368</v>
      </c>
      <c r="K1027" s="117"/>
    </row>
    <row r="1028" spans="1:11">
      <c r="A1028" s="42">
        <f t="shared" si="23"/>
        <v>369</v>
      </c>
      <c r="B1028" s="159" t="s">
        <v>855</v>
      </c>
      <c r="C1028" s="206" t="s">
        <v>36</v>
      </c>
      <c r="D1028" s="49" t="s">
        <v>118</v>
      </c>
      <c r="E1028" s="56">
        <v>114.24</v>
      </c>
      <c r="F1028" s="183" t="s">
        <v>118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2"/>
        <v>H_369</v>
      </c>
      <c r="K1028" s="117"/>
    </row>
    <row r="1029" spans="1:11">
      <c r="A1029" s="42">
        <f t="shared" si="23"/>
        <v>370</v>
      </c>
      <c r="B1029" s="159" t="s">
        <v>856</v>
      </c>
      <c r="C1029" s="206" t="s">
        <v>36</v>
      </c>
      <c r="D1029" s="49" t="s">
        <v>118</v>
      </c>
      <c r="E1029" s="56">
        <v>114.24</v>
      </c>
      <c r="F1029" s="183" t="s">
        <v>118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2"/>
        <v>H_370</v>
      </c>
      <c r="K1029" s="117"/>
    </row>
    <row r="1030" spans="1:11">
      <c r="A1030" s="42">
        <f t="shared" si="23"/>
        <v>371</v>
      </c>
      <c r="B1030" s="159" t="s">
        <v>857</v>
      </c>
      <c r="C1030" s="206" t="s">
        <v>36</v>
      </c>
      <c r="D1030" s="49" t="s">
        <v>118</v>
      </c>
      <c r="E1030" s="56">
        <v>114.24</v>
      </c>
      <c r="F1030" s="183" t="s">
        <v>118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2"/>
        <v>H_371</v>
      </c>
      <c r="K1030" s="117"/>
    </row>
    <row r="1031" spans="1:11">
      <c r="A1031" s="42">
        <f t="shared" si="23"/>
        <v>372</v>
      </c>
      <c r="B1031" s="159" t="s">
        <v>858</v>
      </c>
      <c r="C1031" s="206" t="s">
        <v>36</v>
      </c>
      <c r="D1031" s="49" t="s">
        <v>118</v>
      </c>
      <c r="E1031" s="56">
        <v>1800</v>
      </c>
      <c r="F1031" s="183" t="s">
        <v>118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2"/>
        <v>H_372</v>
      </c>
      <c r="K1031" s="117"/>
    </row>
    <row r="1032" spans="1:11">
      <c r="A1032" s="42">
        <f t="shared" si="23"/>
        <v>373</v>
      </c>
      <c r="B1032" s="159" t="s">
        <v>859</v>
      </c>
      <c r="C1032" s="206" t="s">
        <v>36</v>
      </c>
      <c r="D1032" s="49" t="s">
        <v>118</v>
      </c>
      <c r="E1032" s="56">
        <v>546</v>
      </c>
      <c r="F1032" s="183" t="s">
        <v>118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2"/>
        <v>H_373</v>
      </c>
      <c r="K1032" s="117"/>
    </row>
    <row r="1033" spans="1:11">
      <c r="A1033" s="42">
        <f t="shared" si="23"/>
        <v>374</v>
      </c>
      <c r="B1033" s="159" t="s">
        <v>860</v>
      </c>
      <c r="C1033" s="206" t="s">
        <v>36</v>
      </c>
      <c r="D1033" s="49" t="s">
        <v>118</v>
      </c>
      <c r="E1033" s="56">
        <v>114.24</v>
      </c>
      <c r="F1033" s="183" t="s">
        <v>118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2"/>
        <v>H_374</v>
      </c>
      <c r="K1033" s="117"/>
    </row>
    <row r="1034" spans="1:11">
      <c r="A1034" s="42">
        <f t="shared" si="23"/>
        <v>375</v>
      </c>
      <c r="B1034" s="159" t="s">
        <v>861</v>
      </c>
      <c r="C1034" s="206" t="s">
        <v>36</v>
      </c>
      <c r="D1034" s="49" t="s">
        <v>118</v>
      </c>
      <c r="E1034" s="56">
        <v>114.24</v>
      </c>
      <c r="F1034" s="183" t="s">
        <v>118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2"/>
        <v>H_375</v>
      </c>
      <c r="K1034" s="117"/>
    </row>
    <row r="1035" spans="1:11">
      <c r="A1035" s="42">
        <f t="shared" si="23"/>
        <v>376</v>
      </c>
      <c r="B1035" s="159" t="s">
        <v>862</v>
      </c>
      <c r="C1035" s="206" t="s">
        <v>36</v>
      </c>
      <c r="D1035" s="49" t="s">
        <v>118</v>
      </c>
      <c r="E1035" s="56">
        <v>114.24</v>
      </c>
      <c r="F1035" s="183" t="s">
        <v>118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2"/>
        <v>H_376</v>
      </c>
      <c r="K1035" s="117"/>
    </row>
    <row r="1036" spans="1:11">
      <c r="A1036" s="42">
        <f t="shared" si="23"/>
        <v>377</v>
      </c>
      <c r="B1036" s="159" t="s">
        <v>863</v>
      </c>
      <c r="C1036" s="206" t="s">
        <v>36</v>
      </c>
      <c r="D1036" s="49" t="s">
        <v>118</v>
      </c>
      <c r="E1036" s="56">
        <v>114.24</v>
      </c>
      <c r="F1036" s="183" t="s">
        <v>118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2"/>
        <v>H_377</v>
      </c>
      <c r="K1036" s="117"/>
    </row>
    <row r="1037" spans="1:11">
      <c r="A1037" s="42">
        <f t="shared" si="23"/>
        <v>378</v>
      </c>
      <c r="B1037" s="159" t="s">
        <v>864</v>
      </c>
      <c r="C1037" s="206" t="s">
        <v>36</v>
      </c>
      <c r="D1037" s="49" t="s">
        <v>118</v>
      </c>
      <c r="E1037" s="56">
        <v>114.24</v>
      </c>
      <c r="F1037" s="183" t="s">
        <v>118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2"/>
        <v>H_378</v>
      </c>
      <c r="K1037" s="117"/>
    </row>
    <row r="1038" spans="1:11">
      <c r="A1038" s="42">
        <f t="shared" si="23"/>
        <v>379</v>
      </c>
      <c r="B1038" s="159" t="s">
        <v>865</v>
      </c>
      <c r="C1038" s="206" t="s">
        <v>36</v>
      </c>
      <c r="D1038" s="49" t="s">
        <v>118</v>
      </c>
      <c r="E1038" s="56">
        <v>114.24</v>
      </c>
      <c r="F1038" s="183" t="s">
        <v>118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2"/>
        <v>H_379</v>
      </c>
      <c r="K1038" s="117"/>
    </row>
    <row r="1039" spans="1:11">
      <c r="A1039" s="42">
        <f t="shared" si="23"/>
        <v>380</v>
      </c>
      <c r="B1039" s="159" t="s">
        <v>866</v>
      </c>
      <c r="C1039" s="206" t="s">
        <v>36</v>
      </c>
      <c r="D1039" s="49" t="s">
        <v>118</v>
      </c>
      <c r="E1039" s="56">
        <v>114.24</v>
      </c>
      <c r="F1039" s="183" t="s">
        <v>118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2"/>
        <v>H_380</v>
      </c>
      <c r="K1039" s="117"/>
    </row>
    <row r="1040" spans="1:11">
      <c r="A1040" s="42">
        <f t="shared" si="23"/>
        <v>381</v>
      </c>
      <c r="B1040" s="159" t="s">
        <v>867</v>
      </c>
      <c r="C1040" s="206" t="s">
        <v>36</v>
      </c>
      <c r="D1040" s="49" t="s">
        <v>118</v>
      </c>
      <c r="E1040" s="56">
        <v>114.24</v>
      </c>
      <c r="F1040" s="183" t="s">
        <v>118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2"/>
        <v>H_381</v>
      </c>
      <c r="K1040" s="117"/>
    </row>
    <row r="1041" spans="1:11">
      <c r="A1041" s="42">
        <f t="shared" si="23"/>
        <v>382</v>
      </c>
      <c r="B1041" s="159" t="s">
        <v>868</v>
      </c>
      <c r="C1041" s="206" t="s">
        <v>36</v>
      </c>
      <c r="D1041" s="49" t="s">
        <v>118</v>
      </c>
      <c r="E1041" s="56">
        <v>114.24</v>
      </c>
      <c r="F1041" s="183" t="s">
        <v>118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2"/>
        <v>H_382</v>
      </c>
      <c r="K1041" s="117"/>
    </row>
    <row r="1042" spans="1:11">
      <c r="A1042" s="42">
        <f t="shared" si="23"/>
        <v>383</v>
      </c>
      <c r="B1042" s="159" t="s">
        <v>869</v>
      </c>
      <c r="C1042" s="206" t="s">
        <v>36</v>
      </c>
      <c r="D1042" s="49" t="s">
        <v>118</v>
      </c>
      <c r="E1042" s="56">
        <v>114.24</v>
      </c>
      <c r="F1042" s="183" t="s">
        <v>118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2"/>
        <v>H_383</v>
      </c>
      <c r="K1042" s="117"/>
    </row>
    <row r="1043" spans="1:11">
      <c r="A1043" s="42">
        <f t="shared" si="23"/>
        <v>384</v>
      </c>
      <c r="B1043" s="159" t="s">
        <v>870</v>
      </c>
      <c r="C1043" s="206" t="s">
        <v>36</v>
      </c>
      <c r="D1043" s="49" t="s">
        <v>118</v>
      </c>
      <c r="E1043" s="56">
        <v>1550</v>
      </c>
      <c r="F1043" s="183" t="s">
        <v>118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2"/>
        <v>H_384</v>
      </c>
      <c r="K1043" s="117"/>
    </row>
    <row r="1044" spans="1:11" ht="30">
      <c r="A1044" s="42">
        <f t="shared" si="23"/>
        <v>385</v>
      </c>
      <c r="B1044" s="159" t="s">
        <v>871</v>
      </c>
      <c r="C1044" s="206" t="s">
        <v>36</v>
      </c>
      <c r="D1044" s="49" t="s">
        <v>118</v>
      </c>
      <c r="E1044" s="56">
        <v>1550</v>
      </c>
      <c r="F1044" s="183" t="s">
        <v>118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4">IFERROR(CONCATENATE(LEFT(C1044,1),"_",TEXT(A1044,"000")),"")</f>
        <v>H_385</v>
      </c>
      <c r="K1044" s="117"/>
    </row>
    <row r="1045" spans="1:11" ht="30">
      <c r="A1045" s="42">
        <f t="shared" ref="A1045:A1080" si="25">A1044+1</f>
        <v>386</v>
      </c>
      <c r="B1045" s="159" t="s">
        <v>872</v>
      </c>
      <c r="C1045" s="206" t="s">
        <v>36</v>
      </c>
      <c r="D1045" s="49" t="s">
        <v>118</v>
      </c>
      <c r="E1045" s="56">
        <v>1550</v>
      </c>
      <c r="F1045" s="183" t="s">
        <v>118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4"/>
        <v>H_386</v>
      </c>
      <c r="K1045" s="117"/>
    </row>
    <row r="1046" spans="1:11">
      <c r="A1046" s="42">
        <f t="shared" si="25"/>
        <v>387</v>
      </c>
      <c r="B1046" s="159" t="s">
        <v>873</v>
      </c>
      <c r="C1046" s="206" t="s">
        <v>36</v>
      </c>
      <c r="D1046" s="49" t="s">
        <v>118</v>
      </c>
      <c r="E1046" s="56">
        <v>1550</v>
      </c>
      <c r="F1046" s="183" t="s">
        <v>118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4"/>
        <v>H_387</v>
      </c>
      <c r="K1046" s="117"/>
    </row>
    <row r="1047" spans="1:11">
      <c r="A1047" s="42">
        <f t="shared" si="25"/>
        <v>388</v>
      </c>
      <c r="B1047" s="159" t="s">
        <v>874</v>
      </c>
      <c r="C1047" s="206" t="s">
        <v>36</v>
      </c>
      <c r="D1047" s="49" t="s">
        <v>118</v>
      </c>
      <c r="E1047" s="56">
        <v>1550</v>
      </c>
      <c r="F1047" s="183" t="s">
        <v>118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4"/>
        <v>H_388</v>
      </c>
      <c r="K1047" s="117"/>
    </row>
    <row r="1048" spans="1:11">
      <c r="A1048" s="42">
        <f t="shared" si="25"/>
        <v>389</v>
      </c>
      <c r="B1048" s="159" t="s">
        <v>875</v>
      </c>
      <c r="C1048" s="206" t="s">
        <v>36</v>
      </c>
      <c r="D1048" s="49" t="s">
        <v>118</v>
      </c>
      <c r="E1048" s="56">
        <v>1550</v>
      </c>
      <c r="F1048" s="183" t="s">
        <v>118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4"/>
        <v>H_389</v>
      </c>
      <c r="K1048" s="117"/>
    </row>
    <row r="1049" spans="1:11">
      <c r="A1049" s="42">
        <f t="shared" si="25"/>
        <v>390</v>
      </c>
      <c r="B1049" s="159" t="s">
        <v>876</v>
      </c>
      <c r="C1049" s="206" t="s">
        <v>36</v>
      </c>
      <c r="D1049" s="49" t="s">
        <v>118</v>
      </c>
      <c r="E1049" s="56">
        <v>952</v>
      </c>
      <c r="F1049" s="183" t="s">
        <v>118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4"/>
        <v>H_390</v>
      </c>
      <c r="K1049" s="117"/>
    </row>
    <row r="1050" spans="1:11">
      <c r="A1050" s="42">
        <f t="shared" si="25"/>
        <v>391</v>
      </c>
      <c r="B1050" s="159" t="s">
        <v>877</v>
      </c>
      <c r="C1050" s="206" t="s">
        <v>36</v>
      </c>
      <c r="D1050" s="49" t="s">
        <v>118</v>
      </c>
      <c r="E1050" s="56">
        <v>925</v>
      </c>
      <c r="F1050" s="183" t="s">
        <v>118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4"/>
        <v>H_391</v>
      </c>
      <c r="K1050" s="117"/>
    </row>
    <row r="1051" spans="1:11">
      <c r="A1051" s="42">
        <f t="shared" si="25"/>
        <v>392</v>
      </c>
      <c r="B1051" s="159" t="s">
        <v>878</v>
      </c>
      <c r="C1051" s="206" t="s">
        <v>36</v>
      </c>
      <c r="D1051" s="49" t="s">
        <v>118</v>
      </c>
      <c r="E1051" s="56">
        <v>1100</v>
      </c>
      <c r="F1051" s="183" t="s">
        <v>118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4"/>
        <v>H_392</v>
      </c>
      <c r="K1051" s="117"/>
    </row>
    <row r="1052" spans="1:11">
      <c r="A1052" s="42">
        <f t="shared" si="25"/>
        <v>393</v>
      </c>
      <c r="B1052" s="159" t="s">
        <v>879</v>
      </c>
      <c r="C1052" s="206" t="s">
        <v>36</v>
      </c>
      <c r="D1052" s="49" t="s">
        <v>118</v>
      </c>
      <c r="E1052" s="56">
        <v>1350</v>
      </c>
      <c r="F1052" s="183" t="s">
        <v>118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4"/>
        <v>H_393</v>
      </c>
      <c r="K1052" s="117"/>
    </row>
    <row r="1053" spans="1:11">
      <c r="A1053" s="42">
        <f t="shared" si="25"/>
        <v>394</v>
      </c>
      <c r="B1053" s="159" t="s">
        <v>880</v>
      </c>
      <c r="C1053" s="206" t="s">
        <v>36</v>
      </c>
      <c r="D1053" s="49" t="s">
        <v>118</v>
      </c>
      <c r="E1053" s="56">
        <v>1350</v>
      </c>
      <c r="F1053" s="183" t="s">
        <v>118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4"/>
        <v>H_394</v>
      </c>
      <c r="K1053" s="117"/>
    </row>
    <row r="1054" spans="1:11">
      <c r="A1054" s="42">
        <f t="shared" si="25"/>
        <v>395</v>
      </c>
      <c r="B1054" s="37" t="s">
        <v>881</v>
      </c>
      <c r="C1054" s="206" t="s">
        <v>36</v>
      </c>
      <c r="D1054" s="49" t="s">
        <v>118</v>
      </c>
      <c r="E1054" s="44">
        <v>2727.48</v>
      </c>
      <c r="F1054" s="177" t="s">
        <v>118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4"/>
        <v>H_395</v>
      </c>
      <c r="K1054" s="117"/>
    </row>
    <row r="1055" spans="1:11">
      <c r="A1055" s="42">
        <f t="shared" si="25"/>
        <v>396</v>
      </c>
      <c r="B1055" s="37" t="s">
        <v>882</v>
      </c>
      <c r="C1055" s="206" t="s">
        <v>36</v>
      </c>
      <c r="D1055" s="49" t="s">
        <v>118</v>
      </c>
      <c r="E1055" s="44">
        <v>2727.48</v>
      </c>
      <c r="F1055" s="177" t="s">
        <v>118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4"/>
        <v>H_396</v>
      </c>
      <c r="K1055" s="117"/>
    </row>
    <row r="1056" spans="1:11">
      <c r="A1056" s="42">
        <f t="shared" si="25"/>
        <v>397</v>
      </c>
      <c r="B1056" s="159" t="s">
        <v>883</v>
      </c>
      <c r="C1056" s="206" t="s">
        <v>36</v>
      </c>
      <c r="D1056" s="49" t="s">
        <v>118</v>
      </c>
      <c r="E1056" s="56">
        <v>2727.48</v>
      </c>
      <c r="F1056" s="183" t="s">
        <v>118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4"/>
        <v>H_397</v>
      </c>
      <c r="K1056" s="117"/>
    </row>
    <row r="1057" spans="1:11">
      <c r="A1057" s="42">
        <f t="shared" si="25"/>
        <v>398</v>
      </c>
      <c r="B1057" s="159" t="s">
        <v>884</v>
      </c>
      <c r="C1057" s="206" t="s">
        <v>36</v>
      </c>
      <c r="D1057" s="49" t="s">
        <v>118</v>
      </c>
      <c r="E1057" s="56">
        <v>2727.48</v>
      </c>
      <c r="F1057" s="183" t="s">
        <v>118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4"/>
        <v>H_398</v>
      </c>
      <c r="K1057" s="117"/>
    </row>
    <row r="1058" spans="1:11">
      <c r="A1058" s="42">
        <f t="shared" si="25"/>
        <v>399</v>
      </c>
      <c r="B1058" s="159" t="s">
        <v>885</v>
      </c>
      <c r="C1058" s="206" t="s">
        <v>36</v>
      </c>
      <c r="D1058" s="49" t="s">
        <v>118</v>
      </c>
      <c r="E1058" s="56">
        <v>2727.48</v>
      </c>
      <c r="F1058" s="183" t="s">
        <v>118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4"/>
        <v>H_399</v>
      </c>
      <c r="K1058" s="117"/>
    </row>
    <row r="1059" spans="1:11">
      <c r="A1059" s="42">
        <f t="shared" si="25"/>
        <v>400</v>
      </c>
      <c r="B1059" s="159" t="s">
        <v>886</v>
      </c>
      <c r="C1059" s="206" t="s">
        <v>36</v>
      </c>
      <c r="D1059" s="49" t="s">
        <v>118</v>
      </c>
      <c r="E1059" s="56">
        <v>3111.85</v>
      </c>
      <c r="F1059" s="183" t="s">
        <v>118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4"/>
        <v>H_400</v>
      </c>
      <c r="K1059" s="117"/>
    </row>
    <row r="1060" spans="1:11" ht="30">
      <c r="A1060" s="42">
        <f t="shared" si="25"/>
        <v>401</v>
      </c>
      <c r="B1060" s="159" t="s">
        <v>887</v>
      </c>
      <c r="C1060" s="206" t="s">
        <v>36</v>
      </c>
      <c r="D1060" s="49" t="s">
        <v>118</v>
      </c>
      <c r="E1060" s="44">
        <v>1550</v>
      </c>
      <c r="F1060" s="177" t="s">
        <v>118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4"/>
        <v>H_401</v>
      </c>
      <c r="K1060" s="117"/>
    </row>
    <row r="1061" spans="1:11" ht="17.25" customHeight="1">
      <c r="A1061" s="42">
        <f t="shared" si="25"/>
        <v>402</v>
      </c>
      <c r="B1061" s="159" t="s">
        <v>888</v>
      </c>
      <c r="C1061" s="206" t="s">
        <v>36</v>
      </c>
      <c r="D1061" s="49" t="s">
        <v>118</v>
      </c>
      <c r="E1061" s="56">
        <v>1550</v>
      </c>
      <c r="F1061" s="183" t="s">
        <v>118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4"/>
        <v>H_402</v>
      </c>
      <c r="K1061" s="117"/>
    </row>
    <row r="1062" spans="1:11" ht="13.5" customHeight="1">
      <c r="A1062" s="42">
        <f t="shared" si="25"/>
        <v>403</v>
      </c>
      <c r="B1062" s="159" t="s">
        <v>889</v>
      </c>
      <c r="C1062" s="206" t="s">
        <v>36</v>
      </c>
      <c r="D1062" s="49" t="s">
        <v>118</v>
      </c>
      <c r="E1062" s="56">
        <v>1550</v>
      </c>
      <c r="F1062" s="183" t="s">
        <v>118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4"/>
        <v>H_403</v>
      </c>
      <c r="K1062" s="117"/>
    </row>
    <row r="1063" spans="1:11" ht="27" customHeight="1">
      <c r="A1063" s="42">
        <f t="shared" si="25"/>
        <v>404</v>
      </c>
      <c r="B1063" s="159" t="s">
        <v>890</v>
      </c>
      <c r="C1063" s="206" t="s">
        <v>36</v>
      </c>
      <c r="D1063" s="49" t="s">
        <v>118</v>
      </c>
      <c r="E1063" s="44">
        <v>1550</v>
      </c>
      <c r="F1063" s="177" t="s">
        <v>118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4"/>
        <v>H_404</v>
      </c>
      <c r="K1063" s="117"/>
    </row>
    <row r="1064" spans="1:11">
      <c r="A1064" s="42">
        <f t="shared" si="25"/>
        <v>405</v>
      </c>
      <c r="B1064" s="159" t="s">
        <v>891</v>
      </c>
      <c r="C1064" s="206" t="s">
        <v>36</v>
      </c>
      <c r="D1064" s="49" t="s">
        <v>118</v>
      </c>
      <c r="E1064" s="56">
        <v>1550</v>
      </c>
      <c r="F1064" s="183" t="s">
        <v>118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4"/>
        <v>H_405</v>
      </c>
      <c r="K1064" s="117"/>
    </row>
    <row r="1065" spans="1:11">
      <c r="A1065" s="42">
        <f t="shared" si="25"/>
        <v>406</v>
      </c>
      <c r="B1065" s="159" t="s">
        <v>892</v>
      </c>
      <c r="C1065" s="206" t="s">
        <v>36</v>
      </c>
      <c r="D1065" s="49" t="s">
        <v>118</v>
      </c>
      <c r="E1065" s="56">
        <v>3844</v>
      </c>
      <c r="F1065" s="183" t="s">
        <v>118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4"/>
        <v>H_406</v>
      </c>
      <c r="K1065" s="117"/>
    </row>
    <row r="1066" spans="1:11">
      <c r="A1066" s="42">
        <f t="shared" si="25"/>
        <v>407</v>
      </c>
      <c r="B1066" s="159" t="s">
        <v>893</v>
      </c>
      <c r="C1066" s="206" t="s">
        <v>36</v>
      </c>
      <c r="D1066" s="49" t="s">
        <v>118</v>
      </c>
      <c r="E1066" s="56">
        <v>3844</v>
      </c>
      <c r="F1066" s="183" t="s">
        <v>118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4"/>
        <v>H_407</v>
      </c>
      <c r="K1066" s="117"/>
    </row>
    <row r="1067" spans="1:11">
      <c r="A1067" s="42">
        <f t="shared" si="25"/>
        <v>408</v>
      </c>
      <c r="B1067" s="159" t="s">
        <v>894</v>
      </c>
      <c r="C1067" s="206" t="s">
        <v>36</v>
      </c>
      <c r="D1067" s="49" t="s">
        <v>118</v>
      </c>
      <c r="E1067" s="56">
        <v>998.41</v>
      </c>
      <c r="F1067" s="183" t="s">
        <v>118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4"/>
        <v>H_408</v>
      </c>
      <c r="K1067" s="117"/>
    </row>
    <row r="1068" spans="1:11">
      <c r="A1068" s="42">
        <f t="shared" si="25"/>
        <v>409</v>
      </c>
      <c r="B1068" s="159" t="s">
        <v>895</v>
      </c>
      <c r="C1068" s="206" t="s">
        <v>36</v>
      </c>
      <c r="D1068" s="49" t="s">
        <v>118</v>
      </c>
      <c r="E1068" s="56">
        <v>998.41</v>
      </c>
      <c r="F1068" s="183" t="s">
        <v>118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4"/>
        <v>H_409</v>
      </c>
      <c r="K1068" s="117"/>
    </row>
    <row r="1069" spans="1:11">
      <c r="A1069" s="42">
        <f t="shared" si="25"/>
        <v>410</v>
      </c>
      <c r="B1069" s="159" t="s">
        <v>896</v>
      </c>
      <c r="C1069" s="206" t="s">
        <v>36</v>
      </c>
      <c r="D1069" s="49" t="s">
        <v>118</v>
      </c>
      <c r="E1069" s="56">
        <v>998.41</v>
      </c>
      <c r="F1069" s="183" t="s">
        <v>118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4"/>
        <v>H_410</v>
      </c>
      <c r="K1069" s="117"/>
    </row>
    <row r="1070" spans="1:11">
      <c r="A1070" s="42">
        <f t="shared" si="25"/>
        <v>411</v>
      </c>
      <c r="B1070" s="159" t="s">
        <v>897</v>
      </c>
      <c r="C1070" s="206" t="s">
        <v>36</v>
      </c>
      <c r="D1070" s="49" t="s">
        <v>118</v>
      </c>
      <c r="E1070" s="56">
        <v>998.41</v>
      </c>
      <c r="F1070" s="183" t="s">
        <v>118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4"/>
        <v>H_411</v>
      </c>
      <c r="K1070" s="117"/>
    </row>
    <row r="1071" spans="1:11">
      <c r="A1071" s="42">
        <f t="shared" si="25"/>
        <v>412</v>
      </c>
      <c r="B1071" s="159" t="s">
        <v>898</v>
      </c>
      <c r="C1071" s="206" t="s">
        <v>36</v>
      </c>
      <c r="D1071" s="49" t="s">
        <v>118</v>
      </c>
      <c r="E1071" s="56">
        <v>998.41</v>
      </c>
      <c r="F1071" s="183" t="s">
        <v>118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4"/>
        <v>H_412</v>
      </c>
      <c r="K1071" s="117"/>
    </row>
    <row r="1072" spans="1:11">
      <c r="A1072" s="42">
        <f t="shared" si="25"/>
        <v>413</v>
      </c>
      <c r="B1072" s="159" t="s">
        <v>899</v>
      </c>
      <c r="C1072" s="206" t="s">
        <v>36</v>
      </c>
      <c r="D1072" s="49" t="s">
        <v>118</v>
      </c>
      <c r="E1072" s="56">
        <v>998.41</v>
      </c>
      <c r="F1072" s="183" t="s">
        <v>118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4"/>
        <v>H_413</v>
      </c>
      <c r="K1072" s="117"/>
    </row>
    <row r="1073" spans="1:11">
      <c r="A1073" s="42">
        <f t="shared" si="25"/>
        <v>414</v>
      </c>
      <c r="B1073" s="159" t="s">
        <v>900</v>
      </c>
      <c r="C1073" s="206" t="s">
        <v>36</v>
      </c>
      <c r="D1073" s="49" t="s">
        <v>118</v>
      </c>
      <c r="E1073" s="56">
        <v>3844</v>
      </c>
      <c r="F1073" s="183" t="s">
        <v>118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4"/>
        <v>H_414</v>
      </c>
      <c r="K1073" s="117"/>
    </row>
    <row r="1074" spans="1:11">
      <c r="A1074" s="42">
        <f t="shared" si="25"/>
        <v>415</v>
      </c>
      <c r="B1074" s="159" t="s">
        <v>901</v>
      </c>
      <c r="C1074" s="206" t="s">
        <v>36</v>
      </c>
      <c r="D1074" s="49" t="s">
        <v>118</v>
      </c>
      <c r="E1074" s="56">
        <v>3844</v>
      </c>
      <c r="F1074" s="183" t="s">
        <v>118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4"/>
        <v>H_415</v>
      </c>
      <c r="K1074" s="117"/>
    </row>
    <row r="1075" spans="1:11">
      <c r="A1075" s="42">
        <f t="shared" si="25"/>
        <v>416</v>
      </c>
      <c r="B1075" s="159" t="s">
        <v>902</v>
      </c>
      <c r="C1075" s="206" t="s">
        <v>36</v>
      </c>
      <c r="D1075" s="49" t="s">
        <v>118</v>
      </c>
      <c r="E1075" s="56">
        <v>998.41</v>
      </c>
      <c r="F1075" s="183" t="s">
        <v>118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4"/>
        <v>H_416</v>
      </c>
      <c r="K1075" s="117"/>
    </row>
    <row r="1076" spans="1:11">
      <c r="A1076" s="42">
        <f t="shared" si="25"/>
        <v>417</v>
      </c>
      <c r="B1076" s="159" t="s">
        <v>903</v>
      </c>
      <c r="C1076" s="206" t="s">
        <v>36</v>
      </c>
      <c r="D1076" s="49" t="s">
        <v>118</v>
      </c>
      <c r="E1076" s="56">
        <v>3844</v>
      </c>
      <c r="F1076" s="183" t="s">
        <v>118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4"/>
        <v>H_417</v>
      </c>
      <c r="K1076" s="117"/>
    </row>
    <row r="1077" spans="1:11">
      <c r="A1077" s="42">
        <f t="shared" si="25"/>
        <v>418</v>
      </c>
      <c r="B1077" s="159" t="s">
        <v>904</v>
      </c>
      <c r="C1077" s="206" t="s">
        <v>36</v>
      </c>
      <c r="D1077" s="49" t="s">
        <v>118</v>
      </c>
      <c r="E1077" s="56">
        <v>3844</v>
      </c>
      <c r="F1077" s="183" t="s">
        <v>118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4"/>
        <v>H_418</v>
      </c>
      <c r="K1077" s="117"/>
    </row>
    <row r="1078" spans="1:11">
      <c r="A1078" s="42">
        <f t="shared" si="25"/>
        <v>419</v>
      </c>
      <c r="B1078" s="159" t="s">
        <v>905</v>
      </c>
      <c r="C1078" s="206" t="s">
        <v>36</v>
      </c>
      <c r="D1078" s="49" t="s">
        <v>118</v>
      </c>
      <c r="E1078" s="56">
        <v>1173.3399999999999</v>
      </c>
      <c r="F1078" s="183" t="s">
        <v>118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4"/>
        <v>H_419</v>
      </c>
      <c r="K1078" s="117"/>
    </row>
    <row r="1079" spans="1:11">
      <c r="A1079" s="42">
        <f t="shared" si="25"/>
        <v>420</v>
      </c>
      <c r="B1079" s="159" t="s">
        <v>906</v>
      </c>
      <c r="C1079" s="206" t="s">
        <v>36</v>
      </c>
      <c r="D1079" s="49" t="s">
        <v>118</v>
      </c>
      <c r="E1079" s="56">
        <v>3844</v>
      </c>
      <c r="F1079" s="183" t="s">
        <v>118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4"/>
        <v>H_420</v>
      </c>
      <c r="K1079" s="117"/>
    </row>
    <row r="1080" spans="1:11">
      <c r="A1080" s="42">
        <f t="shared" si="25"/>
        <v>421</v>
      </c>
      <c r="B1080" s="159" t="s">
        <v>907</v>
      </c>
      <c r="C1080" s="206" t="s">
        <v>36</v>
      </c>
      <c r="D1080" s="49" t="s">
        <v>118</v>
      </c>
      <c r="E1080" s="56">
        <v>1200</v>
      </c>
      <c r="F1080" s="183" t="s">
        <v>118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4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75">
      <c r="A1105" s="76"/>
      <c r="B1105" s="77" t="s">
        <v>128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.75">
      <c r="A1107" s="124" t="s">
        <v>99</v>
      </c>
      <c r="B1107" s="273">
        <f>SUBTOTAL(3,(B1109:B1151))</f>
        <v>43</v>
      </c>
      <c r="C1107" s="490"/>
      <c r="D1107" s="490"/>
      <c r="E1107"/>
      <c r="F1107" s="178"/>
      <c r="H1107"/>
      <c r="I1107"/>
    </row>
    <row r="1108" spans="1:11" ht="47.25">
      <c r="A1108" s="115" t="s">
        <v>79</v>
      </c>
      <c r="B1108" s="125" t="s">
        <v>101</v>
      </c>
      <c r="C1108" s="116" t="s">
        <v>102</v>
      </c>
      <c r="D1108" s="100" t="s">
        <v>103</v>
      </c>
      <c r="E1108" s="68" t="s">
        <v>104</v>
      </c>
      <c r="F1108" s="176" t="s">
        <v>105</v>
      </c>
      <c r="G1108" s="70" t="s">
        <v>106</v>
      </c>
      <c r="H1108" s="71" t="s">
        <v>107</v>
      </c>
      <c r="I1108" s="71" t="s">
        <v>108</v>
      </c>
      <c r="J1108" s="73" t="s">
        <v>109</v>
      </c>
      <c r="K1108" s="255" t="s">
        <v>110</v>
      </c>
    </row>
    <row r="1109" spans="1:11">
      <c r="A1109" s="42">
        <v>1</v>
      </c>
      <c r="B1109" s="159" t="s">
        <v>908</v>
      </c>
      <c r="C1109" s="153" t="s">
        <v>27</v>
      </c>
      <c r="D1109" s="49" t="s">
        <v>246</v>
      </c>
      <c r="E1109" s="44">
        <v>8770.3333333333339</v>
      </c>
      <c r="F1109" s="177" t="s">
        <v>262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26">IFERROR(CONCATENATE(LEFT(C1109,1),MID(C1109,SEARCH("_",C1109)+1,2),TEXT(A1109,"000")),"")</f>
        <v>STE001</v>
      </c>
      <c r="K1109" s="117"/>
    </row>
    <row r="1110" spans="1:11">
      <c r="A1110" s="42">
        <f t="shared" ref="A1110:A1151" si="27">A1109+1</f>
        <v>2</v>
      </c>
      <c r="B1110" s="39" t="s">
        <v>909</v>
      </c>
      <c r="C1110" s="153" t="s">
        <v>27</v>
      </c>
      <c r="D1110" s="49" t="s">
        <v>246</v>
      </c>
      <c r="E1110" s="44">
        <v>28016</v>
      </c>
      <c r="F1110" s="177" t="s">
        <v>262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26"/>
        <v>STE002</v>
      </c>
      <c r="K1110" s="117"/>
    </row>
    <row r="1111" spans="1:11">
      <c r="A1111" s="42">
        <f t="shared" si="27"/>
        <v>3</v>
      </c>
      <c r="B1111" s="37" t="s">
        <v>910</v>
      </c>
      <c r="C1111" s="153" t="s">
        <v>27</v>
      </c>
      <c r="D1111" s="49" t="s">
        <v>259</v>
      </c>
      <c r="E1111" s="44">
        <v>28016</v>
      </c>
      <c r="F1111" s="177" t="s">
        <v>262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26"/>
        <v>STE003</v>
      </c>
      <c r="K1111" s="117"/>
    </row>
    <row r="1112" spans="1:11">
      <c r="A1112" s="42">
        <f t="shared" si="27"/>
        <v>4</v>
      </c>
      <c r="B1112" s="37" t="s">
        <v>911</v>
      </c>
      <c r="C1112" s="153" t="s">
        <v>27</v>
      </c>
      <c r="D1112" s="49" t="s">
        <v>259</v>
      </c>
      <c r="E1112" s="44">
        <v>10317</v>
      </c>
      <c r="F1112" s="177" t="s">
        <v>262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26"/>
        <v>STE004</v>
      </c>
      <c r="K1112" s="117"/>
    </row>
    <row r="1113" spans="1:11">
      <c r="A1113" s="42">
        <f t="shared" si="27"/>
        <v>5</v>
      </c>
      <c r="B1113" s="159" t="s">
        <v>912</v>
      </c>
      <c r="C1113" s="153" t="s">
        <v>27</v>
      </c>
      <c r="D1113" s="49" t="s">
        <v>246</v>
      </c>
      <c r="E1113" s="44">
        <v>10200</v>
      </c>
      <c r="F1113" s="177" t="s">
        <v>262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26"/>
        <v>STE005</v>
      </c>
      <c r="K1113" s="117"/>
    </row>
    <row r="1114" spans="1:11">
      <c r="A1114" s="42">
        <f t="shared" si="27"/>
        <v>6</v>
      </c>
      <c r="B1114" s="159" t="s">
        <v>913</v>
      </c>
      <c r="C1114" s="153" t="s">
        <v>27</v>
      </c>
      <c r="D1114" s="49" t="s">
        <v>246</v>
      </c>
      <c r="E1114" s="44">
        <v>39999.47</v>
      </c>
      <c r="F1114" s="177" t="s">
        <v>262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26"/>
        <v>STE006</v>
      </c>
      <c r="K1114" s="117"/>
    </row>
    <row r="1115" spans="1:11">
      <c r="A1115" s="42">
        <f t="shared" si="27"/>
        <v>7</v>
      </c>
      <c r="B1115" s="39" t="s">
        <v>914</v>
      </c>
      <c r="C1115" s="153" t="s">
        <v>27</v>
      </c>
      <c r="D1115" s="49" t="s">
        <v>259</v>
      </c>
      <c r="E1115" s="44">
        <v>10200</v>
      </c>
      <c r="F1115" s="177" t="s">
        <v>262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26"/>
        <v>STE007</v>
      </c>
      <c r="K1115" s="117"/>
    </row>
    <row r="1116" spans="1:11">
      <c r="A1116" s="42">
        <f t="shared" si="27"/>
        <v>8</v>
      </c>
      <c r="B1116" s="37" t="s">
        <v>915</v>
      </c>
      <c r="C1116" s="153" t="s">
        <v>27</v>
      </c>
      <c r="D1116" s="49" t="s">
        <v>262</v>
      </c>
      <c r="E1116" s="44">
        <v>28550</v>
      </c>
      <c r="F1116" s="177" t="s">
        <v>262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26"/>
        <v>STE008</v>
      </c>
      <c r="K1116" s="117"/>
    </row>
    <row r="1117" spans="1:11">
      <c r="A1117" s="42">
        <f t="shared" si="27"/>
        <v>9</v>
      </c>
      <c r="B1117" s="159" t="s">
        <v>916</v>
      </c>
      <c r="C1117" s="153" t="s">
        <v>27</v>
      </c>
      <c r="D1117" s="49" t="s">
        <v>246</v>
      </c>
      <c r="E1117" s="44">
        <v>34999.089999999997</v>
      </c>
      <c r="F1117" s="177" t="s">
        <v>262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26"/>
        <v>STE009</v>
      </c>
      <c r="K1117" s="117"/>
    </row>
    <row r="1118" spans="1:11">
      <c r="A1118" s="42">
        <f t="shared" si="27"/>
        <v>10</v>
      </c>
      <c r="B1118" s="158" t="s">
        <v>917</v>
      </c>
      <c r="C1118" s="153" t="s">
        <v>27</v>
      </c>
      <c r="D1118" s="144" t="s">
        <v>246</v>
      </c>
      <c r="E1118" s="145">
        <v>24999.52</v>
      </c>
      <c r="F1118" s="177" t="s">
        <v>262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26"/>
        <v>STE010</v>
      </c>
      <c r="K1118" s="117"/>
    </row>
    <row r="1119" spans="1:11">
      <c r="A1119" s="42">
        <f t="shared" si="27"/>
        <v>11</v>
      </c>
      <c r="B1119" s="143" t="s">
        <v>918</v>
      </c>
      <c r="C1119" s="153" t="s">
        <v>27</v>
      </c>
      <c r="D1119" s="144" t="s">
        <v>246</v>
      </c>
      <c r="E1119" s="145">
        <v>13269</v>
      </c>
      <c r="F1119" s="177" t="s">
        <v>262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26"/>
        <v>STE011</v>
      </c>
      <c r="K1119" s="117"/>
    </row>
    <row r="1120" spans="1:11">
      <c r="A1120" s="87">
        <f t="shared" si="27"/>
        <v>12</v>
      </c>
      <c r="B1120" s="283" t="s">
        <v>919</v>
      </c>
      <c r="C1120" s="153" t="s">
        <v>27</v>
      </c>
      <c r="D1120" s="144" t="s">
        <v>246</v>
      </c>
      <c r="E1120" s="145"/>
      <c r="F1120" s="177" t="s">
        <v>920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26"/>
        <v>STE012</v>
      </c>
      <c r="K1120" s="117"/>
    </row>
    <row r="1121" spans="1:11">
      <c r="A1121" s="87">
        <f t="shared" si="27"/>
        <v>13</v>
      </c>
      <c r="B1121" s="283" t="s">
        <v>921</v>
      </c>
      <c r="C1121" s="153" t="s">
        <v>27</v>
      </c>
      <c r="D1121" s="144" t="s">
        <v>246</v>
      </c>
      <c r="E1121" s="145"/>
      <c r="F1121" s="177" t="s">
        <v>922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26"/>
        <v>STE013</v>
      </c>
      <c r="K1121" s="117"/>
    </row>
    <row r="1122" spans="1:11">
      <c r="A1122" s="87">
        <f t="shared" si="27"/>
        <v>14</v>
      </c>
      <c r="B1122" s="283" t="s">
        <v>923</v>
      </c>
      <c r="C1122" s="153" t="s">
        <v>27</v>
      </c>
      <c r="D1122" s="144" t="s">
        <v>246</v>
      </c>
      <c r="E1122" s="145"/>
      <c r="F1122" s="177" t="s">
        <v>924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26"/>
        <v>STE014</v>
      </c>
      <c r="K1122" s="117"/>
    </row>
    <row r="1123" spans="1:11" ht="30" customHeight="1">
      <c r="A1123" s="87">
        <f t="shared" si="27"/>
        <v>15</v>
      </c>
      <c r="B1123" s="283" t="s">
        <v>925</v>
      </c>
      <c r="C1123" s="153" t="s">
        <v>27</v>
      </c>
      <c r="D1123" s="144" t="s">
        <v>246</v>
      </c>
      <c r="E1123" s="145"/>
      <c r="F1123" s="177" t="s">
        <v>926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26"/>
        <v>STE015</v>
      </c>
      <c r="K1123" s="117"/>
    </row>
    <row r="1124" spans="1:11">
      <c r="A1124" s="87">
        <f t="shared" si="27"/>
        <v>16</v>
      </c>
      <c r="B1124" s="283" t="s">
        <v>927</v>
      </c>
      <c r="C1124" s="153" t="s">
        <v>27</v>
      </c>
      <c r="D1124" s="144" t="s">
        <v>246</v>
      </c>
      <c r="E1124" s="145"/>
      <c r="F1124" s="177" t="s">
        <v>928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26"/>
        <v>STE016</v>
      </c>
      <c r="K1124" s="117"/>
    </row>
    <row r="1125" spans="1:11">
      <c r="A1125" s="87">
        <f t="shared" si="27"/>
        <v>17</v>
      </c>
      <c r="B1125" s="283" t="s">
        <v>929</v>
      </c>
      <c r="C1125" s="153" t="s">
        <v>27</v>
      </c>
      <c r="D1125" s="144" t="s">
        <v>246</v>
      </c>
      <c r="E1125" s="145"/>
      <c r="F1125" s="177" t="s">
        <v>930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26"/>
        <v>STE017</v>
      </c>
      <c r="K1125" s="117"/>
    </row>
    <row r="1126" spans="1:11">
      <c r="A1126" s="42">
        <f t="shared" si="27"/>
        <v>18</v>
      </c>
      <c r="B1126" s="143" t="s">
        <v>931</v>
      </c>
      <c r="C1126" s="153" t="s">
        <v>27</v>
      </c>
      <c r="D1126" s="144" t="s">
        <v>246</v>
      </c>
      <c r="E1126" s="145">
        <v>20059.829999999998</v>
      </c>
      <c r="F1126" s="177" t="s">
        <v>262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26"/>
        <v>STE018</v>
      </c>
      <c r="K1126" s="117"/>
    </row>
    <row r="1127" spans="1:11" ht="30">
      <c r="A1127" s="42">
        <f t="shared" si="27"/>
        <v>19</v>
      </c>
      <c r="B1127" s="143" t="s">
        <v>932</v>
      </c>
      <c r="C1127" s="153" t="s">
        <v>27</v>
      </c>
      <c r="D1127" s="144" t="s">
        <v>246</v>
      </c>
      <c r="E1127" s="145">
        <v>31945</v>
      </c>
      <c r="F1127" s="177" t="s">
        <v>262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26"/>
        <v>STE019</v>
      </c>
      <c r="K1127" s="117"/>
    </row>
    <row r="1128" spans="1:11" ht="30">
      <c r="A1128" s="42">
        <f t="shared" si="27"/>
        <v>20</v>
      </c>
      <c r="B1128" s="143" t="s">
        <v>40</v>
      </c>
      <c r="C1128" s="153" t="s">
        <v>27</v>
      </c>
      <c r="D1128" s="144" t="s">
        <v>246</v>
      </c>
      <c r="E1128" s="145">
        <v>59308.5</v>
      </c>
      <c r="F1128" s="177" t="s">
        <v>262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26"/>
        <v>STE020</v>
      </c>
      <c r="K1128" s="117"/>
    </row>
    <row r="1129" spans="1:11">
      <c r="A1129" s="42">
        <f t="shared" si="27"/>
        <v>21</v>
      </c>
      <c r="B1129" s="143" t="s">
        <v>933</v>
      </c>
      <c r="C1129" s="153" t="s">
        <v>27</v>
      </c>
      <c r="D1129" s="144" t="s">
        <v>246</v>
      </c>
      <c r="E1129" s="145">
        <v>22911.759999999998</v>
      </c>
      <c r="F1129" s="177" t="s">
        <v>262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26"/>
        <v>STE021</v>
      </c>
      <c r="K1129" s="117"/>
    </row>
    <row r="1130" spans="1:11" ht="30">
      <c r="A1130" s="42">
        <f t="shared" si="27"/>
        <v>22</v>
      </c>
      <c r="B1130" s="158" t="s">
        <v>934</v>
      </c>
      <c r="C1130" s="153" t="s">
        <v>27</v>
      </c>
      <c r="D1130" s="144" t="s">
        <v>246</v>
      </c>
      <c r="E1130" s="145">
        <v>39358.5</v>
      </c>
      <c r="F1130" s="177" t="s">
        <v>262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26"/>
        <v>STE022</v>
      </c>
      <c r="K1130" s="117"/>
    </row>
    <row r="1131" spans="1:11">
      <c r="A1131" s="42">
        <f t="shared" si="27"/>
        <v>23</v>
      </c>
      <c r="B1131" s="143" t="s">
        <v>935</v>
      </c>
      <c r="C1131" s="153" t="s">
        <v>27</v>
      </c>
      <c r="D1131" s="144" t="s">
        <v>246</v>
      </c>
      <c r="E1131" s="145">
        <v>34666.660000000003</v>
      </c>
      <c r="F1131" s="177" t="s">
        <v>262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26"/>
        <v>STE023</v>
      </c>
      <c r="K1131" s="117"/>
    </row>
    <row r="1132" spans="1:11">
      <c r="A1132" s="42">
        <f t="shared" si="27"/>
        <v>24</v>
      </c>
      <c r="B1132" s="143" t="s">
        <v>936</v>
      </c>
      <c r="C1132" s="153" t="s">
        <v>27</v>
      </c>
      <c r="D1132" s="144" t="s">
        <v>262</v>
      </c>
      <c r="E1132" s="145">
        <v>3550</v>
      </c>
      <c r="F1132" s="177" t="s">
        <v>262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26"/>
        <v>STE024</v>
      </c>
      <c r="K1132" s="117"/>
    </row>
    <row r="1133" spans="1:11">
      <c r="A1133" s="42">
        <f t="shared" si="27"/>
        <v>25</v>
      </c>
      <c r="B1133" s="158" t="s">
        <v>937</v>
      </c>
      <c r="C1133" s="153" t="s">
        <v>27</v>
      </c>
      <c r="D1133" s="144" t="s">
        <v>246</v>
      </c>
      <c r="E1133" s="145">
        <v>16591.599999999999</v>
      </c>
      <c r="F1133" s="177" t="s">
        <v>262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26"/>
        <v>STE025</v>
      </c>
      <c r="K1133" s="117"/>
    </row>
    <row r="1134" spans="1:11">
      <c r="A1134" s="42">
        <f t="shared" si="27"/>
        <v>26</v>
      </c>
      <c r="B1134" s="160" t="s">
        <v>938</v>
      </c>
      <c r="C1134" s="153" t="s">
        <v>27</v>
      </c>
      <c r="D1134" s="144" t="s">
        <v>246</v>
      </c>
      <c r="E1134" s="145">
        <v>16813.509999999998</v>
      </c>
      <c r="F1134" s="177" t="s">
        <v>262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26"/>
        <v>STE026</v>
      </c>
      <c r="K1134" s="117"/>
    </row>
    <row r="1135" spans="1:11">
      <c r="A1135" s="42">
        <f t="shared" si="27"/>
        <v>27</v>
      </c>
      <c r="B1135" s="160" t="s">
        <v>939</v>
      </c>
      <c r="C1135" s="153" t="s">
        <v>27</v>
      </c>
      <c r="D1135" s="144" t="s">
        <v>246</v>
      </c>
      <c r="E1135" s="145">
        <v>19744.003999999997</v>
      </c>
      <c r="F1135" s="177" t="s">
        <v>262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26"/>
        <v>STE027</v>
      </c>
      <c r="K1135" s="117"/>
    </row>
    <row r="1136" spans="1:11">
      <c r="A1136" s="42">
        <f t="shared" si="27"/>
        <v>28</v>
      </c>
      <c r="B1136" s="158" t="s">
        <v>940</v>
      </c>
      <c r="C1136" s="153" t="s">
        <v>27</v>
      </c>
      <c r="D1136" s="144" t="s">
        <v>246</v>
      </c>
      <c r="E1136" s="145">
        <v>9500</v>
      </c>
      <c r="F1136" s="177" t="s">
        <v>262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26"/>
        <v>STE028</v>
      </c>
      <c r="K1136" s="117"/>
    </row>
    <row r="1137" spans="1:11">
      <c r="A1137" s="42">
        <f t="shared" si="27"/>
        <v>29</v>
      </c>
      <c r="B1137" s="160" t="s">
        <v>941</v>
      </c>
      <c r="C1137" s="153" t="s">
        <v>27</v>
      </c>
      <c r="D1137" s="144" t="s">
        <v>246</v>
      </c>
      <c r="E1137" s="145">
        <v>7511.9940000000006</v>
      </c>
      <c r="F1137" s="177" t="s">
        <v>262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26"/>
        <v>STE029</v>
      </c>
      <c r="K1137" s="117"/>
    </row>
    <row r="1138" spans="1:11" ht="30">
      <c r="A1138" s="42">
        <f t="shared" si="27"/>
        <v>30</v>
      </c>
      <c r="B1138" s="158" t="s">
        <v>28</v>
      </c>
      <c r="C1138" s="153" t="s">
        <v>27</v>
      </c>
      <c r="D1138" s="144" t="s">
        <v>246</v>
      </c>
      <c r="E1138" s="145">
        <v>28016.000000000004</v>
      </c>
      <c r="F1138" s="177" t="s">
        <v>262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26"/>
        <v>STE030</v>
      </c>
      <c r="K1138" s="117"/>
    </row>
    <row r="1139" spans="1:11">
      <c r="A1139" s="42">
        <f t="shared" si="27"/>
        <v>31</v>
      </c>
      <c r="B1139" s="160" t="s">
        <v>942</v>
      </c>
      <c r="C1139" s="153" t="s">
        <v>27</v>
      </c>
      <c r="D1139" s="144" t="s">
        <v>246</v>
      </c>
      <c r="E1139" s="145">
        <v>25200</v>
      </c>
      <c r="F1139" s="177" t="s">
        <v>262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26"/>
        <v>STE031</v>
      </c>
      <c r="K1139" s="117"/>
    </row>
    <row r="1140" spans="1:11">
      <c r="A1140" s="42">
        <f t="shared" si="27"/>
        <v>32</v>
      </c>
      <c r="B1140" s="159" t="s">
        <v>943</v>
      </c>
      <c r="C1140" s="153" t="s">
        <v>27</v>
      </c>
      <c r="D1140" s="49" t="s">
        <v>246</v>
      </c>
      <c r="E1140" s="44">
        <v>6970.59</v>
      </c>
      <c r="F1140" s="177" t="s">
        <v>262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26"/>
        <v>STE032</v>
      </c>
      <c r="K1140" s="117"/>
    </row>
    <row r="1141" spans="1:11">
      <c r="A1141" s="87">
        <f t="shared" si="27"/>
        <v>33</v>
      </c>
      <c r="B1141" s="270" t="s">
        <v>944</v>
      </c>
      <c r="C1141" s="153" t="s">
        <v>27</v>
      </c>
      <c r="D1141" s="49" t="s">
        <v>246</v>
      </c>
      <c r="E1141" s="44"/>
      <c r="F1141" s="177" t="s">
        <v>945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26"/>
        <v>STE033</v>
      </c>
      <c r="K1141" s="117"/>
    </row>
    <row r="1142" spans="1:11">
      <c r="A1142" s="42">
        <f t="shared" si="27"/>
        <v>34</v>
      </c>
      <c r="B1142" s="161" t="s">
        <v>946</v>
      </c>
      <c r="C1142" s="153" t="s">
        <v>27</v>
      </c>
      <c r="D1142" s="144" t="s">
        <v>246</v>
      </c>
      <c r="E1142" s="145">
        <v>8770.3333333333339</v>
      </c>
      <c r="F1142" s="177" t="s">
        <v>262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26"/>
        <v>STE034</v>
      </c>
      <c r="K1142" s="117"/>
    </row>
    <row r="1143" spans="1:11">
      <c r="A1143" s="42">
        <f t="shared" si="27"/>
        <v>35</v>
      </c>
      <c r="B1143" s="159" t="s">
        <v>947</v>
      </c>
      <c r="C1143" s="153" t="s">
        <v>27</v>
      </c>
      <c r="D1143" s="49" t="s">
        <v>246</v>
      </c>
      <c r="E1143" s="44">
        <v>44000</v>
      </c>
      <c r="F1143" s="177" t="s">
        <v>262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26"/>
        <v>STE035</v>
      </c>
      <c r="K1143" s="117"/>
    </row>
    <row r="1144" spans="1:11">
      <c r="A1144" s="42">
        <f t="shared" si="27"/>
        <v>36</v>
      </c>
      <c r="B1144" s="37" t="s">
        <v>948</v>
      </c>
      <c r="C1144" s="153" t="s">
        <v>27</v>
      </c>
      <c r="D1144" s="49" t="s">
        <v>259</v>
      </c>
      <c r="E1144" s="44">
        <v>18500</v>
      </c>
      <c r="F1144" s="177" t="s">
        <v>262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26"/>
        <v>STE036</v>
      </c>
      <c r="K1144" s="117"/>
    </row>
    <row r="1145" spans="1:11">
      <c r="A1145" s="42">
        <f t="shared" si="27"/>
        <v>37</v>
      </c>
      <c r="B1145" s="37" t="s">
        <v>949</v>
      </c>
      <c r="C1145" s="153" t="s">
        <v>27</v>
      </c>
      <c r="D1145" s="49" t="s">
        <v>259</v>
      </c>
      <c r="E1145" s="44">
        <v>39100</v>
      </c>
      <c r="F1145" s="177" t="s">
        <v>262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26"/>
        <v>STE037</v>
      </c>
      <c r="K1145" s="117"/>
    </row>
    <row r="1146" spans="1:11">
      <c r="A1146" s="42">
        <f t="shared" si="27"/>
        <v>38</v>
      </c>
      <c r="B1146" s="142" t="s">
        <v>950</v>
      </c>
      <c r="C1146" s="153" t="s">
        <v>27</v>
      </c>
      <c r="D1146" s="49" t="s">
        <v>259</v>
      </c>
      <c r="E1146" s="135">
        <v>11950</v>
      </c>
      <c r="F1146" s="177" t="s">
        <v>262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26"/>
        <v>STE038</v>
      </c>
      <c r="K1146" s="117"/>
    </row>
    <row r="1147" spans="1:11" ht="30">
      <c r="A1147" s="42">
        <f t="shared" si="27"/>
        <v>39</v>
      </c>
      <c r="B1147" s="284" t="s">
        <v>951</v>
      </c>
      <c r="C1147" s="153" t="s">
        <v>27</v>
      </c>
      <c r="D1147" s="49" t="s">
        <v>246</v>
      </c>
      <c r="E1147" s="135">
        <v>5194</v>
      </c>
      <c r="F1147" s="177" t="s">
        <v>262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26"/>
        <v>STE039</v>
      </c>
      <c r="K1147" s="117"/>
    </row>
    <row r="1148" spans="1:11" ht="30">
      <c r="A1148" s="42">
        <f t="shared" si="27"/>
        <v>40</v>
      </c>
      <c r="B1148" s="284" t="s">
        <v>952</v>
      </c>
      <c r="C1148" s="153" t="s">
        <v>27</v>
      </c>
      <c r="D1148" s="49" t="s">
        <v>259</v>
      </c>
      <c r="E1148" s="135">
        <v>39358.5</v>
      </c>
      <c r="F1148" s="177" t="s">
        <v>262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26"/>
        <v>STE040</v>
      </c>
      <c r="K1148" s="117"/>
    </row>
    <row r="1149" spans="1:11" ht="30">
      <c r="A1149" s="42">
        <f t="shared" si="27"/>
        <v>41</v>
      </c>
      <c r="B1149" s="284" t="s">
        <v>953</v>
      </c>
      <c r="C1149" s="153" t="s">
        <v>27</v>
      </c>
      <c r="D1149" s="49" t="s">
        <v>259</v>
      </c>
      <c r="E1149" s="135">
        <v>31945</v>
      </c>
      <c r="F1149" s="177" t="s">
        <v>262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26"/>
        <v>STE041</v>
      </c>
      <c r="K1149" s="117"/>
    </row>
    <row r="1150" spans="1:11" ht="30">
      <c r="A1150" s="42">
        <f t="shared" si="27"/>
        <v>42</v>
      </c>
      <c r="B1150" s="284" t="s">
        <v>954</v>
      </c>
      <c r="C1150" s="153" t="s">
        <v>27</v>
      </c>
      <c r="D1150" s="49" t="s">
        <v>259</v>
      </c>
      <c r="E1150" s="135">
        <v>59308.5</v>
      </c>
      <c r="F1150" s="177" t="s">
        <v>262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26"/>
        <v>STE042</v>
      </c>
      <c r="K1150" s="117"/>
    </row>
    <row r="1151" spans="1:11">
      <c r="A1151" s="87">
        <f t="shared" si="27"/>
        <v>43</v>
      </c>
      <c r="B1151" s="284" t="s">
        <v>955</v>
      </c>
      <c r="C1151" s="153" t="s">
        <v>27</v>
      </c>
      <c r="D1151" s="49" t="s">
        <v>246</v>
      </c>
      <c r="E1151" s="135">
        <v>0</v>
      </c>
      <c r="F1151" s="177" t="s">
        <v>262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26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75">
      <c r="A1165" s="76"/>
      <c r="B1165" s="77" t="s">
        <v>128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.75" thickBot="1">
      <c r="B1166"/>
      <c r="C1166" s="493"/>
      <c r="D1166" s="492"/>
      <c r="E1166"/>
      <c r="F1166" s="178"/>
      <c r="H1166"/>
      <c r="I1166"/>
    </row>
    <row r="1167" spans="1:11" ht="24" thickBot="1">
      <c r="A1167" s="126" t="s">
        <v>99</v>
      </c>
      <c r="B1167" s="285">
        <f>SUBTOTAL(3,(B1169:B1230))</f>
        <v>62</v>
      </c>
      <c r="E1167"/>
      <c r="F1167" s="178"/>
      <c r="H1167"/>
      <c r="I1167"/>
    </row>
    <row r="1168" spans="1:11" ht="47.25">
      <c r="A1168" s="78" t="s">
        <v>79</v>
      </c>
      <c r="B1168" s="200" t="s">
        <v>101</v>
      </c>
      <c r="C1168" s="65" t="s">
        <v>102</v>
      </c>
      <c r="D1168" s="66" t="s">
        <v>103</v>
      </c>
      <c r="E1168" s="68" t="s">
        <v>104</v>
      </c>
      <c r="F1168" s="176" t="s">
        <v>105</v>
      </c>
      <c r="G1168" s="70" t="s">
        <v>106</v>
      </c>
      <c r="H1168" s="71" t="s">
        <v>107</v>
      </c>
      <c r="I1168" s="71" t="s">
        <v>108</v>
      </c>
      <c r="J1168" s="73" t="s">
        <v>109</v>
      </c>
      <c r="K1168" s="255" t="s">
        <v>110</v>
      </c>
    </row>
    <row r="1169" spans="1:11">
      <c r="A1169" s="80">
        <v>1</v>
      </c>
      <c r="B1169" s="272" t="s">
        <v>956</v>
      </c>
      <c r="C1169" s="206" t="s">
        <v>63</v>
      </c>
      <c r="D1169" s="49" t="s">
        <v>248</v>
      </c>
      <c r="E1169" s="44"/>
      <c r="F1169" s="177" t="s">
        <v>262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28">CONCATENATE(LEFT(C1169,1),"_",TEXT(A1169,"000"))</f>
        <v>S_001</v>
      </c>
      <c r="K1169" s="117"/>
    </row>
    <row r="1170" spans="1:11">
      <c r="A1170" s="80">
        <v>2</v>
      </c>
      <c r="B1170" s="272" t="s">
        <v>957</v>
      </c>
      <c r="C1170" s="206" t="s">
        <v>63</v>
      </c>
      <c r="D1170" s="49" t="s">
        <v>248</v>
      </c>
      <c r="E1170" s="44"/>
      <c r="F1170" s="177" t="s">
        <v>262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28"/>
        <v>S_002</v>
      </c>
      <c r="K1170" s="117"/>
    </row>
    <row r="1171" spans="1:11">
      <c r="A1171" s="80">
        <f>A1170+1</f>
        <v>3</v>
      </c>
      <c r="B1171" s="272" t="s">
        <v>958</v>
      </c>
      <c r="C1171" s="206" t="s">
        <v>63</v>
      </c>
      <c r="D1171" s="49" t="s">
        <v>248</v>
      </c>
      <c r="E1171" s="44"/>
      <c r="F1171" s="177" t="s">
        <v>262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28"/>
        <v>S_003</v>
      </c>
      <c r="K1171" s="117"/>
    </row>
    <row r="1172" spans="1:11">
      <c r="A1172" s="80">
        <f>A1171+1</f>
        <v>4</v>
      </c>
      <c r="B1172" s="272" t="s">
        <v>959</v>
      </c>
      <c r="C1172" s="206" t="s">
        <v>63</v>
      </c>
      <c r="D1172" s="49" t="s">
        <v>248</v>
      </c>
      <c r="E1172" s="44"/>
      <c r="F1172" s="177" t="s">
        <v>262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28"/>
        <v>S_004</v>
      </c>
      <c r="K1172" s="117"/>
    </row>
    <row r="1173" spans="1:11">
      <c r="A1173" s="80">
        <f>A1172+1</f>
        <v>5</v>
      </c>
      <c r="B1173" s="272" t="s">
        <v>960</v>
      </c>
      <c r="C1173" s="206" t="s">
        <v>63</v>
      </c>
      <c r="D1173" s="49" t="s">
        <v>248</v>
      </c>
      <c r="E1173" s="44"/>
      <c r="F1173" s="177" t="s">
        <v>262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28"/>
        <v>S_005</v>
      </c>
      <c r="K1173" s="117"/>
    </row>
    <row r="1174" spans="1:11">
      <c r="A1174" s="80">
        <f>A1173+1</f>
        <v>6</v>
      </c>
      <c r="B1174" s="272" t="s">
        <v>961</v>
      </c>
      <c r="C1174" s="206" t="s">
        <v>63</v>
      </c>
      <c r="D1174" s="49" t="s">
        <v>248</v>
      </c>
      <c r="E1174" s="44"/>
      <c r="F1174" s="177" t="s">
        <v>262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28"/>
        <v>S_006</v>
      </c>
      <c r="K1174" s="117"/>
    </row>
    <row r="1175" spans="1:11">
      <c r="A1175" s="222">
        <f>A1174+1</f>
        <v>7</v>
      </c>
      <c r="B1175" s="272" t="s">
        <v>962</v>
      </c>
      <c r="C1175" s="206" t="s">
        <v>63</v>
      </c>
      <c r="D1175" s="49" t="s">
        <v>248</v>
      </c>
      <c r="E1175" s="44"/>
      <c r="F1175" s="177" t="s">
        <v>262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28"/>
        <v>S_007</v>
      </c>
      <c r="K1175" s="117"/>
    </row>
    <row r="1176" spans="1:11" ht="30">
      <c r="A1176" s="222">
        <f t="shared" ref="A1176:A1230" si="29">A1175+1</f>
        <v>8</v>
      </c>
      <c r="B1176" s="268" t="s">
        <v>963</v>
      </c>
      <c r="C1176" s="206" t="s">
        <v>63</v>
      </c>
      <c r="D1176" s="49" t="s">
        <v>248</v>
      </c>
      <c r="E1176" s="44">
        <v>49000</v>
      </c>
      <c r="F1176" s="177" t="s">
        <v>248</v>
      </c>
      <c r="G1176" s="9">
        <v>49000</v>
      </c>
      <c r="H1176" s="81">
        <v>1</v>
      </c>
      <c r="I1176" s="81">
        <v>1</v>
      </c>
      <c r="J1176" s="207" t="str">
        <f t="shared" si="28"/>
        <v>S_008</v>
      </c>
      <c r="K1176" s="117"/>
    </row>
    <row r="1177" spans="1:11">
      <c r="A1177" s="222">
        <f t="shared" si="29"/>
        <v>9</v>
      </c>
      <c r="B1177" s="286" t="s">
        <v>964</v>
      </c>
      <c r="C1177" s="206" t="s">
        <v>63</v>
      </c>
      <c r="D1177" s="49" t="s">
        <v>248</v>
      </c>
      <c r="E1177" s="135"/>
      <c r="F1177" s="177" t="s">
        <v>262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28"/>
        <v>S_009</v>
      </c>
      <c r="K1177" s="117"/>
    </row>
    <row r="1178" spans="1:11">
      <c r="A1178" s="222">
        <f t="shared" si="29"/>
        <v>10</v>
      </c>
      <c r="B1178" s="286" t="s">
        <v>965</v>
      </c>
      <c r="C1178" s="206" t="s">
        <v>63</v>
      </c>
      <c r="D1178" s="49" t="s">
        <v>248</v>
      </c>
      <c r="E1178" s="135"/>
      <c r="F1178" s="177" t="s">
        <v>262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28"/>
        <v>S_010</v>
      </c>
      <c r="K1178" s="117"/>
    </row>
    <row r="1179" spans="1:11">
      <c r="A1179" s="222">
        <f t="shared" si="29"/>
        <v>11</v>
      </c>
      <c r="B1179" s="268" t="s">
        <v>966</v>
      </c>
      <c r="C1179" s="206" t="s">
        <v>63</v>
      </c>
      <c r="D1179" s="49" t="s">
        <v>182</v>
      </c>
      <c r="E1179" s="135"/>
      <c r="F1179" s="177" t="s">
        <v>182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28"/>
        <v>S_011</v>
      </c>
      <c r="K1179" s="117"/>
    </row>
    <row r="1180" spans="1:11">
      <c r="A1180" s="222">
        <f t="shared" si="29"/>
        <v>12</v>
      </c>
      <c r="B1180" s="268" t="s">
        <v>967</v>
      </c>
      <c r="C1180" s="206" t="s">
        <v>63</v>
      </c>
      <c r="D1180" s="49" t="s">
        <v>182</v>
      </c>
      <c r="E1180" s="135"/>
      <c r="F1180" s="177" t="s">
        <v>182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28"/>
        <v>S_012</v>
      </c>
      <c r="K1180" s="117"/>
    </row>
    <row r="1181" spans="1:11">
      <c r="A1181" s="222">
        <f t="shared" si="29"/>
        <v>13</v>
      </c>
      <c r="B1181" s="268" t="s">
        <v>968</v>
      </c>
      <c r="C1181" s="206" t="s">
        <v>63</v>
      </c>
      <c r="D1181" s="49" t="s">
        <v>182</v>
      </c>
      <c r="E1181" s="135"/>
      <c r="F1181" s="177" t="s">
        <v>182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28"/>
        <v>S_013</v>
      </c>
      <c r="K1181" s="117"/>
    </row>
    <row r="1182" spans="1:11">
      <c r="A1182" s="222">
        <f t="shared" si="29"/>
        <v>14</v>
      </c>
      <c r="B1182" s="268" t="s">
        <v>969</v>
      </c>
      <c r="C1182" s="206" t="s">
        <v>63</v>
      </c>
      <c r="D1182" s="49" t="s">
        <v>182</v>
      </c>
      <c r="E1182" s="135"/>
      <c r="F1182" s="177" t="s">
        <v>182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28"/>
        <v>S_014</v>
      </c>
      <c r="K1182" s="117"/>
    </row>
    <row r="1183" spans="1:11">
      <c r="A1183" s="222">
        <f t="shared" si="29"/>
        <v>15</v>
      </c>
      <c r="B1183" s="268" t="s">
        <v>970</v>
      </c>
      <c r="C1183" s="206" t="s">
        <v>63</v>
      </c>
      <c r="D1183" s="49" t="s">
        <v>182</v>
      </c>
      <c r="E1183" s="135"/>
      <c r="F1183" s="177" t="s">
        <v>182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28"/>
        <v>S_015</v>
      </c>
      <c r="K1183" s="117"/>
    </row>
    <row r="1184" spans="1:11">
      <c r="A1184" s="222">
        <f t="shared" si="29"/>
        <v>16</v>
      </c>
      <c r="B1184" s="268" t="s">
        <v>971</v>
      </c>
      <c r="C1184" s="206" t="s">
        <v>63</v>
      </c>
      <c r="D1184" s="49" t="s">
        <v>182</v>
      </c>
      <c r="E1184" s="135"/>
      <c r="F1184" s="177" t="s">
        <v>182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28"/>
        <v>S_016</v>
      </c>
      <c r="K1184" s="117"/>
    </row>
    <row r="1185" spans="1:11">
      <c r="A1185" s="222">
        <f t="shared" si="29"/>
        <v>17</v>
      </c>
      <c r="B1185" s="268" t="s">
        <v>972</v>
      </c>
      <c r="C1185" s="206" t="s">
        <v>63</v>
      </c>
      <c r="D1185" s="49" t="s">
        <v>182</v>
      </c>
      <c r="E1185" s="135"/>
      <c r="F1185" s="177" t="s">
        <v>182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28"/>
        <v>S_017</v>
      </c>
      <c r="K1185" s="117"/>
    </row>
    <row r="1186" spans="1:11">
      <c r="A1186" s="222">
        <f t="shared" si="29"/>
        <v>18</v>
      </c>
      <c r="B1186" s="268" t="s">
        <v>973</v>
      </c>
      <c r="C1186" s="206" t="s">
        <v>63</v>
      </c>
      <c r="D1186" s="49" t="s">
        <v>182</v>
      </c>
      <c r="E1186" s="135"/>
      <c r="F1186" s="177" t="s">
        <v>182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28"/>
        <v>S_018</v>
      </c>
      <c r="K1186" s="117"/>
    </row>
    <row r="1187" spans="1:11">
      <c r="A1187" s="222">
        <f t="shared" si="29"/>
        <v>19</v>
      </c>
      <c r="B1187" s="268" t="s">
        <v>974</v>
      </c>
      <c r="C1187" s="206" t="s">
        <v>63</v>
      </c>
      <c r="D1187" s="49" t="s">
        <v>182</v>
      </c>
      <c r="E1187" s="135"/>
      <c r="F1187" s="177" t="s">
        <v>182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28"/>
        <v>S_019</v>
      </c>
      <c r="K1187" s="117"/>
    </row>
    <row r="1188" spans="1:11">
      <c r="A1188" s="222">
        <f t="shared" si="29"/>
        <v>20</v>
      </c>
      <c r="B1188" s="268" t="s">
        <v>975</v>
      </c>
      <c r="C1188" s="206" t="s">
        <v>63</v>
      </c>
      <c r="D1188" s="49" t="s">
        <v>182</v>
      </c>
      <c r="E1188" s="135"/>
      <c r="F1188" s="177" t="s">
        <v>182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28"/>
        <v>S_020</v>
      </c>
      <c r="K1188" s="117"/>
    </row>
    <row r="1189" spans="1:11">
      <c r="A1189" s="222">
        <f t="shared" si="29"/>
        <v>21</v>
      </c>
      <c r="B1189" s="268" t="s">
        <v>976</v>
      </c>
      <c r="C1189" s="206" t="s">
        <v>63</v>
      </c>
      <c r="D1189" s="49" t="s">
        <v>182</v>
      </c>
      <c r="E1189" s="135"/>
      <c r="F1189" s="177" t="s">
        <v>182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28"/>
        <v>S_021</v>
      </c>
      <c r="K1189" s="117"/>
    </row>
    <row r="1190" spans="1:11">
      <c r="A1190" s="222">
        <f t="shared" si="29"/>
        <v>22</v>
      </c>
      <c r="B1190" s="268" t="s">
        <v>977</v>
      </c>
      <c r="C1190" s="206" t="s">
        <v>63</v>
      </c>
      <c r="D1190" s="49" t="s">
        <v>182</v>
      </c>
      <c r="E1190" s="135"/>
      <c r="F1190" s="177" t="s">
        <v>182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28"/>
        <v>S_022</v>
      </c>
      <c r="K1190" s="117"/>
    </row>
    <row r="1191" spans="1:11">
      <c r="A1191" s="222">
        <f t="shared" si="29"/>
        <v>23</v>
      </c>
      <c r="B1191" s="268" t="s">
        <v>978</v>
      </c>
      <c r="C1191" s="206" t="s">
        <v>63</v>
      </c>
      <c r="D1191" s="49" t="s">
        <v>182</v>
      </c>
      <c r="E1191" s="135"/>
      <c r="F1191" s="177" t="s">
        <v>182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28"/>
        <v>S_023</v>
      </c>
      <c r="K1191" s="117"/>
    </row>
    <row r="1192" spans="1:11">
      <c r="A1192" s="222">
        <f t="shared" si="29"/>
        <v>24</v>
      </c>
      <c r="B1192" s="268" t="s">
        <v>979</v>
      </c>
      <c r="C1192" s="206" t="s">
        <v>63</v>
      </c>
      <c r="D1192" s="49" t="s">
        <v>182</v>
      </c>
      <c r="E1192" s="135"/>
      <c r="F1192" s="177" t="s">
        <v>182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28"/>
        <v>S_024</v>
      </c>
      <c r="K1192" s="117"/>
    </row>
    <row r="1193" spans="1:11">
      <c r="A1193" s="222">
        <f t="shared" si="29"/>
        <v>25</v>
      </c>
      <c r="B1193" s="268" t="s">
        <v>980</v>
      </c>
      <c r="C1193" s="206" t="s">
        <v>63</v>
      </c>
      <c r="D1193" s="49" t="s">
        <v>182</v>
      </c>
      <c r="E1193" s="135"/>
      <c r="F1193" s="177" t="s">
        <v>182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28"/>
        <v>S_025</v>
      </c>
      <c r="K1193" s="117"/>
    </row>
    <row r="1194" spans="1:11">
      <c r="A1194" s="222">
        <f t="shared" si="29"/>
        <v>26</v>
      </c>
      <c r="B1194" s="268" t="s">
        <v>981</v>
      </c>
      <c r="C1194" s="206" t="s">
        <v>63</v>
      </c>
      <c r="D1194" s="49" t="s">
        <v>182</v>
      </c>
      <c r="E1194" s="135"/>
      <c r="F1194" s="177" t="s">
        <v>182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28"/>
        <v>S_026</v>
      </c>
      <c r="K1194" s="117"/>
    </row>
    <row r="1195" spans="1:11">
      <c r="A1195" s="222">
        <f t="shared" si="29"/>
        <v>27</v>
      </c>
      <c r="B1195" s="268" t="s">
        <v>982</v>
      </c>
      <c r="C1195" s="206" t="s">
        <v>63</v>
      </c>
      <c r="D1195" s="49" t="s">
        <v>182</v>
      </c>
      <c r="E1195" s="135"/>
      <c r="F1195" s="177" t="s">
        <v>182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28"/>
        <v>S_027</v>
      </c>
      <c r="K1195" s="117"/>
    </row>
    <row r="1196" spans="1:11">
      <c r="A1196" s="222">
        <f t="shared" si="29"/>
        <v>28</v>
      </c>
      <c r="B1196" s="268" t="s">
        <v>983</v>
      </c>
      <c r="C1196" s="206" t="s">
        <v>63</v>
      </c>
      <c r="D1196" s="49" t="s">
        <v>182</v>
      </c>
      <c r="E1196" s="135"/>
      <c r="F1196" s="177" t="s">
        <v>182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28"/>
        <v>S_028</v>
      </c>
      <c r="K1196" s="117"/>
    </row>
    <row r="1197" spans="1:11">
      <c r="A1197" s="222">
        <f t="shared" si="29"/>
        <v>29</v>
      </c>
      <c r="B1197" s="268" t="s">
        <v>984</v>
      </c>
      <c r="C1197" s="206" t="s">
        <v>63</v>
      </c>
      <c r="D1197" s="49" t="s">
        <v>182</v>
      </c>
      <c r="E1197" s="135"/>
      <c r="F1197" s="177" t="s">
        <v>182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28"/>
        <v>S_029</v>
      </c>
      <c r="K1197" s="117"/>
    </row>
    <row r="1198" spans="1:11">
      <c r="A1198" s="222">
        <f t="shared" si="29"/>
        <v>30</v>
      </c>
      <c r="B1198" s="268" t="s">
        <v>985</v>
      </c>
      <c r="C1198" s="206" t="s">
        <v>63</v>
      </c>
      <c r="D1198" s="49" t="s">
        <v>182</v>
      </c>
      <c r="E1198" s="135"/>
      <c r="F1198" s="177" t="s">
        <v>182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28"/>
        <v>S_030</v>
      </c>
      <c r="K1198" s="117"/>
    </row>
    <row r="1199" spans="1:11">
      <c r="A1199" s="222">
        <f t="shared" si="29"/>
        <v>31</v>
      </c>
      <c r="B1199" s="268" t="s">
        <v>986</v>
      </c>
      <c r="C1199" s="206" t="s">
        <v>63</v>
      </c>
      <c r="D1199" s="49" t="s">
        <v>182</v>
      </c>
      <c r="E1199" s="135"/>
      <c r="F1199" s="177" t="s">
        <v>182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28"/>
        <v>S_031</v>
      </c>
      <c r="K1199" s="117"/>
    </row>
    <row r="1200" spans="1:11">
      <c r="A1200" s="222">
        <f t="shared" si="29"/>
        <v>32</v>
      </c>
      <c r="B1200" s="268" t="s">
        <v>987</v>
      </c>
      <c r="C1200" s="206" t="s">
        <v>63</v>
      </c>
      <c r="D1200" s="49" t="s">
        <v>182</v>
      </c>
      <c r="E1200" s="135"/>
      <c r="F1200" s="177" t="s">
        <v>182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28"/>
        <v>S_032</v>
      </c>
      <c r="K1200" s="117"/>
    </row>
    <row r="1201" spans="1:11">
      <c r="A1201" s="222">
        <f t="shared" si="29"/>
        <v>33</v>
      </c>
      <c r="B1201" s="268" t="s">
        <v>988</v>
      </c>
      <c r="C1201" s="206" t="s">
        <v>63</v>
      </c>
      <c r="D1201" s="49" t="s">
        <v>182</v>
      </c>
      <c r="E1201" s="135"/>
      <c r="F1201" s="177" t="s">
        <v>182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0">CONCATENATE(LEFT(C1201,1),"_",TEXT(A1201,"000"))</f>
        <v>S_033</v>
      </c>
      <c r="K1201" s="117"/>
    </row>
    <row r="1202" spans="1:11">
      <c r="A1202" s="222">
        <f t="shared" si="29"/>
        <v>34</v>
      </c>
      <c r="B1202" s="268" t="s">
        <v>989</v>
      </c>
      <c r="C1202" s="206" t="s">
        <v>63</v>
      </c>
      <c r="D1202" s="49" t="s">
        <v>182</v>
      </c>
      <c r="E1202" s="135"/>
      <c r="F1202" s="177" t="s">
        <v>182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0"/>
        <v>S_034</v>
      </c>
      <c r="K1202" s="117"/>
    </row>
    <row r="1203" spans="1:11">
      <c r="A1203" s="222">
        <f t="shared" si="29"/>
        <v>35</v>
      </c>
      <c r="B1203" s="268" t="s">
        <v>990</v>
      </c>
      <c r="C1203" s="206" t="s">
        <v>63</v>
      </c>
      <c r="D1203" s="49" t="s">
        <v>182</v>
      </c>
      <c r="E1203" s="135"/>
      <c r="F1203" s="177" t="s">
        <v>182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0"/>
        <v>S_035</v>
      </c>
      <c r="K1203" s="117"/>
    </row>
    <row r="1204" spans="1:11">
      <c r="A1204" s="222">
        <f t="shared" si="29"/>
        <v>36</v>
      </c>
      <c r="B1204" s="268" t="s">
        <v>991</v>
      </c>
      <c r="C1204" s="206" t="s">
        <v>63</v>
      </c>
      <c r="D1204" s="49" t="s">
        <v>182</v>
      </c>
      <c r="E1204" s="135"/>
      <c r="F1204" s="177" t="s">
        <v>182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0"/>
        <v>S_036</v>
      </c>
      <c r="K1204" s="117"/>
    </row>
    <row r="1205" spans="1:11" ht="30">
      <c r="A1205" s="222">
        <f t="shared" si="29"/>
        <v>37</v>
      </c>
      <c r="B1205" s="268" t="s">
        <v>992</v>
      </c>
      <c r="C1205" s="206" t="s">
        <v>63</v>
      </c>
      <c r="D1205" s="49" t="s">
        <v>182</v>
      </c>
      <c r="E1205" s="135">
        <v>14150</v>
      </c>
      <c r="F1205" s="177" t="s">
        <v>182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0"/>
        <v>S_037</v>
      </c>
      <c r="K1205" s="117"/>
    </row>
    <row r="1206" spans="1:11" ht="30">
      <c r="A1206" s="222">
        <f t="shared" si="29"/>
        <v>38</v>
      </c>
      <c r="B1206" s="268" t="s">
        <v>993</v>
      </c>
      <c r="C1206" s="206" t="s">
        <v>63</v>
      </c>
      <c r="D1206" s="49" t="s">
        <v>182</v>
      </c>
      <c r="E1206" s="135">
        <v>16000</v>
      </c>
      <c r="F1206" s="177" t="s">
        <v>182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0"/>
        <v>S_038</v>
      </c>
      <c r="K1206" s="117"/>
    </row>
    <row r="1207" spans="1:11">
      <c r="A1207" s="222">
        <f t="shared" si="29"/>
        <v>39</v>
      </c>
      <c r="B1207" s="268" t="s">
        <v>994</v>
      </c>
      <c r="C1207" s="206" t="s">
        <v>63</v>
      </c>
      <c r="D1207" s="49" t="s">
        <v>182</v>
      </c>
      <c r="E1207" s="135"/>
      <c r="F1207" s="177" t="s">
        <v>182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0"/>
        <v>S_039</v>
      </c>
      <c r="K1207" s="117"/>
    </row>
    <row r="1208" spans="1:11">
      <c r="A1208" s="222">
        <f t="shared" si="29"/>
        <v>40</v>
      </c>
      <c r="B1208" s="268" t="s">
        <v>995</v>
      </c>
      <c r="C1208" s="206" t="s">
        <v>63</v>
      </c>
      <c r="D1208" s="49" t="s">
        <v>182</v>
      </c>
      <c r="E1208" s="135"/>
      <c r="F1208" s="177" t="s">
        <v>182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0"/>
        <v>S_040</v>
      </c>
      <c r="K1208" s="117"/>
    </row>
    <row r="1209" spans="1:11">
      <c r="A1209" s="222">
        <f t="shared" si="29"/>
        <v>41</v>
      </c>
      <c r="B1209" s="268" t="s">
        <v>996</v>
      </c>
      <c r="C1209" s="206" t="s">
        <v>63</v>
      </c>
      <c r="D1209" s="49" t="s">
        <v>182</v>
      </c>
      <c r="E1209" s="135"/>
      <c r="F1209" s="177" t="s">
        <v>182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0"/>
        <v>S_041</v>
      </c>
      <c r="K1209" s="117"/>
    </row>
    <row r="1210" spans="1:11">
      <c r="A1210" s="222">
        <f t="shared" si="29"/>
        <v>42</v>
      </c>
      <c r="B1210" s="268" t="s">
        <v>997</v>
      </c>
      <c r="C1210" s="206" t="s">
        <v>63</v>
      </c>
      <c r="D1210" s="49" t="s">
        <v>182</v>
      </c>
      <c r="E1210" s="135"/>
      <c r="F1210" s="177" t="s">
        <v>182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0"/>
        <v>S_042</v>
      </c>
      <c r="K1210" s="117"/>
    </row>
    <row r="1211" spans="1:11">
      <c r="A1211" s="222">
        <f t="shared" si="29"/>
        <v>43</v>
      </c>
      <c r="B1211" s="268" t="s">
        <v>998</v>
      </c>
      <c r="C1211" s="206" t="s">
        <v>63</v>
      </c>
      <c r="D1211" s="49" t="s">
        <v>182</v>
      </c>
      <c r="E1211" s="135"/>
      <c r="F1211" s="177" t="s">
        <v>182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0"/>
        <v>S_043</v>
      </c>
      <c r="K1211" s="117"/>
    </row>
    <row r="1212" spans="1:11">
      <c r="A1212" s="222">
        <f t="shared" si="29"/>
        <v>44</v>
      </c>
      <c r="B1212" s="268" t="s">
        <v>999</v>
      </c>
      <c r="C1212" s="206" t="s">
        <v>63</v>
      </c>
      <c r="D1212" s="49" t="s">
        <v>182</v>
      </c>
      <c r="E1212" s="135"/>
      <c r="F1212" s="177" t="s">
        <v>182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0"/>
        <v>S_044</v>
      </c>
      <c r="K1212" s="117"/>
    </row>
    <row r="1213" spans="1:11">
      <c r="A1213" s="222">
        <f t="shared" si="29"/>
        <v>45</v>
      </c>
      <c r="B1213" s="268" t="s">
        <v>1000</v>
      </c>
      <c r="C1213" s="206" t="s">
        <v>63</v>
      </c>
      <c r="D1213" s="49" t="s">
        <v>182</v>
      </c>
      <c r="E1213" s="135"/>
      <c r="F1213" s="177" t="s">
        <v>182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0"/>
        <v>S_045</v>
      </c>
      <c r="K1213" s="117"/>
    </row>
    <row r="1214" spans="1:11">
      <c r="A1214" s="222">
        <f t="shared" si="29"/>
        <v>46</v>
      </c>
      <c r="B1214" s="268" t="s">
        <v>1001</v>
      </c>
      <c r="C1214" s="206" t="s">
        <v>63</v>
      </c>
      <c r="D1214" s="49" t="s">
        <v>182</v>
      </c>
      <c r="E1214" s="135"/>
      <c r="F1214" s="177" t="s">
        <v>182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0"/>
        <v>S_046</v>
      </c>
      <c r="K1214" s="117"/>
    </row>
    <row r="1215" spans="1:11">
      <c r="A1215" s="222">
        <f t="shared" si="29"/>
        <v>47</v>
      </c>
      <c r="B1215" s="268" t="s">
        <v>1002</v>
      </c>
      <c r="C1215" s="206" t="s">
        <v>63</v>
      </c>
      <c r="D1215" s="49" t="s">
        <v>182</v>
      </c>
      <c r="E1215" s="135"/>
      <c r="F1215" s="177" t="s">
        <v>182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0"/>
        <v>S_047</v>
      </c>
      <c r="K1215" s="117"/>
    </row>
    <row r="1216" spans="1:11">
      <c r="A1216" s="222">
        <f t="shared" si="29"/>
        <v>48</v>
      </c>
      <c r="B1216" s="268" t="s">
        <v>1003</v>
      </c>
      <c r="C1216" s="206" t="s">
        <v>63</v>
      </c>
      <c r="D1216" s="49" t="s">
        <v>182</v>
      </c>
      <c r="E1216" s="135"/>
      <c r="F1216" s="177" t="s">
        <v>182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0"/>
        <v>S_048</v>
      </c>
      <c r="K1216" s="117"/>
    </row>
    <row r="1217" spans="1:11" ht="30">
      <c r="A1217" s="222">
        <f t="shared" si="29"/>
        <v>49</v>
      </c>
      <c r="B1217" s="268" t="s">
        <v>1004</v>
      </c>
      <c r="C1217" s="206" t="s">
        <v>63</v>
      </c>
      <c r="D1217" s="49" t="s">
        <v>182</v>
      </c>
      <c r="E1217" s="135"/>
      <c r="F1217" s="177" t="s">
        <v>182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0"/>
        <v>S_049</v>
      </c>
      <c r="K1217" s="117"/>
    </row>
    <row r="1218" spans="1:11">
      <c r="A1218" s="222">
        <f t="shared" si="29"/>
        <v>50</v>
      </c>
      <c r="B1218" s="268" t="s">
        <v>1005</v>
      </c>
      <c r="C1218" s="206" t="s">
        <v>63</v>
      </c>
      <c r="D1218" s="49" t="s">
        <v>182</v>
      </c>
      <c r="E1218" s="135"/>
      <c r="F1218" s="177" t="s">
        <v>182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0"/>
        <v>S_050</v>
      </c>
      <c r="K1218" s="117"/>
    </row>
    <row r="1219" spans="1:11">
      <c r="A1219" s="222">
        <f t="shared" si="29"/>
        <v>51</v>
      </c>
      <c r="B1219" s="268" t="s">
        <v>1006</v>
      </c>
      <c r="C1219" s="206" t="s">
        <v>63</v>
      </c>
      <c r="D1219" s="49" t="s">
        <v>182</v>
      </c>
      <c r="E1219" s="135"/>
      <c r="F1219" s="177" t="s">
        <v>182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0"/>
        <v>S_051</v>
      </c>
      <c r="K1219" s="117"/>
    </row>
    <row r="1220" spans="1:11">
      <c r="A1220" s="222">
        <f t="shared" si="29"/>
        <v>52</v>
      </c>
      <c r="B1220" s="268" t="s">
        <v>1007</v>
      </c>
      <c r="C1220" s="206" t="s">
        <v>63</v>
      </c>
      <c r="D1220" s="49" t="s">
        <v>182</v>
      </c>
      <c r="E1220" s="135"/>
      <c r="F1220" s="177" t="s">
        <v>182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0"/>
        <v>S_052</v>
      </c>
      <c r="K1220" s="117"/>
    </row>
    <row r="1221" spans="1:11">
      <c r="A1221" s="222">
        <f t="shared" si="29"/>
        <v>53</v>
      </c>
      <c r="B1221" s="196" t="s">
        <v>1008</v>
      </c>
      <c r="C1221" s="206" t="s">
        <v>63</v>
      </c>
      <c r="D1221" s="49" t="s">
        <v>182</v>
      </c>
      <c r="E1221" s="135"/>
      <c r="F1221" s="177" t="s">
        <v>182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0"/>
        <v>S_053</v>
      </c>
      <c r="K1221" s="117"/>
    </row>
    <row r="1222" spans="1:11">
      <c r="A1222" s="222">
        <f t="shared" si="29"/>
        <v>54</v>
      </c>
      <c r="B1222" s="196" t="s">
        <v>1009</v>
      </c>
      <c r="C1222" s="206" t="s">
        <v>63</v>
      </c>
      <c r="D1222" s="49" t="s">
        <v>182</v>
      </c>
      <c r="E1222" s="44"/>
      <c r="F1222" s="177" t="s">
        <v>182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0"/>
        <v>S_054</v>
      </c>
      <c r="K1222" s="117"/>
    </row>
    <row r="1223" spans="1:11">
      <c r="A1223" s="222">
        <f t="shared" si="29"/>
        <v>55</v>
      </c>
      <c r="B1223" s="220" t="s">
        <v>1010</v>
      </c>
      <c r="C1223" s="206" t="s">
        <v>63</v>
      </c>
      <c r="D1223" s="49" t="s">
        <v>182</v>
      </c>
      <c r="E1223" s="135"/>
      <c r="F1223" s="177" t="s">
        <v>182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0"/>
        <v>S_055</v>
      </c>
      <c r="K1223" s="117"/>
    </row>
    <row r="1224" spans="1:11" ht="30">
      <c r="A1224" s="222">
        <f t="shared" si="29"/>
        <v>56</v>
      </c>
      <c r="B1224" s="220" t="s">
        <v>1011</v>
      </c>
      <c r="C1224" s="206" t="s">
        <v>63</v>
      </c>
      <c r="D1224" s="49" t="s">
        <v>182</v>
      </c>
      <c r="E1224" s="135">
        <v>18633.3</v>
      </c>
      <c r="F1224" s="177" t="s">
        <v>182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0"/>
        <v>S_056</v>
      </c>
      <c r="K1224" s="117"/>
    </row>
    <row r="1225" spans="1:11" ht="30">
      <c r="A1225" s="222">
        <f t="shared" si="29"/>
        <v>57</v>
      </c>
      <c r="B1225" s="220" t="s">
        <v>1012</v>
      </c>
      <c r="C1225" s="206" t="s">
        <v>63</v>
      </c>
      <c r="D1225" s="49" t="s">
        <v>182</v>
      </c>
      <c r="E1225" s="135">
        <v>8550</v>
      </c>
      <c r="F1225" s="177" t="s">
        <v>182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0"/>
        <v>S_057</v>
      </c>
      <c r="K1225" s="117"/>
    </row>
    <row r="1226" spans="1:11" ht="30">
      <c r="A1226" s="222">
        <f t="shared" si="29"/>
        <v>58</v>
      </c>
      <c r="B1226" s="220" t="s">
        <v>1013</v>
      </c>
      <c r="C1226" s="206" t="s">
        <v>63</v>
      </c>
      <c r="D1226" s="49" t="s">
        <v>182</v>
      </c>
      <c r="E1226" s="135">
        <v>14000</v>
      </c>
      <c r="F1226" s="177" t="s">
        <v>182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0"/>
        <v>S_058</v>
      </c>
      <c r="K1226" s="117"/>
    </row>
    <row r="1227" spans="1:11">
      <c r="A1227" s="222">
        <f t="shared" si="29"/>
        <v>59</v>
      </c>
      <c r="B1227" s="220" t="s">
        <v>1014</v>
      </c>
      <c r="C1227" s="206" t="s">
        <v>63</v>
      </c>
      <c r="D1227" s="49" t="s">
        <v>182</v>
      </c>
      <c r="E1227" s="135"/>
      <c r="F1227" s="177" t="s">
        <v>182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0"/>
        <v>S_059</v>
      </c>
      <c r="K1227" s="117"/>
    </row>
    <row r="1228" spans="1:11">
      <c r="A1228" s="222">
        <f t="shared" si="29"/>
        <v>60</v>
      </c>
      <c r="B1228" s="220" t="s">
        <v>1015</v>
      </c>
      <c r="C1228" s="206" t="s">
        <v>63</v>
      </c>
      <c r="D1228" s="49" t="s">
        <v>182</v>
      </c>
      <c r="E1228" s="135"/>
      <c r="F1228" s="177" t="s">
        <v>182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0"/>
        <v>S_060</v>
      </c>
      <c r="K1228" s="117"/>
    </row>
    <row r="1229" spans="1:11">
      <c r="A1229" s="222">
        <f t="shared" si="29"/>
        <v>61</v>
      </c>
      <c r="B1229" s="220" t="s">
        <v>1016</v>
      </c>
      <c r="C1229" s="206" t="s">
        <v>63</v>
      </c>
      <c r="D1229" s="49" t="s">
        <v>182</v>
      </c>
      <c r="E1229" s="135"/>
      <c r="F1229" s="177" t="s">
        <v>182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0"/>
        <v>S_061</v>
      </c>
      <c r="K1229" s="117"/>
    </row>
    <row r="1230" spans="1:11" ht="30">
      <c r="A1230" s="222">
        <f t="shared" si="29"/>
        <v>62</v>
      </c>
      <c r="B1230" s="220" t="s">
        <v>1017</v>
      </c>
      <c r="C1230" s="206" t="s">
        <v>63</v>
      </c>
      <c r="D1230" s="49" t="s">
        <v>182</v>
      </c>
      <c r="E1230" s="135">
        <v>24800</v>
      </c>
      <c r="F1230" s="177" t="s">
        <v>182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0"/>
        <v>S_062</v>
      </c>
      <c r="K1230" s="96"/>
    </row>
    <row r="1231" spans="1:11">
      <c r="A1231" s="234"/>
      <c r="B1231" s="220"/>
      <c r="C1231" s="274"/>
      <c r="D1231" s="261"/>
      <c r="E1231" s="235"/>
      <c r="F1231" s="275"/>
      <c r="G1231" s="262"/>
      <c r="H1231" s="263"/>
      <c r="I1231" s="263"/>
      <c r="J1231" s="4"/>
    </row>
    <row r="1232" spans="1:11">
      <c r="A1232" s="234"/>
      <c r="B1232" s="220"/>
      <c r="C1232" s="274"/>
      <c r="D1232" s="261"/>
      <c r="E1232" s="235"/>
      <c r="F1232" s="275"/>
      <c r="G1232" s="262"/>
      <c r="H1232" s="263"/>
      <c r="I1232" s="263"/>
      <c r="J1232" s="4"/>
    </row>
    <row r="1233" spans="1:10">
      <c r="A1233" s="234"/>
      <c r="B1233" s="220"/>
      <c r="C1233" s="274"/>
      <c r="D1233" s="261"/>
      <c r="E1233" s="235"/>
      <c r="F1233" s="275"/>
      <c r="G1233" s="262"/>
      <c r="H1233" s="263"/>
      <c r="I1233" s="263"/>
      <c r="J1233" s="4"/>
    </row>
    <row r="1234" spans="1:10">
      <c r="A1234" s="234"/>
      <c r="B1234" s="220"/>
      <c r="C1234" s="274"/>
      <c r="D1234" s="261"/>
      <c r="E1234" s="235"/>
      <c r="F1234" s="275"/>
      <c r="G1234" s="262"/>
      <c r="H1234" s="263"/>
      <c r="I1234" s="263"/>
      <c r="J1234" s="4"/>
    </row>
    <row r="1235" spans="1:10">
      <c r="A1235" s="234"/>
      <c r="B1235" s="220"/>
      <c r="C1235" s="274"/>
      <c r="D1235" s="261"/>
      <c r="E1235" s="235"/>
      <c r="F1235" s="275"/>
      <c r="G1235" s="262"/>
      <c r="H1235" s="263"/>
      <c r="I1235" s="263"/>
      <c r="J1235" s="4"/>
    </row>
    <row r="1236" spans="1:10">
      <c r="A1236" s="234"/>
      <c r="B1236" s="220"/>
      <c r="C1236" s="274"/>
      <c r="D1236" s="261"/>
      <c r="E1236" s="235"/>
      <c r="F1236" s="275"/>
      <c r="G1236" s="262"/>
      <c r="H1236" s="263"/>
      <c r="I1236" s="263"/>
      <c r="J1236" s="4"/>
    </row>
    <row r="1237" spans="1:10">
      <c r="A1237" s="234"/>
      <c r="B1237" s="220"/>
      <c r="C1237" s="274"/>
      <c r="D1237" s="261"/>
      <c r="E1237" s="235"/>
      <c r="F1237" s="275"/>
      <c r="G1237" s="262"/>
      <c r="H1237" s="263"/>
      <c r="I1237" s="263"/>
      <c r="J1237" s="4"/>
    </row>
    <row r="1238" spans="1:10">
      <c r="A1238" s="234"/>
      <c r="B1238" s="220"/>
      <c r="C1238" s="274"/>
      <c r="D1238" s="261"/>
      <c r="E1238" s="235"/>
      <c r="F1238" s="275"/>
      <c r="G1238" s="262"/>
      <c r="H1238" s="263"/>
      <c r="I1238" s="263"/>
      <c r="J1238" s="4"/>
    </row>
    <row r="1239" spans="1:10">
      <c r="A1239" s="234"/>
      <c r="B1239" s="220"/>
      <c r="C1239" s="274"/>
      <c r="D1239" s="261"/>
      <c r="E1239" s="235"/>
      <c r="F1239" s="275"/>
      <c r="G1239" s="262"/>
      <c r="H1239" s="263"/>
      <c r="I1239" s="263"/>
      <c r="J1239" s="4"/>
    </row>
    <row r="1240" spans="1:10">
      <c r="A1240" s="234"/>
      <c r="B1240" s="220"/>
      <c r="C1240" s="274"/>
      <c r="D1240" s="261"/>
      <c r="E1240" s="235"/>
      <c r="F1240" s="275"/>
      <c r="G1240" s="262"/>
      <c r="H1240" s="263"/>
      <c r="I1240" s="263"/>
      <c r="J1240" s="4"/>
    </row>
    <row r="1241" spans="1:10">
      <c r="A1241" s="234"/>
      <c r="B1241" s="220"/>
      <c r="C1241" s="274"/>
      <c r="D1241" s="261"/>
      <c r="E1241" s="235"/>
      <c r="F1241" s="275"/>
      <c r="G1241" s="262"/>
      <c r="H1241" s="263"/>
      <c r="I1241" s="263"/>
      <c r="J1241" s="4"/>
    </row>
    <row r="1242" spans="1:10">
      <c r="A1242" s="234"/>
      <c r="B1242" s="220"/>
      <c r="C1242" s="274"/>
      <c r="D1242" s="261"/>
      <c r="E1242" s="235"/>
      <c r="F1242" s="275"/>
      <c r="G1242" s="262"/>
      <c r="H1242" s="263"/>
      <c r="I1242" s="263"/>
      <c r="J1242" s="4"/>
    </row>
    <row r="1243" spans="1:10">
      <c r="A1243" s="234"/>
      <c r="B1243" s="220"/>
      <c r="C1243" s="274"/>
      <c r="D1243" s="261"/>
      <c r="E1243" s="235"/>
      <c r="F1243" s="275"/>
      <c r="G1243" s="262"/>
      <c r="H1243" s="263"/>
      <c r="I1243" s="263"/>
      <c r="J1243" s="4"/>
    </row>
    <row r="1244" spans="1:10">
      <c r="A1244" s="234"/>
      <c r="B1244" s="220"/>
      <c r="C1244" s="274"/>
      <c r="D1244" s="261"/>
      <c r="E1244" s="235"/>
      <c r="F1244" s="275"/>
      <c r="G1244" s="262"/>
      <c r="H1244" s="263"/>
      <c r="I1244" s="263"/>
      <c r="J1244" s="4"/>
    </row>
    <row r="1245" spans="1:10">
      <c r="A1245" s="234"/>
      <c r="B1245" s="220"/>
      <c r="C1245" s="274"/>
      <c r="D1245" s="261"/>
      <c r="E1245" s="235"/>
      <c r="F1245" s="275"/>
      <c r="G1245" s="262"/>
      <c r="H1245" s="263"/>
      <c r="I1245" s="263"/>
      <c r="J1245" s="4"/>
    </row>
    <row r="1246" spans="1:10">
      <c r="A1246" s="234"/>
      <c r="B1246" s="220"/>
      <c r="C1246" s="274"/>
      <c r="D1246" s="261"/>
      <c r="E1246" s="235"/>
      <c r="F1246" s="275"/>
      <c r="G1246" s="262"/>
      <c r="H1246" s="263"/>
      <c r="I1246" s="263"/>
      <c r="J1246" s="4"/>
    </row>
    <row r="1247" spans="1:10">
      <c r="A1247" s="234"/>
      <c r="B1247" s="220"/>
      <c r="C1247" s="274"/>
      <c r="D1247" s="261"/>
      <c r="E1247" s="235"/>
      <c r="F1247" s="275"/>
      <c r="G1247" s="262"/>
      <c r="H1247" s="263"/>
      <c r="I1247" s="263"/>
      <c r="J1247" s="4"/>
    </row>
    <row r="1248" spans="1:10">
      <c r="A1248" s="234"/>
      <c r="B1248" s="220"/>
      <c r="C1248" s="274"/>
      <c r="D1248" s="261"/>
      <c r="E1248" s="235"/>
      <c r="F1248" s="275"/>
      <c r="G1248" s="262"/>
      <c r="H1248" s="263"/>
      <c r="I1248" s="263"/>
      <c r="J1248" s="4"/>
    </row>
    <row r="1249" spans="1:10">
      <c r="A1249" s="234"/>
      <c r="B1249" s="220"/>
      <c r="C1249" s="274"/>
      <c r="D1249" s="261"/>
      <c r="E1249" s="235"/>
      <c r="F1249" s="275"/>
      <c r="G1249" s="262"/>
      <c r="H1249" s="263"/>
      <c r="I1249" s="263"/>
      <c r="J1249" s="4"/>
    </row>
    <row r="1250" spans="1:10">
      <c r="A1250" s="234"/>
      <c r="B1250" s="220"/>
      <c r="C1250" s="274"/>
      <c r="D1250" s="261"/>
      <c r="E1250" s="235"/>
      <c r="F1250" s="275"/>
      <c r="G1250" s="262"/>
      <c r="H1250" s="263"/>
      <c r="I1250" s="263"/>
      <c r="J1250" s="4"/>
    </row>
    <row r="1251" spans="1:10">
      <c r="A1251" s="234"/>
      <c r="B1251" s="220"/>
      <c r="C1251" s="274"/>
      <c r="D1251" s="261"/>
      <c r="E1251" s="235"/>
      <c r="F1251" s="275"/>
      <c r="G1251" s="262"/>
      <c r="H1251" s="263"/>
      <c r="I1251" s="263"/>
      <c r="J1251" s="4"/>
    </row>
    <row r="1252" spans="1:10">
      <c r="A1252" s="234"/>
      <c r="B1252" s="220"/>
      <c r="C1252" s="274"/>
      <c r="D1252" s="261"/>
      <c r="E1252" s="235"/>
      <c r="F1252" s="275"/>
      <c r="G1252" s="262"/>
      <c r="H1252" s="263"/>
      <c r="I1252" s="263"/>
      <c r="J1252" s="4"/>
    </row>
    <row r="1253" spans="1:10">
      <c r="A1253" s="234"/>
      <c r="B1253" s="220"/>
      <c r="C1253" s="274"/>
      <c r="D1253" s="261"/>
      <c r="E1253" s="235"/>
      <c r="F1253" s="275"/>
      <c r="G1253" s="262"/>
      <c r="H1253" s="263"/>
      <c r="I1253" s="263"/>
      <c r="J1253" s="4"/>
    </row>
    <row r="1254" spans="1:10">
      <c r="A1254" s="234"/>
      <c r="B1254" s="220"/>
      <c r="C1254" s="274"/>
      <c r="D1254" s="261"/>
      <c r="E1254" s="235"/>
      <c r="F1254" s="275"/>
      <c r="G1254" s="262"/>
      <c r="H1254" s="263"/>
      <c r="I1254" s="263"/>
      <c r="J1254" s="4"/>
    </row>
    <row r="1255" spans="1:10">
      <c r="A1255" s="234"/>
      <c r="B1255" s="220"/>
      <c r="C1255" s="274"/>
      <c r="D1255" s="261"/>
      <c r="E1255" s="235"/>
      <c r="F1255" s="275"/>
      <c r="G1255" s="262"/>
      <c r="H1255" s="263"/>
      <c r="I1255" s="263"/>
      <c r="J1255" s="4"/>
    </row>
    <row r="1256" spans="1:10">
      <c r="A1256" s="234"/>
      <c r="B1256" s="220"/>
      <c r="C1256" s="274"/>
      <c r="D1256" s="261"/>
      <c r="E1256" s="235"/>
      <c r="F1256" s="275"/>
      <c r="G1256" s="262"/>
      <c r="H1256" s="263"/>
      <c r="I1256" s="263"/>
      <c r="J1256" s="4"/>
    </row>
    <row r="1257" spans="1:10">
      <c r="A1257" s="234"/>
      <c r="B1257" s="220"/>
      <c r="C1257" s="274"/>
      <c r="D1257" s="261"/>
      <c r="E1257" s="235"/>
      <c r="F1257" s="275"/>
      <c r="G1257" s="262"/>
      <c r="H1257" s="263"/>
      <c r="I1257" s="263"/>
      <c r="J1257" s="4"/>
    </row>
    <row r="1258" spans="1:10">
      <c r="A1258" s="234"/>
      <c r="B1258" s="220"/>
      <c r="C1258" s="274"/>
      <c r="D1258" s="261"/>
      <c r="E1258" s="235"/>
      <c r="F1258" s="275"/>
      <c r="G1258" s="262"/>
      <c r="H1258" s="263"/>
      <c r="I1258" s="263"/>
      <c r="J1258" s="4"/>
    </row>
    <row r="1259" spans="1:10">
      <c r="A1259" s="234"/>
      <c r="B1259" s="220"/>
      <c r="C1259" s="274"/>
      <c r="D1259" s="261"/>
      <c r="E1259" s="235"/>
      <c r="F1259" s="275"/>
      <c r="G1259" s="262"/>
      <c r="H1259" s="263"/>
      <c r="I1259" s="263"/>
      <c r="J1259" s="4"/>
    </row>
    <row r="1260" spans="1:10">
      <c r="A1260" s="234"/>
      <c r="B1260" s="220"/>
      <c r="C1260" s="274"/>
      <c r="D1260" s="261"/>
      <c r="E1260" s="235"/>
      <c r="F1260" s="275"/>
      <c r="G1260" s="262"/>
      <c r="H1260" s="263"/>
      <c r="I1260" s="263"/>
      <c r="J1260" s="4"/>
    </row>
    <row r="1261" spans="1:10">
      <c r="A1261" s="234"/>
      <c r="B1261" s="220"/>
      <c r="C1261" s="274"/>
      <c r="D1261" s="261"/>
      <c r="E1261" s="235"/>
      <c r="F1261" s="275"/>
      <c r="G1261" s="262"/>
      <c r="H1261" s="263"/>
      <c r="I1261" s="263"/>
      <c r="J1261" s="4"/>
    </row>
    <row r="1262" spans="1:10">
      <c r="A1262" s="234"/>
      <c r="B1262" s="220"/>
      <c r="C1262" s="274"/>
      <c r="D1262" s="261"/>
      <c r="E1262" s="235"/>
      <c r="F1262" s="275"/>
      <c r="G1262" s="262"/>
      <c r="H1262" s="263"/>
      <c r="I1262" s="263"/>
      <c r="J1262" s="4"/>
    </row>
    <row r="1263" spans="1:10">
      <c r="A1263" s="234"/>
      <c r="B1263" s="220"/>
      <c r="C1263" s="274"/>
      <c r="D1263" s="261"/>
      <c r="E1263" s="235"/>
      <c r="F1263" s="275"/>
      <c r="G1263" s="262"/>
      <c r="H1263" s="263"/>
      <c r="I1263" s="263"/>
      <c r="J1263" s="4"/>
    </row>
    <row r="1264" spans="1:10">
      <c r="A1264" s="234"/>
      <c r="B1264" s="220"/>
      <c r="C1264" s="274"/>
      <c r="D1264" s="261"/>
      <c r="E1264" s="235"/>
      <c r="F1264" s="275"/>
      <c r="G1264" s="262"/>
      <c r="H1264" s="263"/>
      <c r="I1264" s="263"/>
      <c r="J1264" s="4"/>
    </row>
    <row r="1265" spans="1:11">
      <c r="A1265" s="234"/>
      <c r="B1265" s="220"/>
      <c r="C1265" s="274"/>
      <c r="D1265" s="261"/>
      <c r="E1265" s="235"/>
      <c r="F1265" s="275"/>
      <c r="G1265" s="262"/>
      <c r="H1265" s="263"/>
      <c r="I1265" s="263"/>
      <c r="J1265" s="4"/>
    </row>
    <row r="1266" spans="1:11">
      <c r="A1266" s="234"/>
      <c r="B1266" s="220"/>
      <c r="C1266" s="274"/>
      <c r="D1266" s="261"/>
      <c r="E1266" s="235"/>
      <c r="F1266" s="275"/>
      <c r="G1266" s="262"/>
      <c r="H1266" s="263"/>
      <c r="I1266" s="263"/>
      <c r="J1266" s="4"/>
    </row>
    <row r="1267" spans="1:11">
      <c r="A1267" s="234"/>
      <c r="B1267" s="220"/>
      <c r="C1267" s="274"/>
      <c r="D1267" s="261"/>
      <c r="E1267" s="235"/>
      <c r="F1267" s="275"/>
      <c r="G1267" s="262"/>
      <c r="H1267" s="263"/>
      <c r="I1267" s="263"/>
      <c r="J1267" s="4"/>
    </row>
    <row r="1268" spans="1:11">
      <c r="A1268" s="234"/>
      <c r="B1268" s="220"/>
      <c r="C1268" s="274"/>
      <c r="D1268" s="261"/>
      <c r="E1268" s="235"/>
      <c r="F1268" s="275"/>
      <c r="G1268" s="262"/>
      <c r="H1268" s="263"/>
      <c r="I1268" s="263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75">
      <c r="A1272" s="76"/>
      <c r="B1272" s="77" t="s">
        <v>128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.7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99</v>
      </c>
      <c r="B1275" s="287">
        <f>SUBTOTAL(3,(B1277:B1316))</f>
        <v>40</v>
      </c>
      <c r="C1275" s="490"/>
      <c r="D1275" s="490"/>
      <c r="E1275"/>
      <c r="F1275" s="178"/>
      <c r="H1275"/>
      <c r="I1275"/>
    </row>
    <row r="1276" spans="1:11" ht="47.25">
      <c r="A1276" s="78" t="s">
        <v>79</v>
      </c>
      <c r="B1276" s="195" t="s">
        <v>101</v>
      </c>
      <c r="C1276" s="191" t="s">
        <v>102</v>
      </c>
      <c r="D1276" s="192" t="s">
        <v>103</v>
      </c>
      <c r="E1276" s="68" t="s">
        <v>104</v>
      </c>
      <c r="F1276" s="176" t="s">
        <v>105</v>
      </c>
      <c r="G1276" s="70" t="s">
        <v>106</v>
      </c>
      <c r="H1276" s="71" t="s">
        <v>107</v>
      </c>
      <c r="I1276" s="71" t="s">
        <v>108</v>
      </c>
      <c r="J1276" s="73" t="s">
        <v>109</v>
      </c>
      <c r="K1276" s="255" t="s">
        <v>110</v>
      </c>
    </row>
    <row r="1277" spans="1:11" ht="30">
      <c r="A1277" s="80">
        <v>1</v>
      </c>
      <c r="B1277" s="196" t="s">
        <v>1018</v>
      </c>
      <c r="C1277" s="38" t="s">
        <v>1019</v>
      </c>
      <c r="D1277" s="49" t="s">
        <v>118</v>
      </c>
      <c r="E1277" s="44">
        <v>88750</v>
      </c>
      <c r="F1277" s="177" t="s">
        <v>118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1">CONCATENATE(LEFT(C1277,1),"_",TEXT(A1277,"000"))</f>
        <v>H_001</v>
      </c>
      <c r="K1277" s="117"/>
    </row>
    <row r="1278" spans="1:11" ht="30">
      <c r="A1278" s="80">
        <f>A1277+1</f>
        <v>2</v>
      </c>
      <c r="B1278" s="196" t="s">
        <v>1020</v>
      </c>
      <c r="C1278" s="38" t="s">
        <v>1019</v>
      </c>
      <c r="D1278" s="49" t="s">
        <v>118</v>
      </c>
      <c r="E1278" s="44">
        <v>18000</v>
      </c>
      <c r="F1278" s="177" t="s">
        <v>118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1"/>
        <v>H_002</v>
      </c>
      <c r="K1278" s="117"/>
    </row>
    <row r="1279" spans="1:11" ht="30">
      <c r="A1279" s="80">
        <f t="shared" ref="A1279:A1316" si="32">A1278+1</f>
        <v>3</v>
      </c>
      <c r="B1279" s="196" t="s">
        <v>1021</v>
      </c>
      <c r="C1279" s="38" t="s">
        <v>1019</v>
      </c>
      <c r="D1279" s="49" t="s">
        <v>118</v>
      </c>
      <c r="E1279" s="44">
        <v>48900</v>
      </c>
      <c r="F1279" s="177" t="s">
        <v>118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1"/>
        <v>H_003</v>
      </c>
      <c r="K1279" s="117"/>
    </row>
    <row r="1280" spans="1:11" ht="30">
      <c r="A1280" s="80">
        <f t="shared" si="32"/>
        <v>4</v>
      </c>
      <c r="B1280" s="196" t="s">
        <v>1022</v>
      </c>
      <c r="C1280" s="38" t="s">
        <v>1019</v>
      </c>
      <c r="D1280" s="49" t="s">
        <v>118</v>
      </c>
      <c r="E1280" s="44">
        <v>5150</v>
      </c>
      <c r="F1280" s="177" t="s">
        <v>118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1"/>
        <v>H_004</v>
      </c>
      <c r="K1280" s="117"/>
    </row>
    <row r="1281" spans="1:11" ht="30">
      <c r="A1281" s="80">
        <f t="shared" si="32"/>
        <v>5</v>
      </c>
      <c r="B1281" s="196" t="s">
        <v>1023</v>
      </c>
      <c r="C1281" s="38" t="s">
        <v>1019</v>
      </c>
      <c r="D1281" s="49" t="s">
        <v>118</v>
      </c>
      <c r="E1281" s="44">
        <v>6400</v>
      </c>
      <c r="F1281" s="177" t="s">
        <v>118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1"/>
        <v>H_005</v>
      </c>
      <c r="K1281" s="117"/>
    </row>
    <row r="1282" spans="1:11" ht="30">
      <c r="A1282" s="80">
        <f t="shared" si="32"/>
        <v>6</v>
      </c>
      <c r="B1282" s="196" t="s">
        <v>1024</v>
      </c>
      <c r="C1282" s="38" t="s">
        <v>1019</v>
      </c>
      <c r="D1282" s="49" t="s">
        <v>182</v>
      </c>
      <c r="E1282" s="44">
        <v>61500</v>
      </c>
      <c r="F1282" s="177" t="s">
        <v>182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1"/>
        <v>H_006</v>
      </c>
      <c r="K1282" s="117"/>
    </row>
    <row r="1283" spans="1:11" ht="45">
      <c r="A1283" s="80">
        <f t="shared" si="32"/>
        <v>7</v>
      </c>
      <c r="B1283" s="196" t="s">
        <v>1025</v>
      </c>
      <c r="C1283" s="38" t="s">
        <v>1019</v>
      </c>
      <c r="D1283" s="49" t="s">
        <v>118</v>
      </c>
      <c r="E1283" s="44">
        <v>48683.375</v>
      </c>
      <c r="F1283" s="177" t="s">
        <v>118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1"/>
        <v>H_007</v>
      </c>
      <c r="K1283" s="117"/>
    </row>
    <row r="1284" spans="1:11" ht="30">
      <c r="A1284" s="80">
        <f t="shared" si="32"/>
        <v>8</v>
      </c>
      <c r="B1284" s="272" t="s">
        <v>1026</v>
      </c>
      <c r="C1284" s="38" t="s">
        <v>1019</v>
      </c>
      <c r="D1284" s="49" t="s">
        <v>182</v>
      </c>
      <c r="E1284" s="44"/>
      <c r="F1284" s="49" t="s">
        <v>182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1"/>
        <v>H_008</v>
      </c>
      <c r="K1284" s="117"/>
    </row>
    <row r="1285" spans="1:11" ht="30">
      <c r="A1285" s="80">
        <f t="shared" si="32"/>
        <v>9</v>
      </c>
      <c r="B1285" s="272" t="s">
        <v>1027</v>
      </c>
      <c r="C1285" s="38" t="s">
        <v>1019</v>
      </c>
      <c r="D1285" s="49" t="s">
        <v>182</v>
      </c>
      <c r="E1285" s="44"/>
      <c r="F1285" s="49" t="s">
        <v>182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1"/>
        <v>H_009</v>
      </c>
      <c r="K1285" s="117"/>
    </row>
    <row r="1286" spans="1:11" ht="30">
      <c r="A1286" s="80">
        <f t="shared" si="32"/>
        <v>10</v>
      </c>
      <c r="B1286" s="272" t="s">
        <v>1028</v>
      </c>
      <c r="C1286" s="38" t="s">
        <v>1019</v>
      </c>
      <c r="D1286" s="49" t="s">
        <v>182</v>
      </c>
      <c r="E1286" s="44"/>
      <c r="F1286" s="49" t="s">
        <v>182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1"/>
        <v>H_010</v>
      </c>
      <c r="K1286" s="117"/>
    </row>
    <row r="1287" spans="1:11" ht="30">
      <c r="A1287" s="80">
        <f t="shared" si="32"/>
        <v>11</v>
      </c>
      <c r="B1287" s="272" t="s">
        <v>1029</v>
      </c>
      <c r="C1287" s="38" t="s">
        <v>1019</v>
      </c>
      <c r="D1287" s="49" t="s">
        <v>182</v>
      </c>
      <c r="E1287" s="44"/>
      <c r="F1287" s="49" t="s">
        <v>182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1"/>
        <v>H_011</v>
      </c>
      <c r="K1287" s="117"/>
    </row>
    <row r="1288" spans="1:11" ht="30">
      <c r="A1288" s="80">
        <f t="shared" si="32"/>
        <v>12</v>
      </c>
      <c r="B1288" s="272" t="s">
        <v>1030</v>
      </c>
      <c r="C1288" s="38" t="s">
        <v>1019</v>
      </c>
      <c r="D1288" s="49" t="s">
        <v>182</v>
      </c>
      <c r="E1288" s="44"/>
      <c r="F1288" s="49" t="s">
        <v>182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1"/>
        <v>H_012</v>
      </c>
      <c r="K1288" s="117"/>
    </row>
    <row r="1289" spans="1:11" ht="30">
      <c r="A1289" s="80">
        <f t="shared" si="32"/>
        <v>13</v>
      </c>
      <c r="B1289" s="272" t="s">
        <v>1031</v>
      </c>
      <c r="C1289" s="38" t="s">
        <v>1019</v>
      </c>
      <c r="D1289" s="49" t="s">
        <v>182</v>
      </c>
      <c r="E1289" s="44"/>
      <c r="F1289" s="49" t="s">
        <v>182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1"/>
        <v>H_013</v>
      </c>
      <c r="K1289" s="117"/>
    </row>
    <row r="1290" spans="1:11" ht="30">
      <c r="A1290" s="80">
        <f t="shared" si="32"/>
        <v>14</v>
      </c>
      <c r="B1290" s="272" t="s">
        <v>1032</v>
      </c>
      <c r="C1290" s="38" t="s">
        <v>1019</v>
      </c>
      <c r="D1290" s="49" t="s">
        <v>182</v>
      </c>
      <c r="E1290" s="44"/>
      <c r="F1290" s="49" t="s">
        <v>182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1"/>
        <v>H_014</v>
      </c>
      <c r="K1290" s="117"/>
    </row>
    <row r="1291" spans="1:11" ht="30">
      <c r="A1291" s="80">
        <f t="shared" si="32"/>
        <v>15</v>
      </c>
      <c r="B1291" s="272" t="s">
        <v>1033</v>
      </c>
      <c r="C1291" s="38" t="s">
        <v>1019</v>
      </c>
      <c r="D1291" s="49" t="s">
        <v>182</v>
      </c>
      <c r="E1291" s="44"/>
      <c r="F1291" s="49" t="s">
        <v>182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1"/>
        <v>H_015</v>
      </c>
      <c r="K1291" s="117"/>
    </row>
    <row r="1292" spans="1:11" ht="30">
      <c r="A1292" s="80">
        <f t="shared" si="32"/>
        <v>16</v>
      </c>
      <c r="B1292" s="272" t="s">
        <v>1034</v>
      </c>
      <c r="C1292" s="38" t="s">
        <v>1019</v>
      </c>
      <c r="D1292" s="49" t="s">
        <v>182</v>
      </c>
      <c r="E1292" s="44"/>
      <c r="F1292" s="49" t="s">
        <v>182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1"/>
        <v>H_016</v>
      </c>
      <c r="K1292" s="117"/>
    </row>
    <row r="1293" spans="1:11" ht="30">
      <c r="A1293" s="80">
        <f t="shared" si="32"/>
        <v>17</v>
      </c>
      <c r="B1293" s="272" t="s">
        <v>1035</v>
      </c>
      <c r="C1293" s="38" t="s">
        <v>1019</v>
      </c>
      <c r="D1293" s="49" t="s">
        <v>182</v>
      </c>
      <c r="E1293" s="44"/>
      <c r="F1293" s="49" t="s">
        <v>182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1"/>
        <v>H_017</v>
      </c>
      <c r="K1293" s="117"/>
    </row>
    <row r="1294" spans="1:11" ht="30">
      <c r="A1294" s="80">
        <f t="shared" si="32"/>
        <v>18</v>
      </c>
      <c r="B1294" s="272" t="s">
        <v>1036</v>
      </c>
      <c r="C1294" s="38" t="s">
        <v>1019</v>
      </c>
      <c r="D1294" s="49" t="s">
        <v>182</v>
      </c>
      <c r="E1294" s="44"/>
      <c r="F1294" s="49" t="s">
        <v>182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1"/>
        <v>H_018</v>
      </c>
      <c r="K1294" s="117"/>
    </row>
    <row r="1295" spans="1:11" ht="30">
      <c r="A1295" s="80">
        <f t="shared" si="32"/>
        <v>19</v>
      </c>
      <c r="B1295" s="272" t="s">
        <v>1037</v>
      </c>
      <c r="C1295" s="38" t="s">
        <v>1019</v>
      </c>
      <c r="D1295" s="49" t="s">
        <v>182</v>
      </c>
      <c r="E1295" s="44"/>
      <c r="F1295" s="49" t="s">
        <v>182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1"/>
        <v>H_019</v>
      </c>
      <c r="K1295" s="117"/>
    </row>
    <row r="1296" spans="1:11" ht="30">
      <c r="A1296" s="80">
        <f t="shared" si="32"/>
        <v>20</v>
      </c>
      <c r="B1296" s="272" t="s">
        <v>1038</v>
      </c>
      <c r="C1296" s="38" t="s">
        <v>1019</v>
      </c>
      <c r="D1296" s="49" t="s">
        <v>182</v>
      </c>
      <c r="E1296" s="44"/>
      <c r="F1296" s="49" t="s">
        <v>182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1"/>
        <v>H_020</v>
      </c>
      <c r="K1296" s="117"/>
    </row>
    <row r="1297" spans="1:11" ht="30">
      <c r="A1297" s="80">
        <f t="shared" si="32"/>
        <v>21</v>
      </c>
      <c r="B1297" s="196" t="s">
        <v>1039</v>
      </c>
      <c r="C1297" s="38" t="s">
        <v>1019</v>
      </c>
      <c r="D1297" s="49" t="s">
        <v>118</v>
      </c>
      <c r="E1297" s="44">
        <v>44533.333333333336</v>
      </c>
      <c r="F1297" s="177" t="s">
        <v>118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1"/>
        <v>H_021</v>
      </c>
      <c r="K1297" s="117"/>
    </row>
    <row r="1298" spans="1:11">
      <c r="A1298" s="80">
        <f t="shared" si="32"/>
        <v>22</v>
      </c>
      <c r="B1298" s="196" t="s">
        <v>1040</v>
      </c>
      <c r="C1298" s="38" t="s">
        <v>1019</v>
      </c>
      <c r="D1298" s="194" t="s">
        <v>118</v>
      </c>
      <c r="E1298" s="44">
        <v>30900</v>
      </c>
      <c r="F1298" s="177" t="s">
        <v>118</v>
      </c>
      <c r="G1298" s="9" t="str">
        <f>IF(BD!$E1285="","",(E1298/(H1298*I1298)))</f>
        <v/>
      </c>
      <c r="H1298" s="289">
        <v>1</v>
      </c>
      <c r="I1298" s="289">
        <v>1</v>
      </c>
      <c r="J1298" s="207" t="str">
        <f t="shared" si="31"/>
        <v>H_022</v>
      </c>
      <c r="K1298" s="117"/>
    </row>
    <row r="1299" spans="1:11">
      <c r="A1299" s="80">
        <f t="shared" si="32"/>
        <v>23</v>
      </c>
      <c r="B1299" s="272" t="s">
        <v>1041</v>
      </c>
      <c r="C1299" s="237" t="s">
        <v>1019</v>
      </c>
      <c r="D1299" s="238" t="s">
        <v>118</v>
      </c>
      <c r="E1299" s="44"/>
      <c r="F1299" s="49" t="s">
        <v>118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1"/>
        <v>H_023</v>
      </c>
      <c r="K1299" s="117"/>
    </row>
    <row r="1300" spans="1:11">
      <c r="A1300" s="80">
        <f t="shared" si="32"/>
        <v>24</v>
      </c>
      <c r="B1300" s="272" t="s">
        <v>1042</v>
      </c>
      <c r="C1300" s="237" t="s">
        <v>1019</v>
      </c>
      <c r="D1300" s="238" t="s">
        <v>118</v>
      </c>
      <c r="E1300" s="135"/>
      <c r="F1300" s="49" t="s">
        <v>118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1"/>
        <v>H_024</v>
      </c>
      <c r="K1300" s="117"/>
    </row>
    <row r="1301" spans="1:11" ht="30">
      <c r="A1301" s="80">
        <f t="shared" si="32"/>
        <v>25</v>
      </c>
      <c r="B1301" s="196" t="s">
        <v>1043</v>
      </c>
      <c r="C1301" s="237" t="s">
        <v>1019</v>
      </c>
      <c r="D1301" s="238" t="s">
        <v>1044</v>
      </c>
      <c r="E1301" s="135">
        <v>44500</v>
      </c>
      <c r="F1301" s="177" t="s">
        <v>118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1"/>
        <v>H_025</v>
      </c>
      <c r="K1301" s="117"/>
    </row>
    <row r="1302" spans="1:11">
      <c r="A1302" s="80">
        <f t="shared" si="32"/>
        <v>26</v>
      </c>
      <c r="B1302" s="196" t="s">
        <v>1045</v>
      </c>
      <c r="C1302" s="237" t="s">
        <v>1019</v>
      </c>
      <c r="D1302" s="238" t="s">
        <v>118</v>
      </c>
      <c r="E1302" s="135">
        <v>22370</v>
      </c>
      <c r="F1302" s="177" t="s">
        <v>118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2"/>
        <v>27</v>
      </c>
      <c r="B1303" s="272" t="s">
        <v>1046</v>
      </c>
      <c r="C1303" s="237" t="s">
        <v>1019</v>
      </c>
      <c r="D1303" s="238" t="s">
        <v>118</v>
      </c>
      <c r="E1303" s="135"/>
      <c r="F1303" s="49" t="s">
        <v>118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3">CONCATENATE(LEFT(C1303,1),"_",TEXT(A1303,"000"))</f>
        <v>H_027</v>
      </c>
      <c r="K1303" s="117"/>
    </row>
    <row r="1304" spans="1:11">
      <c r="A1304" s="80">
        <f t="shared" si="32"/>
        <v>28</v>
      </c>
      <c r="B1304" s="196" t="s">
        <v>1047</v>
      </c>
      <c r="C1304" s="237" t="s">
        <v>1019</v>
      </c>
      <c r="D1304" s="238" t="s">
        <v>118</v>
      </c>
      <c r="E1304" s="135">
        <v>184100</v>
      </c>
      <c r="F1304" s="177" t="s">
        <v>118</v>
      </c>
      <c r="G1304" s="239" t="str">
        <f>IF(BD!$E1288="","",(E1304/(H1304*I1304)))</f>
        <v/>
      </c>
      <c r="H1304" s="289">
        <v>1</v>
      </c>
      <c r="I1304" s="289">
        <v>1</v>
      </c>
      <c r="J1304" s="207" t="str">
        <f t="shared" si="33"/>
        <v>H_028</v>
      </c>
      <c r="K1304" s="117"/>
    </row>
    <row r="1305" spans="1:11" ht="30">
      <c r="A1305" s="80">
        <f t="shared" si="32"/>
        <v>29</v>
      </c>
      <c r="B1305" s="196" t="s">
        <v>1048</v>
      </c>
      <c r="C1305" s="237" t="s">
        <v>1019</v>
      </c>
      <c r="D1305" s="238" t="s">
        <v>118</v>
      </c>
      <c r="E1305" s="135">
        <v>6333.3374999999996</v>
      </c>
      <c r="F1305" s="177" t="s">
        <v>118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3"/>
        <v>H_029</v>
      </c>
      <c r="K1305" s="117"/>
    </row>
    <row r="1306" spans="1:11" ht="30">
      <c r="A1306" s="80">
        <f t="shared" si="32"/>
        <v>30</v>
      </c>
      <c r="B1306" s="196" t="s">
        <v>1049</v>
      </c>
      <c r="C1306" s="237" t="s">
        <v>1019</v>
      </c>
      <c r="D1306" s="238" t="s">
        <v>118</v>
      </c>
      <c r="E1306" s="135">
        <v>17266.599999999999</v>
      </c>
      <c r="F1306" s="177" t="s">
        <v>118</v>
      </c>
      <c r="G1306" s="239" t="str">
        <f>IF(BD!$E1289="","",(E1306/(H1306*I1306)))</f>
        <v/>
      </c>
      <c r="H1306" s="289">
        <v>1</v>
      </c>
      <c r="I1306" s="289">
        <v>1</v>
      </c>
      <c r="J1306" s="207" t="str">
        <f t="shared" si="33"/>
        <v>H_030</v>
      </c>
      <c r="K1306" s="117"/>
    </row>
    <row r="1307" spans="1:11" ht="30">
      <c r="A1307" s="80">
        <f t="shared" si="32"/>
        <v>31</v>
      </c>
      <c r="B1307" s="197" t="s">
        <v>1050</v>
      </c>
      <c r="C1307" s="237" t="s">
        <v>1019</v>
      </c>
      <c r="D1307" s="238" t="s">
        <v>118</v>
      </c>
      <c r="E1307" s="135">
        <v>6796.7</v>
      </c>
      <c r="F1307" s="177" t="s">
        <v>118</v>
      </c>
      <c r="G1307" s="239" t="str">
        <f>IF(BD!$E1290="","",(E1307/(H1307*I1307)))</f>
        <v/>
      </c>
      <c r="H1307" s="289">
        <v>1</v>
      </c>
      <c r="I1307" s="289">
        <v>1</v>
      </c>
      <c r="J1307" s="207" t="str">
        <f t="shared" si="33"/>
        <v>H_031</v>
      </c>
      <c r="K1307" s="117"/>
    </row>
    <row r="1308" spans="1:11">
      <c r="A1308" s="80">
        <f t="shared" si="32"/>
        <v>32</v>
      </c>
      <c r="B1308" s="196" t="s">
        <v>1051</v>
      </c>
      <c r="C1308" s="237" t="s">
        <v>1019</v>
      </c>
      <c r="D1308" s="238" t="s">
        <v>118</v>
      </c>
      <c r="E1308" s="135">
        <v>182666.66666666666</v>
      </c>
      <c r="F1308" s="177" t="s">
        <v>118</v>
      </c>
      <c r="G1308" s="239" t="str">
        <f>IF(BD!$E1291="","",(E1308/(H1308*I1308)))</f>
        <v/>
      </c>
      <c r="H1308" s="289">
        <v>1</v>
      </c>
      <c r="I1308" s="289">
        <v>1</v>
      </c>
      <c r="J1308" s="207" t="str">
        <f t="shared" si="33"/>
        <v>H_032</v>
      </c>
      <c r="K1308" s="117"/>
    </row>
    <row r="1309" spans="1:11" ht="30">
      <c r="A1309" s="80">
        <f t="shared" si="32"/>
        <v>33</v>
      </c>
      <c r="B1309" s="197" t="s">
        <v>1052</v>
      </c>
      <c r="C1309" s="237" t="s">
        <v>1019</v>
      </c>
      <c r="D1309" s="238" t="s">
        <v>1044</v>
      </c>
      <c r="E1309" s="135">
        <v>2500</v>
      </c>
      <c r="F1309" s="177" t="s">
        <v>118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30">
      <c r="A1310" s="80">
        <f t="shared" si="32"/>
        <v>34</v>
      </c>
      <c r="B1310" s="196" t="s">
        <v>1053</v>
      </c>
      <c r="C1310" s="237" t="s">
        <v>1019</v>
      </c>
      <c r="D1310" s="238" t="s">
        <v>118</v>
      </c>
      <c r="E1310" s="135">
        <v>48330</v>
      </c>
      <c r="F1310" s="177" t="s">
        <v>118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4">CONCATENATE(LEFT(C1310,1),"_",TEXT(A1310,"000"))</f>
        <v>H_034</v>
      </c>
      <c r="K1310" s="117"/>
    </row>
    <row r="1311" spans="1:11" ht="30">
      <c r="A1311" s="80">
        <f t="shared" si="32"/>
        <v>35</v>
      </c>
      <c r="B1311" s="196" t="s">
        <v>1054</v>
      </c>
      <c r="C1311" s="237" t="s">
        <v>1019</v>
      </c>
      <c r="D1311" s="238" t="s">
        <v>1055</v>
      </c>
      <c r="E1311" s="135">
        <v>10166.700000000001</v>
      </c>
      <c r="F1311" s="177" t="s">
        <v>1055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4"/>
        <v>H_035</v>
      </c>
      <c r="K1311" s="117"/>
    </row>
    <row r="1312" spans="1:11">
      <c r="A1312" s="80">
        <f t="shared" si="32"/>
        <v>36</v>
      </c>
      <c r="B1312" s="196" t="s">
        <v>1056</v>
      </c>
      <c r="C1312" s="237" t="s">
        <v>1019</v>
      </c>
      <c r="D1312" s="238" t="s">
        <v>118</v>
      </c>
      <c r="E1312" s="135">
        <v>104388.75</v>
      </c>
      <c r="F1312" s="177" t="s">
        <v>118</v>
      </c>
      <c r="G1312" s="239" t="str">
        <f>IF(BD!$E1295="","",(E1312/(H1312*I1312)))</f>
        <v/>
      </c>
      <c r="H1312" s="289">
        <v>1</v>
      </c>
      <c r="I1312" s="289">
        <v>1</v>
      </c>
      <c r="J1312" s="207" t="str">
        <f t="shared" si="34"/>
        <v>H_036</v>
      </c>
      <c r="K1312" s="117"/>
    </row>
    <row r="1313" spans="1:11">
      <c r="A1313" s="80">
        <f t="shared" si="32"/>
        <v>37</v>
      </c>
      <c r="B1313" s="196" t="s">
        <v>1057</v>
      </c>
      <c r="C1313" s="237" t="s">
        <v>1019</v>
      </c>
      <c r="D1313" s="238" t="s">
        <v>118</v>
      </c>
      <c r="E1313" s="135">
        <v>79760</v>
      </c>
      <c r="F1313" s="177" t="s">
        <v>118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4"/>
        <v>H_037</v>
      </c>
      <c r="K1313" s="117"/>
    </row>
    <row r="1314" spans="1:11" ht="30">
      <c r="A1314" s="80">
        <f t="shared" si="32"/>
        <v>38</v>
      </c>
      <c r="B1314" s="196" t="s">
        <v>1058</v>
      </c>
      <c r="C1314" s="237" t="s">
        <v>1019</v>
      </c>
      <c r="D1314" s="238" t="s">
        <v>214</v>
      </c>
      <c r="E1314" s="135">
        <v>62000</v>
      </c>
      <c r="F1314" s="288" t="s">
        <v>214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4"/>
        <v>H_038</v>
      </c>
      <c r="K1314" s="117"/>
    </row>
    <row r="1315" spans="1:11" ht="45">
      <c r="A1315" s="80">
        <f t="shared" si="32"/>
        <v>39</v>
      </c>
      <c r="B1315" s="220" t="s">
        <v>1059</v>
      </c>
      <c r="C1315" s="237" t="s">
        <v>1019</v>
      </c>
      <c r="D1315" s="238" t="s">
        <v>118</v>
      </c>
      <c r="E1315" s="135">
        <v>152500</v>
      </c>
      <c r="F1315" s="288" t="s">
        <v>118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4"/>
        <v>H_039</v>
      </c>
      <c r="K1315" s="117"/>
    </row>
    <row r="1316" spans="1:11" ht="30">
      <c r="A1316" s="80">
        <f t="shared" si="32"/>
        <v>40</v>
      </c>
      <c r="B1316" s="220" t="s">
        <v>1060</v>
      </c>
      <c r="C1316" s="237" t="s">
        <v>1019</v>
      </c>
      <c r="D1316" s="238" t="s">
        <v>118</v>
      </c>
      <c r="E1316" s="135">
        <v>432050</v>
      </c>
      <c r="F1316" s="288" t="s">
        <v>118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4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75">
      <c r="A1327" s="266"/>
      <c r="B1327" s="77" t="s">
        <v>128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.75" thickBot="1">
      <c r="A1330" s="234"/>
      <c r="B1330"/>
      <c r="C1330"/>
      <c r="D1330"/>
      <c r="E1330"/>
      <c r="F1330" s="178"/>
      <c r="H1330"/>
      <c r="I1330"/>
    </row>
    <row r="1331" spans="1:11" ht="27" thickBot="1">
      <c r="A1331" s="222"/>
      <c r="B1331" s="267">
        <f>SUBTOTAL(3,B1333:B1374)</f>
        <v>42</v>
      </c>
      <c r="C1331" s="490"/>
      <c r="D1331" s="490"/>
      <c r="E1331"/>
      <c r="F1331" s="178"/>
      <c r="H1331"/>
      <c r="I1331"/>
    </row>
    <row r="1332" spans="1:11" ht="47.25">
      <c r="A1332" s="80" t="s">
        <v>1061</v>
      </c>
      <c r="B1332" s="128" t="s">
        <v>101</v>
      </c>
      <c r="C1332" s="116" t="s">
        <v>102</v>
      </c>
      <c r="D1332" s="100" t="s">
        <v>103</v>
      </c>
      <c r="E1332" s="68" t="s">
        <v>104</v>
      </c>
      <c r="F1332" s="176" t="s">
        <v>105</v>
      </c>
      <c r="G1332" s="70" t="s">
        <v>106</v>
      </c>
      <c r="H1332" s="71" t="s">
        <v>107</v>
      </c>
      <c r="I1332" s="71" t="s">
        <v>108</v>
      </c>
      <c r="J1332" s="79" t="s">
        <v>109</v>
      </c>
      <c r="K1332" s="255" t="s">
        <v>110</v>
      </c>
    </row>
    <row r="1333" spans="1:11">
      <c r="A1333" s="80">
        <f t="shared" ref="A1333:A1364" si="35">A1332+1</f>
        <v>220</v>
      </c>
      <c r="B1333" s="41" t="s">
        <v>1062</v>
      </c>
      <c r="C1333" s="38" t="s">
        <v>31</v>
      </c>
      <c r="D1333" s="49" t="s">
        <v>118</v>
      </c>
      <c r="E1333" s="44">
        <v>343.33</v>
      </c>
      <c r="F1333" s="49" t="s">
        <v>118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36">CONCATENATE(LEFT(C1333,1),MID(C1333,SEARCH("_",C1333)+1,2),TEXT(A1333,"000"))</f>
        <v>ICO220</v>
      </c>
    </row>
    <row r="1334" spans="1:11">
      <c r="A1334" s="80">
        <f t="shared" si="35"/>
        <v>221</v>
      </c>
      <c r="B1334" s="41" t="s">
        <v>1063</v>
      </c>
      <c r="C1334" s="38" t="s">
        <v>31</v>
      </c>
      <c r="D1334" s="49" t="s">
        <v>118</v>
      </c>
      <c r="E1334" s="44">
        <v>343.33</v>
      </c>
      <c r="F1334" s="49" t="s">
        <v>118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36"/>
        <v>ICO221</v>
      </c>
    </row>
    <row r="1335" spans="1:11">
      <c r="A1335" s="80">
        <f t="shared" si="35"/>
        <v>222</v>
      </c>
      <c r="B1335" s="41" t="s">
        <v>32</v>
      </c>
      <c r="C1335" s="38" t="s">
        <v>31</v>
      </c>
      <c r="D1335" s="49" t="s">
        <v>118</v>
      </c>
      <c r="E1335" s="44">
        <v>343.33</v>
      </c>
      <c r="F1335" s="49" t="s">
        <v>118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36"/>
        <v>ICO222</v>
      </c>
    </row>
    <row r="1336" spans="1:11">
      <c r="A1336" s="80">
        <f t="shared" si="35"/>
        <v>223</v>
      </c>
      <c r="B1336" s="173" t="s">
        <v>1064</v>
      </c>
      <c r="C1336" s="38" t="s">
        <v>31</v>
      </c>
      <c r="D1336" s="49" t="s">
        <v>118</v>
      </c>
      <c r="E1336" s="44">
        <v>343.33</v>
      </c>
      <c r="F1336" s="49" t="s">
        <v>118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36"/>
        <v>ICO223</v>
      </c>
    </row>
    <row r="1337" spans="1:11">
      <c r="A1337" s="80">
        <f t="shared" si="35"/>
        <v>224</v>
      </c>
      <c r="B1337" s="173" t="s">
        <v>1065</v>
      </c>
      <c r="C1337" s="38" t="s">
        <v>31</v>
      </c>
      <c r="D1337" s="49" t="s">
        <v>118</v>
      </c>
      <c r="E1337" s="44">
        <v>343.33</v>
      </c>
      <c r="F1337" s="49" t="s">
        <v>118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36"/>
        <v>ICO224</v>
      </c>
    </row>
    <row r="1338" spans="1:11">
      <c r="A1338" s="80">
        <f t="shared" si="35"/>
        <v>225</v>
      </c>
      <c r="B1338" s="173" t="s">
        <v>1066</v>
      </c>
      <c r="C1338" s="38" t="s">
        <v>31</v>
      </c>
      <c r="D1338" s="49" t="s">
        <v>118</v>
      </c>
      <c r="E1338" s="44">
        <v>343.33</v>
      </c>
      <c r="F1338" s="49" t="s">
        <v>118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36"/>
        <v>ICO225</v>
      </c>
    </row>
    <row r="1339" spans="1:11">
      <c r="A1339" s="80">
        <f t="shared" si="35"/>
        <v>226</v>
      </c>
      <c r="B1339" s="188" t="s">
        <v>1067</v>
      </c>
      <c r="C1339" s="38" t="s">
        <v>31</v>
      </c>
      <c r="D1339" s="49" t="s">
        <v>118</v>
      </c>
      <c r="E1339" s="44">
        <v>343.33</v>
      </c>
      <c r="F1339" s="49" t="s">
        <v>118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36"/>
        <v>ICO226</v>
      </c>
    </row>
    <row r="1340" spans="1:11">
      <c r="A1340" s="80">
        <f t="shared" si="35"/>
        <v>227</v>
      </c>
      <c r="B1340" s="41" t="s">
        <v>1068</v>
      </c>
      <c r="C1340" s="38" t="s">
        <v>31</v>
      </c>
      <c r="D1340" s="49" t="s">
        <v>118</v>
      </c>
      <c r="E1340" s="44">
        <v>343.33</v>
      </c>
      <c r="F1340" s="49" t="s">
        <v>118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36"/>
        <v>ICO227</v>
      </c>
    </row>
    <row r="1341" spans="1:11">
      <c r="A1341" s="80">
        <f t="shared" si="35"/>
        <v>228</v>
      </c>
      <c r="B1341" s="173" t="s">
        <v>1069</v>
      </c>
      <c r="C1341" s="38" t="s">
        <v>31</v>
      </c>
      <c r="D1341" s="49" t="s">
        <v>118</v>
      </c>
      <c r="E1341" s="44">
        <v>343.33</v>
      </c>
      <c r="F1341" s="49" t="s">
        <v>118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36"/>
        <v>ICO228</v>
      </c>
    </row>
    <row r="1342" spans="1:11">
      <c r="A1342" s="80">
        <f t="shared" si="35"/>
        <v>229</v>
      </c>
      <c r="B1342" s="173" t="s">
        <v>1070</v>
      </c>
      <c r="C1342" s="38" t="s">
        <v>31</v>
      </c>
      <c r="D1342" s="49" t="s">
        <v>118</v>
      </c>
      <c r="E1342" s="44">
        <v>343.33</v>
      </c>
      <c r="F1342" s="49" t="s">
        <v>118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36"/>
        <v>ICO229</v>
      </c>
    </row>
    <row r="1343" spans="1:11">
      <c r="A1343" s="80">
        <f t="shared" si="35"/>
        <v>230</v>
      </c>
      <c r="B1343" s="173" t="s">
        <v>1071</v>
      </c>
      <c r="C1343" s="38" t="s">
        <v>31</v>
      </c>
      <c r="D1343" s="49" t="s">
        <v>118</v>
      </c>
      <c r="E1343" s="44">
        <v>343.33</v>
      </c>
      <c r="F1343" s="49" t="s">
        <v>118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36"/>
        <v>ICO230</v>
      </c>
    </row>
    <row r="1344" spans="1:11">
      <c r="A1344" s="80">
        <f t="shared" si="35"/>
        <v>231</v>
      </c>
      <c r="B1344" s="173" t="s">
        <v>1072</v>
      </c>
      <c r="C1344" s="38" t="s">
        <v>31</v>
      </c>
      <c r="D1344" s="49" t="s">
        <v>118</v>
      </c>
      <c r="E1344" s="44">
        <v>343.33</v>
      </c>
      <c r="F1344" s="49" t="s">
        <v>118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36"/>
        <v>ICO231</v>
      </c>
    </row>
    <row r="1345" spans="1:10">
      <c r="A1345" s="80">
        <f t="shared" si="35"/>
        <v>232</v>
      </c>
      <c r="B1345" s="173" t="s">
        <v>1073</v>
      </c>
      <c r="C1345" s="38" t="s">
        <v>31</v>
      </c>
      <c r="D1345" s="49" t="s">
        <v>118</v>
      </c>
      <c r="E1345" s="44">
        <v>343.33</v>
      </c>
      <c r="F1345" s="49" t="s">
        <v>118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36"/>
        <v>ICO232</v>
      </c>
    </row>
    <row r="1346" spans="1:10">
      <c r="A1346" s="80">
        <f t="shared" si="35"/>
        <v>233</v>
      </c>
      <c r="B1346" s="173" t="s">
        <v>1074</v>
      </c>
      <c r="C1346" s="38" t="s">
        <v>31</v>
      </c>
      <c r="D1346" s="49" t="s">
        <v>118</v>
      </c>
      <c r="E1346" s="44">
        <v>343.33</v>
      </c>
      <c r="F1346" s="49" t="s">
        <v>118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36"/>
        <v>ICO233</v>
      </c>
    </row>
    <row r="1347" spans="1:10">
      <c r="A1347" s="80">
        <f t="shared" si="35"/>
        <v>234</v>
      </c>
      <c r="B1347" s="173" t="s">
        <v>1075</v>
      </c>
      <c r="C1347" s="38" t="s">
        <v>31</v>
      </c>
      <c r="D1347" s="49" t="s">
        <v>118</v>
      </c>
      <c r="E1347" s="44">
        <v>343.33</v>
      </c>
      <c r="F1347" s="49" t="s">
        <v>118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36"/>
        <v>ICO234</v>
      </c>
    </row>
    <row r="1348" spans="1:10">
      <c r="A1348" s="80">
        <f t="shared" si="35"/>
        <v>235</v>
      </c>
      <c r="B1348" s="173" t="s">
        <v>1076</v>
      </c>
      <c r="C1348" s="38" t="s">
        <v>31</v>
      </c>
      <c r="D1348" s="49" t="s">
        <v>118</v>
      </c>
      <c r="E1348" s="44">
        <v>343.33</v>
      </c>
      <c r="F1348" s="49" t="s">
        <v>118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36"/>
        <v>ICO235</v>
      </c>
    </row>
    <row r="1349" spans="1:10">
      <c r="A1349" s="80">
        <f t="shared" si="35"/>
        <v>236</v>
      </c>
      <c r="B1349" s="173" t="s">
        <v>1077</v>
      </c>
      <c r="C1349" s="38" t="s">
        <v>31</v>
      </c>
      <c r="D1349" s="49" t="s">
        <v>118</v>
      </c>
      <c r="E1349" s="44">
        <v>343.33</v>
      </c>
      <c r="F1349" s="49" t="s">
        <v>118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36"/>
        <v>ICO236</v>
      </c>
    </row>
    <row r="1350" spans="1:10">
      <c r="A1350" s="80">
        <f t="shared" si="35"/>
        <v>237</v>
      </c>
      <c r="B1350" s="41" t="s">
        <v>1078</v>
      </c>
      <c r="C1350" s="38" t="s">
        <v>31</v>
      </c>
      <c r="D1350" s="49" t="s">
        <v>118</v>
      </c>
      <c r="E1350" s="44">
        <v>343.33</v>
      </c>
      <c r="F1350" s="49" t="s">
        <v>118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36"/>
        <v>ICO237</v>
      </c>
    </row>
    <row r="1351" spans="1:10">
      <c r="A1351" s="80">
        <f t="shared" si="35"/>
        <v>238</v>
      </c>
      <c r="B1351" s="173" t="s">
        <v>1079</v>
      </c>
      <c r="C1351" s="38" t="s">
        <v>31</v>
      </c>
      <c r="D1351" s="49" t="s">
        <v>118</v>
      </c>
      <c r="E1351" s="44">
        <v>343.33</v>
      </c>
      <c r="F1351" s="49" t="s">
        <v>118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36"/>
        <v>ICO238</v>
      </c>
    </row>
    <row r="1352" spans="1:10">
      <c r="A1352" s="80">
        <f t="shared" si="35"/>
        <v>239</v>
      </c>
      <c r="B1352" s="143" t="s">
        <v>1080</v>
      </c>
      <c r="C1352" s="38" t="s">
        <v>31</v>
      </c>
      <c r="D1352" s="49" t="s">
        <v>118</v>
      </c>
      <c r="E1352" s="44">
        <v>343.33</v>
      </c>
      <c r="F1352" s="49" t="s">
        <v>118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36"/>
        <v>ICO239</v>
      </c>
    </row>
    <row r="1353" spans="1:10" ht="30">
      <c r="A1353" s="80">
        <f t="shared" si="35"/>
        <v>240</v>
      </c>
      <c r="B1353" s="143" t="s">
        <v>1081</v>
      </c>
      <c r="C1353" s="38" t="s">
        <v>31</v>
      </c>
      <c r="D1353" s="49" t="s">
        <v>118</v>
      </c>
      <c r="E1353" s="44">
        <v>308.33</v>
      </c>
      <c r="F1353" s="49" t="s">
        <v>118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36"/>
        <v>ICO240</v>
      </c>
    </row>
    <row r="1354" spans="1:10" ht="30">
      <c r="A1354" s="80">
        <f t="shared" si="35"/>
        <v>241</v>
      </c>
      <c r="B1354" s="143" t="s">
        <v>1082</v>
      </c>
      <c r="C1354" s="38" t="s">
        <v>31</v>
      </c>
      <c r="D1354" s="49" t="s">
        <v>1083</v>
      </c>
      <c r="E1354" s="44">
        <v>42631</v>
      </c>
      <c r="F1354" s="177" t="s">
        <v>1083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36"/>
        <v>ICO241</v>
      </c>
    </row>
    <row r="1355" spans="1:10" ht="30">
      <c r="A1355" s="80">
        <f t="shared" si="35"/>
        <v>242</v>
      </c>
      <c r="B1355" s="143" t="s">
        <v>1084</v>
      </c>
      <c r="C1355" s="38" t="s">
        <v>31</v>
      </c>
      <c r="D1355" s="49" t="s">
        <v>1085</v>
      </c>
      <c r="E1355" s="44">
        <v>6081.3</v>
      </c>
      <c r="F1355" s="177" t="s">
        <v>1085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36"/>
        <v>ICO242</v>
      </c>
    </row>
    <row r="1356" spans="1:10" ht="30">
      <c r="A1356" s="80">
        <f t="shared" si="35"/>
        <v>243</v>
      </c>
      <c r="B1356" s="143" t="s">
        <v>1086</v>
      </c>
      <c r="C1356" s="38" t="s">
        <v>31</v>
      </c>
      <c r="D1356" s="49" t="s">
        <v>1087</v>
      </c>
      <c r="E1356" s="44">
        <v>19776</v>
      </c>
      <c r="F1356" s="177" t="s">
        <v>1087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36"/>
        <v>ICO243</v>
      </c>
    </row>
    <row r="1357" spans="1:10" ht="30">
      <c r="A1357" s="80">
        <f t="shared" si="35"/>
        <v>244</v>
      </c>
      <c r="B1357" s="158" t="s">
        <v>1088</v>
      </c>
      <c r="C1357" s="38" t="s">
        <v>31</v>
      </c>
      <c r="D1357" s="49" t="s">
        <v>1085</v>
      </c>
      <c r="E1357" s="44">
        <v>16133.3</v>
      </c>
      <c r="F1357" s="177" t="s">
        <v>1085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36"/>
        <v>ICO244</v>
      </c>
    </row>
    <row r="1358" spans="1:10" ht="30">
      <c r="A1358" s="80">
        <f t="shared" si="35"/>
        <v>245</v>
      </c>
      <c r="B1358" s="158" t="s">
        <v>1089</v>
      </c>
      <c r="C1358" s="38" t="s">
        <v>31</v>
      </c>
      <c r="D1358" s="49" t="s">
        <v>1090</v>
      </c>
      <c r="E1358" s="44">
        <v>17300</v>
      </c>
      <c r="F1358" s="177" t="s">
        <v>1090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36"/>
        <v>ICO245</v>
      </c>
    </row>
    <row r="1359" spans="1:10">
      <c r="A1359" s="80">
        <f t="shared" si="35"/>
        <v>246</v>
      </c>
      <c r="B1359" s="290" t="s">
        <v>1091</v>
      </c>
      <c r="C1359" s="38" t="s">
        <v>31</v>
      </c>
      <c r="D1359" s="49" t="s">
        <v>118</v>
      </c>
      <c r="E1359" s="44"/>
      <c r="F1359" s="177" t="s">
        <v>118</v>
      </c>
      <c r="G1359" s="94"/>
      <c r="H1359" s="8">
        <v>1</v>
      </c>
      <c r="I1359" s="8">
        <v>1</v>
      </c>
      <c r="J1359" s="82" t="str">
        <f t="shared" si="36"/>
        <v>ICO246</v>
      </c>
    </row>
    <row r="1360" spans="1:10">
      <c r="A1360" s="80">
        <f t="shared" si="35"/>
        <v>247</v>
      </c>
      <c r="B1360" s="143" t="s">
        <v>1092</v>
      </c>
      <c r="C1360" s="38" t="s">
        <v>31</v>
      </c>
      <c r="D1360" s="49" t="s">
        <v>1093</v>
      </c>
      <c r="E1360" s="44">
        <v>1583.1533333333334</v>
      </c>
      <c r="F1360" s="177" t="s">
        <v>1093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36"/>
        <v>ICO247</v>
      </c>
    </row>
    <row r="1361" spans="1:10">
      <c r="A1361" s="80">
        <f t="shared" si="35"/>
        <v>248</v>
      </c>
      <c r="B1361" s="143" t="s">
        <v>1094</v>
      </c>
      <c r="C1361" s="38" t="s">
        <v>31</v>
      </c>
      <c r="D1361" s="49" t="s">
        <v>259</v>
      </c>
      <c r="E1361" s="44">
        <v>4180</v>
      </c>
      <c r="F1361" s="177" t="s">
        <v>259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36"/>
        <v>ICO248</v>
      </c>
    </row>
    <row r="1362" spans="1:10">
      <c r="A1362" s="80">
        <f t="shared" si="35"/>
        <v>249</v>
      </c>
      <c r="B1362" s="158" t="s">
        <v>1095</v>
      </c>
      <c r="C1362" s="38" t="s">
        <v>31</v>
      </c>
      <c r="D1362" s="49" t="s">
        <v>118</v>
      </c>
      <c r="E1362" s="44">
        <v>9522.5084745762706</v>
      </c>
      <c r="F1362" s="177" t="s">
        <v>118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36"/>
        <v>ICO249</v>
      </c>
    </row>
    <row r="1363" spans="1:10">
      <c r="A1363" s="80">
        <f t="shared" si="35"/>
        <v>250</v>
      </c>
      <c r="B1363" s="290" t="s">
        <v>1096</v>
      </c>
      <c r="C1363" s="38" t="s">
        <v>31</v>
      </c>
      <c r="D1363" s="49" t="s">
        <v>224</v>
      </c>
      <c r="E1363" s="44"/>
      <c r="F1363" s="177" t="s">
        <v>118</v>
      </c>
      <c r="G1363" s="94"/>
      <c r="H1363" s="8">
        <v>1</v>
      </c>
      <c r="I1363" s="8">
        <v>1</v>
      </c>
      <c r="J1363" s="82" t="str">
        <f t="shared" si="36"/>
        <v>ICO250</v>
      </c>
    </row>
    <row r="1364" spans="1:10">
      <c r="A1364" s="80">
        <f t="shared" si="35"/>
        <v>251</v>
      </c>
      <c r="B1364" s="290" t="s">
        <v>1097</v>
      </c>
      <c r="C1364" s="38" t="s">
        <v>31</v>
      </c>
      <c r="D1364" s="49" t="s">
        <v>224</v>
      </c>
      <c r="E1364" s="44"/>
      <c r="F1364" s="177" t="s">
        <v>118</v>
      </c>
      <c r="G1364" s="94"/>
      <c r="H1364" s="8">
        <v>1</v>
      </c>
      <c r="I1364" s="8">
        <v>1</v>
      </c>
      <c r="J1364" s="82" t="str">
        <f t="shared" si="36"/>
        <v>ICO251</v>
      </c>
    </row>
    <row r="1365" spans="1:10">
      <c r="A1365" s="80">
        <f t="shared" ref="A1365:A1396" si="37">A1364+1</f>
        <v>252</v>
      </c>
      <c r="B1365" s="291" t="s">
        <v>1098</v>
      </c>
      <c r="C1365" s="38" t="s">
        <v>31</v>
      </c>
      <c r="D1365" s="95" t="s">
        <v>246</v>
      </c>
      <c r="E1365" s="44">
        <v>0</v>
      </c>
      <c r="F1365" s="177" t="s">
        <v>246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38">CONCATENATE(LEFT(C1365,1),MID(C1365,SEARCH("_",C1365)+1,2),TEXT(A1365,"000"))</f>
        <v>ICO252</v>
      </c>
    </row>
    <row r="1366" spans="1:10">
      <c r="A1366" s="80">
        <f t="shared" si="37"/>
        <v>253</v>
      </c>
      <c r="B1366" s="158" t="s">
        <v>1099</v>
      </c>
      <c r="C1366" s="38" t="s">
        <v>31</v>
      </c>
      <c r="D1366" s="49" t="s">
        <v>118</v>
      </c>
      <c r="E1366" s="44">
        <v>4000</v>
      </c>
      <c r="F1366" s="177" t="s">
        <v>118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38"/>
        <v>ICO253</v>
      </c>
    </row>
    <row r="1367" spans="1:10" ht="30">
      <c r="A1367" s="80">
        <f t="shared" si="37"/>
        <v>254</v>
      </c>
      <c r="B1367" s="174" t="s">
        <v>1100</v>
      </c>
      <c r="C1367" s="38" t="s">
        <v>31</v>
      </c>
      <c r="D1367" s="49" t="s">
        <v>118</v>
      </c>
      <c r="E1367" s="44">
        <v>51000</v>
      </c>
      <c r="F1367" s="177" t="s">
        <v>118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38"/>
        <v>ICO254</v>
      </c>
    </row>
    <row r="1368" spans="1:10" ht="30">
      <c r="A1368" s="80">
        <f t="shared" si="37"/>
        <v>255</v>
      </c>
      <c r="B1368" s="174" t="s">
        <v>1101</v>
      </c>
      <c r="C1368" s="38" t="s">
        <v>31</v>
      </c>
      <c r="D1368" s="49" t="s">
        <v>118</v>
      </c>
      <c r="E1368" s="44">
        <v>1600</v>
      </c>
      <c r="F1368" s="177" t="s">
        <v>118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38"/>
        <v>ICO255</v>
      </c>
    </row>
    <row r="1369" spans="1:10" ht="30">
      <c r="A1369" s="80">
        <f t="shared" si="37"/>
        <v>256</v>
      </c>
      <c r="B1369" s="158" t="s">
        <v>1102</v>
      </c>
      <c r="C1369" s="38" t="s">
        <v>31</v>
      </c>
      <c r="D1369" s="49" t="s">
        <v>118</v>
      </c>
      <c r="E1369" s="44">
        <v>1233.6600000000001</v>
      </c>
      <c r="F1369" s="177" t="s">
        <v>118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38"/>
        <v>ICO256</v>
      </c>
    </row>
    <row r="1370" spans="1:10" ht="30">
      <c r="A1370" s="80">
        <f t="shared" si="37"/>
        <v>257</v>
      </c>
      <c r="B1370" s="158" t="s">
        <v>1103</v>
      </c>
      <c r="C1370" s="38" t="s">
        <v>31</v>
      </c>
      <c r="D1370" s="49" t="s">
        <v>118</v>
      </c>
      <c r="E1370" s="44">
        <v>500</v>
      </c>
      <c r="F1370" s="177" t="s">
        <v>118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38"/>
        <v>ICO257</v>
      </c>
    </row>
    <row r="1371" spans="1:10">
      <c r="A1371" s="80">
        <f t="shared" si="37"/>
        <v>258</v>
      </c>
      <c r="B1371" s="174" t="s">
        <v>1104</v>
      </c>
      <c r="C1371" s="38" t="s">
        <v>31</v>
      </c>
      <c r="D1371" s="49" t="s">
        <v>118</v>
      </c>
      <c r="E1371" s="44">
        <v>5900</v>
      </c>
      <c r="F1371" s="177" t="s">
        <v>118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38"/>
        <v>ICO258</v>
      </c>
    </row>
    <row r="1372" spans="1:10">
      <c r="A1372" s="80">
        <f t="shared" si="37"/>
        <v>259</v>
      </c>
      <c r="B1372" s="158" t="s">
        <v>1105</v>
      </c>
      <c r="C1372" s="38" t="s">
        <v>31</v>
      </c>
      <c r="D1372" s="49" t="s">
        <v>118</v>
      </c>
      <c r="E1372" s="44">
        <v>5900</v>
      </c>
      <c r="F1372" s="177" t="s">
        <v>118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38"/>
        <v>ICO259</v>
      </c>
    </row>
    <row r="1373" spans="1:10" ht="17.25" customHeight="1">
      <c r="A1373" s="80">
        <f t="shared" si="37"/>
        <v>260</v>
      </c>
      <c r="B1373" s="161" t="s">
        <v>1106</v>
      </c>
      <c r="C1373" s="38" t="s">
        <v>31</v>
      </c>
      <c r="D1373" s="49" t="s">
        <v>118</v>
      </c>
      <c r="E1373" s="44">
        <v>288766.66666666669</v>
      </c>
      <c r="F1373" s="177" t="s">
        <v>118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38"/>
        <v>ICO260</v>
      </c>
    </row>
    <row r="1374" spans="1:10" ht="30">
      <c r="A1374" s="80">
        <f t="shared" si="37"/>
        <v>261</v>
      </c>
      <c r="B1374" s="174" t="s">
        <v>1107</v>
      </c>
      <c r="C1374" s="38" t="s">
        <v>31</v>
      </c>
      <c r="D1374" s="83" t="s">
        <v>1108</v>
      </c>
      <c r="E1374" s="157">
        <v>23233.4</v>
      </c>
      <c r="F1374" s="181" t="s">
        <v>1108</v>
      </c>
      <c r="G1374" s="264">
        <f>IF(BD!$E1368="","",(E1374/(H1374*I1374)))</f>
        <v>23233.4</v>
      </c>
      <c r="H1374" s="163">
        <v>1</v>
      </c>
      <c r="I1374" s="163">
        <v>1</v>
      </c>
      <c r="J1374" s="82" t="str">
        <f t="shared" si="38"/>
        <v>ICO261</v>
      </c>
    </row>
    <row r="1375" spans="1:10" ht="30">
      <c r="A1375" s="80">
        <f t="shared" si="37"/>
        <v>262</v>
      </c>
      <c r="B1375" s="292" t="s">
        <v>1109</v>
      </c>
      <c r="C1375" s="208" t="s">
        <v>31</v>
      </c>
      <c r="D1375" s="83" t="s">
        <v>118</v>
      </c>
      <c r="E1375" s="157">
        <v>219.5</v>
      </c>
      <c r="F1375" s="181" t="s">
        <v>118</v>
      </c>
      <c r="G1375" s="264">
        <f>IF(BD!$E1369="","",(E1375/(H1375*I1375)))</f>
        <v>219.5</v>
      </c>
      <c r="H1375" s="163">
        <v>1</v>
      </c>
      <c r="I1375" s="163">
        <v>1</v>
      </c>
      <c r="J1375" s="207" t="str">
        <f t="shared" si="38"/>
        <v>ICO262</v>
      </c>
    </row>
    <row r="1376" spans="1:10" ht="30">
      <c r="A1376" s="80">
        <f t="shared" si="37"/>
        <v>263</v>
      </c>
      <c r="B1376" s="292" t="s">
        <v>1110</v>
      </c>
      <c r="C1376" s="208" t="s">
        <v>31</v>
      </c>
      <c r="D1376" s="83" t="s">
        <v>118</v>
      </c>
      <c r="E1376" s="157">
        <v>907</v>
      </c>
      <c r="F1376" s="181" t="s">
        <v>118</v>
      </c>
      <c r="G1376" s="264">
        <f>IF(BD!$E1370="","",(E1376/(H1376*I1376)))</f>
        <v>907</v>
      </c>
      <c r="H1376" s="163">
        <v>1</v>
      </c>
      <c r="I1376" s="163">
        <v>1</v>
      </c>
      <c r="J1376" s="207" t="str">
        <f t="shared" si="38"/>
        <v>ICO263</v>
      </c>
    </row>
    <row r="1377" spans="1:10">
      <c r="A1377" s="80">
        <f t="shared" si="37"/>
        <v>264</v>
      </c>
      <c r="B1377" s="259" t="s">
        <v>1111</v>
      </c>
      <c r="C1377" s="208" t="s">
        <v>31</v>
      </c>
      <c r="D1377" s="49" t="s">
        <v>118</v>
      </c>
      <c r="E1377" s="157">
        <v>5333.34</v>
      </c>
      <c r="F1377" s="181" t="s">
        <v>118</v>
      </c>
      <c r="G1377" s="264">
        <f>IF(BD!$E1371="","",(E1377/(H1377*I1377)))</f>
        <v>5333.34</v>
      </c>
      <c r="H1377" s="163">
        <v>1</v>
      </c>
      <c r="I1377" s="163">
        <v>1</v>
      </c>
      <c r="J1377" s="207" t="str">
        <f t="shared" si="38"/>
        <v>ICO264</v>
      </c>
    </row>
    <row r="1378" spans="1:10" ht="30">
      <c r="A1378" s="80">
        <f t="shared" si="37"/>
        <v>265</v>
      </c>
      <c r="B1378" s="260" t="s">
        <v>1112</v>
      </c>
      <c r="C1378" s="208" t="s">
        <v>31</v>
      </c>
      <c r="D1378" s="49" t="s">
        <v>248</v>
      </c>
      <c r="E1378" s="157">
        <v>867804</v>
      </c>
      <c r="F1378" s="181" t="s">
        <v>248</v>
      </c>
      <c r="G1378" s="264">
        <f>IF(BD!$E1372="","",(E1378/(H1378*I1378)))</f>
        <v>867804</v>
      </c>
      <c r="H1378" s="163">
        <v>1</v>
      </c>
      <c r="I1378" s="163">
        <v>1</v>
      </c>
      <c r="J1378" s="207" t="str">
        <f t="shared" si="38"/>
        <v>ICO265</v>
      </c>
    </row>
    <row r="1379" spans="1:10" ht="30">
      <c r="A1379" s="80">
        <f t="shared" si="37"/>
        <v>266</v>
      </c>
      <c r="B1379" s="220" t="s">
        <v>1113</v>
      </c>
      <c r="C1379" s="208" t="s">
        <v>31</v>
      </c>
      <c r="D1379" s="49" t="s">
        <v>248</v>
      </c>
      <c r="E1379" s="157">
        <v>1097662</v>
      </c>
      <c r="F1379" s="181" t="s">
        <v>248</v>
      </c>
      <c r="G1379" s="264">
        <f>IF(BD!$E1373="","",(E1379/(H1379*I1379)))</f>
        <v>1097662</v>
      </c>
      <c r="H1379" s="163">
        <v>1</v>
      </c>
      <c r="I1379" s="163">
        <v>1</v>
      </c>
      <c r="J1379" s="207" t="str">
        <f t="shared" si="38"/>
        <v>ICO266</v>
      </c>
    </row>
    <row r="1380" spans="1:10">
      <c r="A1380" s="80">
        <f t="shared" si="37"/>
        <v>267</v>
      </c>
      <c r="B1380" s="259" t="s">
        <v>1114</v>
      </c>
      <c r="C1380" s="208" t="s">
        <v>31</v>
      </c>
      <c r="D1380" s="49" t="s">
        <v>118</v>
      </c>
      <c r="E1380" s="157">
        <v>74866.666666666672</v>
      </c>
      <c r="F1380" s="181" t="s">
        <v>1083</v>
      </c>
      <c r="G1380" s="264">
        <f>IF(BD!$E1374="","",(E1380/(H1380*I1380)))</f>
        <v>74866.666666666672</v>
      </c>
      <c r="H1380" s="163">
        <v>1</v>
      </c>
      <c r="I1380" s="163">
        <v>1</v>
      </c>
      <c r="J1380" s="207" t="str">
        <f t="shared" si="38"/>
        <v>ICO267</v>
      </c>
    </row>
    <row r="1381" spans="1:10">
      <c r="A1381" s="80">
        <f t="shared" si="37"/>
        <v>268</v>
      </c>
      <c r="B1381" s="259" t="s">
        <v>1115</v>
      </c>
      <c r="C1381" s="208" t="s">
        <v>31</v>
      </c>
      <c r="D1381" s="49" t="s">
        <v>466</v>
      </c>
      <c r="E1381" s="157">
        <v>74866.666666666672</v>
      </c>
      <c r="F1381" s="181" t="s">
        <v>1116</v>
      </c>
      <c r="G1381" s="264">
        <f>IF(BD!$E1375="","",(E1381/(H1381*I1381)))</f>
        <v>74866.666666666672</v>
      </c>
      <c r="H1381" s="163">
        <v>1</v>
      </c>
      <c r="I1381" s="163">
        <v>1</v>
      </c>
      <c r="J1381" s="207" t="str">
        <f t="shared" si="38"/>
        <v>ICO268</v>
      </c>
    </row>
    <row r="1382" spans="1:10">
      <c r="A1382" s="80">
        <f t="shared" si="37"/>
        <v>269</v>
      </c>
      <c r="B1382" s="220" t="s">
        <v>1117</v>
      </c>
      <c r="C1382" s="208" t="s">
        <v>31</v>
      </c>
      <c r="D1382" s="49" t="s">
        <v>118</v>
      </c>
      <c r="E1382" s="157">
        <v>19073</v>
      </c>
      <c r="F1382" s="181" t="s">
        <v>118</v>
      </c>
      <c r="G1382" s="264">
        <f>IF(BD!$E1376="","",(E1382/(H1382*I1382)))</f>
        <v>19073</v>
      </c>
      <c r="H1382" s="163">
        <v>1</v>
      </c>
      <c r="I1382" s="163">
        <v>1</v>
      </c>
      <c r="J1382" s="207" t="str">
        <f t="shared" si="38"/>
        <v>ICO269</v>
      </c>
    </row>
    <row r="1383" spans="1:10" ht="30">
      <c r="A1383" s="80">
        <f t="shared" si="37"/>
        <v>270</v>
      </c>
      <c r="B1383" s="259" t="s">
        <v>1118</v>
      </c>
      <c r="C1383" s="208" t="s">
        <v>31</v>
      </c>
      <c r="D1383" s="49" t="s">
        <v>118</v>
      </c>
      <c r="E1383" s="157">
        <v>866.66499999999996</v>
      </c>
      <c r="F1383" s="181" t="s">
        <v>118</v>
      </c>
      <c r="G1383" s="264">
        <f>IF(BD!$E1377="","",(E1383/(H1383*I1383)))</f>
        <v>866.66499999999996</v>
      </c>
      <c r="H1383" s="265">
        <v>1</v>
      </c>
      <c r="I1383" s="265">
        <v>1</v>
      </c>
      <c r="J1383" s="207" t="str">
        <f t="shared" si="38"/>
        <v>ICO270</v>
      </c>
    </row>
    <row r="1384" spans="1:10">
      <c r="A1384" s="80">
        <f t="shared" si="37"/>
        <v>271</v>
      </c>
      <c r="B1384" s="271" t="s">
        <v>1119</v>
      </c>
      <c r="C1384" s="208" t="s">
        <v>31</v>
      </c>
      <c r="D1384" s="49" t="s">
        <v>224</v>
      </c>
      <c r="E1384" s="157"/>
      <c r="F1384" s="181" t="s">
        <v>118</v>
      </c>
      <c r="G1384" s="117"/>
      <c r="H1384" s="163">
        <v>1</v>
      </c>
      <c r="I1384" s="163">
        <v>1</v>
      </c>
      <c r="J1384" s="207" t="str">
        <f t="shared" si="38"/>
        <v>ICO271</v>
      </c>
    </row>
    <row r="1385" spans="1:10">
      <c r="A1385" s="80">
        <f t="shared" si="37"/>
        <v>272</v>
      </c>
      <c r="B1385" s="271" t="s">
        <v>1120</v>
      </c>
      <c r="C1385" s="208" t="s">
        <v>31</v>
      </c>
      <c r="D1385" s="49" t="s">
        <v>224</v>
      </c>
      <c r="E1385" s="157"/>
      <c r="F1385" s="181" t="s">
        <v>118</v>
      </c>
      <c r="G1385" s="117"/>
      <c r="H1385" s="163">
        <v>1</v>
      </c>
      <c r="I1385" s="163">
        <v>1</v>
      </c>
      <c r="J1385" s="207" t="str">
        <f t="shared" si="38"/>
        <v>ICO272</v>
      </c>
    </row>
    <row r="1386" spans="1:10">
      <c r="A1386" s="80">
        <f t="shared" si="37"/>
        <v>273</v>
      </c>
      <c r="B1386" s="259" t="s">
        <v>1121</v>
      </c>
      <c r="C1386" s="208" t="s">
        <v>31</v>
      </c>
      <c r="D1386" s="49" t="s">
        <v>1093</v>
      </c>
      <c r="E1386" s="157">
        <v>513.33285714285716</v>
      </c>
      <c r="F1386" s="181" t="s">
        <v>1093</v>
      </c>
      <c r="G1386" s="264">
        <f>IF(BD!$E1378="","",(E1386/(H1386*I1386)))</f>
        <v>513.33285714285716</v>
      </c>
      <c r="H1386" s="163">
        <v>1</v>
      </c>
      <c r="I1386" s="163">
        <v>1</v>
      </c>
      <c r="J1386" s="207" t="str">
        <f t="shared" si="38"/>
        <v>ICO273</v>
      </c>
    </row>
    <row r="1387" spans="1:10">
      <c r="A1387" s="80">
        <f t="shared" si="37"/>
        <v>274</v>
      </c>
      <c r="B1387" s="220" t="s">
        <v>1122</v>
      </c>
      <c r="C1387" s="208" t="s">
        <v>31</v>
      </c>
      <c r="D1387" s="49" t="s">
        <v>118</v>
      </c>
      <c r="E1387" s="157">
        <v>19000</v>
      </c>
      <c r="F1387" s="181" t="s">
        <v>118</v>
      </c>
      <c r="G1387" s="264">
        <f>IF(BD!$E1379="","",(E1387/(H1387*I1387)))</f>
        <v>19000</v>
      </c>
      <c r="H1387" s="163">
        <v>1</v>
      </c>
      <c r="I1387" s="163">
        <v>1</v>
      </c>
      <c r="J1387" s="207" t="str">
        <f t="shared" si="38"/>
        <v>ICO274</v>
      </c>
    </row>
    <row r="1388" spans="1:10">
      <c r="A1388" s="80">
        <f t="shared" si="37"/>
        <v>275</v>
      </c>
      <c r="B1388" s="259" t="s">
        <v>1123</v>
      </c>
      <c r="C1388" s="208" t="s">
        <v>31</v>
      </c>
      <c r="D1388" s="49" t="s">
        <v>118</v>
      </c>
      <c r="E1388" s="157">
        <v>3800</v>
      </c>
      <c r="F1388" s="181" t="s">
        <v>118</v>
      </c>
      <c r="G1388" s="264">
        <f>IF(BD!$E1380="","",(E1388/(H1388*I1388)))</f>
        <v>3800</v>
      </c>
      <c r="H1388" s="265">
        <v>1</v>
      </c>
      <c r="I1388" s="265">
        <v>1</v>
      </c>
      <c r="J1388" s="85" t="str">
        <f t="shared" si="38"/>
        <v>ICO275</v>
      </c>
    </row>
    <row r="1389" spans="1:10" ht="30">
      <c r="A1389" s="257">
        <f t="shared" si="37"/>
        <v>276</v>
      </c>
      <c r="B1389" s="259" t="s">
        <v>1124</v>
      </c>
      <c r="C1389" s="208" t="s">
        <v>31</v>
      </c>
      <c r="D1389" s="49" t="s">
        <v>182</v>
      </c>
      <c r="E1389" s="157">
        <v>3200</v>
      </c>
      <c r="F1389" s="181" t="s">
        <v>182</v>
      </c>
      <c r="G1389" s="262">
        <f>IF(BD!$E1381="","",(E1389/(H1389*I1389)))</f>
        <v>3200</v>
      </c>
      <c r="H1389" s="265">
        <v>1</v>
      </c>
      <c r="I1389" s="265">
        <v>1</v>
      </c>
      <c r="J1389" s="85" t="str">
        <f t="shared" si="38"/>
        <v>ICO276</v>
      </c>
    </row>
    <row r="1390" spans="1:10">
      <c r="A1390" s="257">
        <f t="shared" si="37"/>
        <v>277</v>
      </c>
      <c r="B1390" s="271" t="s">
        <v>1125</v>
      </c>
      <c r="C1390" s="208" t="s">
        <v>31</v>
      </c>
      <c r="D1390" s="49" t="s">
        <v>224</v>
      </c>
      <c r="E1390" s="157"/>
      <c r="F1390" s="181" t="s">
        <v>118</v>
      </c>
      <c r="H1390" s="163">
        <v>1</v>
      </c>
      <c r="I1390" s="163">
        <v>1</v>
      </c>
      <c r="J1390" s="85" t="str">
        <f t="shared" si="38"/>
        <v>ICO277</v>
      </c>
    </row>
    <row r="1391" spans="1:10">
      <c r="A1391" s="257">
        <f t="shared" si="37"/>
        <v>278</v>
      </c>
      <c r="B1391" s="260" t="s">
        <v>1126</v>
      </c>
      <c r="C1391" s="208" t="s">
        <v>31</v>
      </c>
      <c r="D1391" s="49" t="s">
        <v>224</v>
      </c>
      <c r="E1391" s="157">
        <v>7200</v>
      </c>
      <c r="F1391" s="181" t="s">
        <v>1083</v>
      </c>
      <c r="G1391" s="262">
        <f>IF(BD!$E1382="","",(E1391/(H1391*I1391)))</f>
        <v>7200</v>
      </c>
      <c r="H1391" s="163">
        <v>1</v>
      </c>
      <c r="I1391" s="163">
        <v>1</v>
      </c>
      <c r="J1391" s="85" t="str">
        <f t="shared" si="38"/>
        <v>ICO278</v>
      </c>
    </row>
    <row r="1392" spans="1:10">
      <c r="A1392" s="257">
        <f t="shared" si="37"/>
        <v>279</v>
      </c>
      <c r="B1392" s="271" t="s">
        <v>1127</v>
      </c>
      <c r="C1392" s="208" t="s">
        <v>31</v>
      </c>
      <c r="D1392" s="49" t="s">
        <v>224</v>
      </c>
      <c r="E1392" s="157"/>
      <c r="F1392" s="181" t="s">
        <v>118</v>
      </c>
      <c r="H1392" s="163">
        <v>1</v>
      </c>
      <c r="I1392" s="163">
        <v>1</v>
      </c>
      <c r="J1392" s="85" t="str">
        <f t="shared" si="38"/>
        <v>ICO279</v>
      </c>
    </row>
    <row r="1393" spans="1:10">
      <c r="A1393" s="257">
        <f t="shared" si="37"/>
        <v>280</v>
      </c>
      <c r="B1393" s="147" t="s">
        <v>1128</v>
      </c>
      <c r="C1393" s="208" t="s">
        <v>31</v>
      </c>
      <c r="D1393" s="49" t="s">
        <v>118</v>
      </c>
      <c r="E1393" s="157">
        <v>6013.33</v>
      </c>
      <c r="F1393" s="181" t="s">
        <v>118</v>
      </c>
      <c r="G1393" s="262">
        <f>IF(BD!$E1383="","",(E1393/(H1393*I1393)))</f>
        <v>6013.33</v>
      </c>
      <c r="H1393" s="163">
        <v>1</v>
      </c>
      <c r="I1393" s="163">
        <v>1</v>
      </c>
      <c r="J1393" s="85" t="str">
        <f t="shared" si="38"/>
        <v>ICO280</v>
      </c>
    </row>
    <row r="1394" spans="1:10">
      <c r="A1394" s="257">
        <f t="shared" si="37"/>
        <v>281</v>
      </c>
      <c r="B1394" s="220" t="s">
        <v>1129</v>
      </c>
      <c r="C1394" s="208" t="s">
        <v>31</v>
      </c>
      <c r="D1394" s="49" t="s">
        <v>118</v>
      </c>
      <c r="E1394" s="157">
        <v>1101.5</v>
      </c>
      <c r="F1394" s="181" t="s">
        <v>118</v>
      </c>
      <c r="G1394" s="262" t="str">
        <f>IF(BD!$E1384="","",(E1394/(H1394*I1394)))</f>
        <v/>
      </c>
      <c r="H1394" s="163">
        <v>1</v>
      </c>
      <c r="I1394" s="163">
        <v>1</v>
      </c>
      <c r="J1394" s="85" t="str">
        <f t="shared" si="38"/>
        <v>ICO281</v>
      </c>
    </row>
    <row r="1395" spans="1:10">
      <c r="A1395" s="257">
        <f t="shared" si="37"/>
        <v>282</v>
      </c>
      <c r="B1395" s="220" t="s">
        <v>1130</v>
      </c>
      <c r="C1395" s="208" t="s">
        <v>31</v>
      </c>
      <c r="D1395" s="49" t="s">
        <v>118</v>
      </c>
      <c r="E1395" s="157">
        <v>11100</v>
      </c>
      <c r="F1395" s="181" t="s">
        <v>118</v>
      </c>
      <c r="G1395" s="262" t="str">
        <f>IF(BD!$E1385="","",(E1395/(H1395*I1395)))</f>
        <v/>
      </c>
      <c r="H1395" s="163">
        <v>1</v>
      </c>
      <c r="I1395" s="163">
        <v>1</v>
      </c>
      <c r="J1395" s="85" t="str">
        <f t="shared" si="38"/>
        <v>ICO282</v>
      </c>
    </row>
    <row r="1396" spans="1:10">
      <c r="A1396" s="258">
        <f t="shared" si="37"/>
        <v>283</v>
      </c>
      <c r="B1396" s="271" t="s">
        <v>1131</v>
      </c>
      <c r="C1396" s="208" t="s">
        <v>31</v>
      </c>
      <c r="D1396" s="49" t="s">
        <v>224</v>
      </c>
      <c r="E1396" s="209"/>
      <c r="F1396" s="181" t="s">
        <v>118</v>
      </c>
      <c r="H1396" s="163">
        <v>1</v>
      </c>
      <c r="I1396" s="163">
        <v>1</v>
      </c>
      <c r="J1396" s="85" t="str">
        <f t="shared" si="38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75">
      <c r="A1414" s="76"/>
      <c r="B1414" s="77" t="s">
        <v>128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6.25">
      <c r="A1416" s="131" t="s">
        <v>99</v>
      </c>
      <c r="B1416" s="248">
        <f>SUBTOTAL(3,Tabla34[Material])</f>
        <v>82</v>
      </c>
      <c r="C1416" s="490"/>
      <c r="D1416" s="490"/>
      <c r="E1416"/>
      <c r="F1416" s="178"/>
      <c r="H1416"/>
      <c r="I1416"/>
    </row>
    <row r="1417" spans="1:11" ht="47.25">
      <c r="A1417" s="129" t="s">
        <v>79</v>
      </c>
      <c r="B1417" s="67" t="s">
        <v>101</v>
      </c>
      <c r="C1417" s="116" t="s">
        <v>102</v>
      </c>
      <c r="D1417" s="130" t="s">
        <v>103</v>
      </c>
      <c r="E1417" s="60" t="s">
        <v>104</v>
      </c>
      <c r="F1417" s="184" t="s">
        <v>105</v>
      </c>
      <c r="G1417" s="61" t="s">
        <v>106</v>
      </c>
      <c r="H1417" s="62" t="s">
        <v>107</v>
      </c>
      <c r="I1417" s="62" t="s">
        <v>108</v>
      </c>
      <c r="J1417" s="73" t="s">
        <v>109</v>
      </c>
      <c r="K1417" s="255" t="s">
        <v>110</v>
      </c>
    </row>
    <row r="1418" spans="1:11">
      <c r="A1418" s="42">
        <v>1</v>
      </c>
      <c r="B1418" s="43" t="s">
        <v>1132</v>
      </c>
      <c r="C1418" s="206" t="s">
        <v>60</v>
      </c>
      <c r="D1418" s="223" t="s">
        <v>1133</v>
      </c>
      <c r="E1418" s="44">
        <v>35093.533333333333</v>
      </c>
      <c r="F1418" s="177" t="s">
        <v>1133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39">CONCATENATE(LEFT(C1418,1),MID(C1418,SEARCH("_",C1418)+1,2),TEXT(A1418,"000"))</f>
        <v>PP001</v>
      </c>
      <c r="K1418" s="117"/>
    </row>
    <row r="1419" spans="1:11">
      <c r="A1419" s="42">
        <f t="shared" ref="A1419:A1450" si="40">A1418+1</f>
        <v>2</v>
      </c>
      <c r="B1419" s="43" t="s">
        <v>1134</v>
      </c>
      <c r="C1419" s="206" t="s">
        <v>60</v>
      </c>
      <c r="D1419" s="58" t="s">
        <v>118</v>
      </c>
      <c r="E1419" s="44">
        <v>3146.625</v>
      </c>
      <c r="F1419" s="177" t="s">
        <v>118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39"/>
        <v>PP002</v>
      </c>
      <c r="K1419" s="117"/>
    </row>
    <row r="1420" spans="1:11">
      <c r="A1420" s="42">
        <f t="shared" si="40"/>
        <v>3</v>
      </c>
      <c r="B1420" s="37" t="s">
        <v>1135</v>
      </c>
      <c r="C1420" s="206" t="s">
        <v>60</v>
      </c>
      <c r="D1420" s="49" t="s">
        <v>118</v>
      </c>
      <c r="E1420" s="44">
        <v>8731.5333333333328</v>
      </c>
      <c r="F1420" s="177" t="s">
        <v>118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39"/>
        <v>PP003</v>
      </c>
      <c r="K1420" s="117"/>
    </row>
    <row r="1421" spans="1:11">
      <c r="A1421" s="42">
        <f t="shared" si="40"/>
        <v>4</v>
      </c>
      <c r="B1421" s="43" t="s">
        <v>1136</v>
      </c>
      <c r="C1421" s="206" t="s">
        <v>60</v>
      </c>
      <c r="D1421" s="49" t="s">
        <v>118</v>
      </c>
      <c r="E1421" s="44">
        <v>5376.625</v>
      </c>
      <c r="F1421" s="177" t="s">
        <v>118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39"/>
        <v>PP004</v>
      </c>
      <c r="K1421" s="117"/>
    </row>
    <row r="1422" spans="1:11">
      <c r="A1422" s="42">
        <f t="shared" si="40"/>
        <v>5</v>
      </c>
      <c r="B1422" s="43" t="s">
        <v>1137</v>
      </c>
      <c r="C1422" s="206" t="s">
        <v>60</v>
      </c>
      <c r="D1422" s="49" t="s">
        <v>118</v>
      </c>
      <c r="E1422" s="44">
        <v>7039.5</v>
      </c>
      <c r="F1422" s="177" t="s">
        <v>118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39"/>
        <v>PP005</v>
      </c>
      <c r="K1422" s="117"/>
    </row>
    <row r="1423" spans="1:11">
      <c r="A1423" s="42">
        <f t="shared" si="40"/>
        <v>6</v>
      </c>
      <c r="B1423" s="43" t="s">
        <v>1138</v>
      </c>
      <c r="C1423" s="206" t="s">
        <v>60</v>
      </c>
      <c r="D1423" s="49" t="s">
        <v>118</v>
      </c>
      <c r="E1423" s="44">
        <v>13260</v>
      </c>
      <c r="F1423" s="177" t="s">
        <v>118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39"/>
        <v>PP006</v>
      </c>
      <c r="K1423" s="117"/>
    </row>
    <row r="1424" spans="1:11">
      <c r="A1424" s="42">
        <f t="shared" si="40"/>
        <v>7</v>
      </c>
      <c r="B1424" s="43" t="s">
        <v>1139</v>
      </c>
      <c r="C1424" s="206" t="s">
        <v>60</v>
      </c>
      <c r="D1424" s="49" t="s">
        <v>118</v>
      </c>
      <c r="E1424" s="44">
        <v>5136.2</v>
      </c>
      <c r="F1424" s="177" t="s">
        <v>118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39"/>
        <v>PP007</v>
      </c>
      <c r="K1424" s="117"/>
    </row>
    <row r="1425" spans="1:11">
      <c r="A1425" s="42">
        <f t="shared" si="40"/>
        <v>8</v>
      </c>
      <c r="B1425" s="43" t="s">
        <v>1140</v>
      </c>
      <c r="C1425" s="206" t="s">
        <v>60</v>
      </c>
      <c r="D1425" s="49" t="s">
        <v>118</v>
      </c>
      <c r="E1425" s="44">
        <v>5628.6</v>
      </c>
      <c r="F1425" s="177" t="s">
        <v>118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39"/>
        <v>PP008</v>
      </c>
      <c r="K1425" s="117"/>
    </row>
    <row r="1426" spans="1:11">
      <c r="A1426" s="42">
        <f t="shared" si="40"/>
        <v>9</v>
      </c>
      <c r="B1426" s="37" t="s">
        <v>1141</v>
      </c>
      <c r="C1426" s="206" t="s">
        <v>60</v>
      </c>
      <c r="D1426" s="49" t="s">
        <v>118</v>
      </c>
      <c r="E1426" s="47">
        <v>7204.6</v>
      </c>
      <c r="F1426" s="177" t="s">
        <v>118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39"/>
        <v>PP009</v>
      </c>
      <c r="K1426" s="117"/>
    </row>
    <row r="1427" spans="1:11">
      <c r="A1427" s="42">
        <f t="shared" si="40"/>
        <v>10</v>
      </c>
      <c r="B1427" s="43" t="s">
        <v>1142</v>
      </c>
      <c r="C1427" s="206" t="s">
        <v>60</v>
      </c>
      <c r="D1427" s="49" t="s">
        <v>118</v>
      </c>
      <c r="E1427" s="47">
        <v>12510</v>
      </c>
      <c r="F1427" s="177" t="s">
        <v>118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39"/>
        <v>PP010</v>
      </c>
      <c r="K1427" s="117"/>
    </row>
    <row r="1428" spans="1:11">
      <c r="A1428" s="42">
        <f t="shared" si="40"/>
        <v>11</v>
      </c>
      <c r="B1428" s="43" t="s">
        <v>1143</v>
      </c>
      <c r="C1428" s="206" t="s">
        <v>60</v>
      </c>
      <c r="D1428" s="49" t="s">
        <v>118</v>
      </c>
      <c r="E1428" s="47">
        <v>8789</v>
      </c>
      <c r="F1428" s="177" t="s">
        <v>118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39"/>
        <v>PP011</v>
      </c>
      <c r="K1428" s="117"/>
    </row>
    <row r="1429" spans="1:11">
      <c r="A1429" s="42">
        <f t="shared" si="40"/>
        <v>12</v>
      </c>
      <c r="B1429" s="43" t="s">
        <v>1144</v>
      </c>
      <c r="C1429" s="206" t="s">
        <v>60</v>
      </c>
      <c r="D1429" s="49" t="s">
        <v>118</v>
      </c>
      <c r="E1429" s="47">
        <v>20643.5</v>
      </c>
      <c r="F1429" s="177" t="s">
        <v>118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39"/>
        <v>PP012</v>
      </c>
      <c r="K1429" s="117"/>
    </row>
    <row r="1430" spans="1:11">
      <c r="A1430" s="42">
        <f t="shared" si="40"/>
        <v>13</v>
      </c>
      <c r="B1430" s="43" t="s">
        <v>1145</v>
      </c>
      <c r="C1430" s="206" t="s">
        <v>60</v>
      </c>
      <c r="D1430" s="49" t="s">
        <v>118</v>
      </c>
      <c r="E1430" s="47">
        <v>2006</v>
      </c>
      <c r="F1430" s="177" t="s">
        <v>118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39"/>
        <v>PP013</v>
      </c>
      <c r="K1430" s="117"/>
    </row>
    <row r="1431" spans="1:11">
      <c r="A1431" s="42">
        <f t="shared" si="40"/>
        <v>14</v>
      </c>
      <c r="B1431" s="43" t="s">
        <v>1146</v>
      </c>
      <c r="C1431" s="206" t="s">
        <v>60</v>
      </c>
      <c r="D1431" s="49" t="s">
        <v>118</v>
      </c>
      <c r="E1431" s="47">
        <v>36293.5</v>
      </c>
      <c r="F1431" s="177" t="s">
        <v>118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39"/>
        <v>PP014</v>
      </c>
      <c r="K1431" s="117"/>
    </row>
    <row r="1432" spans="1:11">
      <c r="A1432" s="42">
        <f t="shared" si="40"/>
        <v>15</v>
      </c>
      <c r="B1432" s="37" t="s">
        <v>1147</v>
      </c>
      <c r="C1432" s="206" t="s">
        <v>60</v>
      </c>
      <c r="D1432" s="49" t="s">
        <v>118</v>
      </c>
      <c r="E1432" s="47">
        <v>9613.3333333333339</v>
      </c>
      <c r="F1432" s="177" t="s">
        <v>118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39"/>
        <v>PP015</v>
      </c>
      <c r="K1432" s="117"/>
    </row>
    <row r="1433" spans="1:11">
      <c r="A1433" s="42">
        <f t="shared" si="40"/>
        <v>16</v>
      </c>
      <c r="B1433" s="37" t="s">
        <v>1148</v>
      </c>
      <c r="C1433" s="206" t="s">
        <v>60</v>
      </c>
      <c r="D1433" s="49" t="s">
        <v>118</v>
      </c>
      <c r="E1433" s="47">
        <v>76295</v>
      </c>
      <c r="F1433" s="177" t="s">
        <v>118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39"/>
        <v>PP016</v>
      </c>
      <c r="K1433" s="117"/>
    </row>
    <row r="1434" spans="1:11">
      <c r="A1434" s="42">
        <f t="shared" si="40"/>
        <v>17</v>
      </c>
      <c r="B1434" s="37" t="s">
        <v>1149</v>
      </c>
      <c r="C1434" s="206" t="s">
        <v>60</v>
      </c>
      <c r="D1434" s="49" t="s">
        <v>118</v>
      </c>
      <c r="E1434" s="47">
        <v>3326.46</v>
      </c>
      <c r="F1434" s="177" t="s">
        <v>118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39"/>
        <v>PP017</v>
      </c>
      <c r="K1434" s="117"/>
    </row>
    <row r="1435" spans="1:11" ht="30">
      <c r="A1435" s="42">
        <f t="shared" si="40"/>
        <v>18</v>
      </c>
      <c r="B1435" s="37" t="s">
        <v>1150</v>
      </c>
      <c r="C1435" s="206" t="s">
        <v>60</v>
      </c>
      <c r="D1435" s="49" t="s">
        <v>118</v>
      </c>
      <c r="E1435" s="47">
        <v>61667.5</v>
      </c>
      <c r="F1435" s="177" t="s">
        <v>118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39"/>
        <v>PP018</v>
      </c>
      <c r="K1435" s="117"/>
    </row>
    <row r="1436" spans="1:11" ht="30">
      <c r="A1436" s="42">
        <f t="shared" si="40"/>
        <v>19</v>
      </c>
      <c r="B1436" s="37" t="s">
        <v>1151</v>
      </c>
      <c r="C1436" s="206" t="s">
        <v>60</v>
      </c>
      <c r="D1436" s="49" t="s">
        <v>118</v>
      </c>
      <c r="E1436" s="44">
        <v>720750</v>
      </c>
      <c r="F1436" s="177" t="s">
        <v>118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39"/>
        <v>PP019</v>
      </c>
      <c r="K1436" s="117"/>
    </row>
    <row r="1437" spans="1:11">
      <c r="A1437" s="42">
        <f t="shared" si="40"/>
        <v>20</v>
      </c>
      <c r="B1437" s="43" t="s">
        <v>1152</v>
      </c>
      <c r="C1437" s="206" t="s">
        <v>60</v>
      </c>
      <c r="D1437" s="49" t="s">
        <v>1093</v>
      </c>
      <c r="E1437" s="44">
        <v>3215</v>
      </c>
      <c r="F1437" s="177" t="s">
        <v>1093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39"/>
        <v>PP020</v>
      </c>
      <c r="K1437" s="117"/>
    </row>
    <row r="1438" spans="1:11">
      <c r="A1438" s="42">
        <f t="shared" si="40"/>
        <v>21</v>
      </c>
      <c r="B1438" s="43" t="s">
        <v>1153</v>
      </c>
      <c r="C1438" s="206" t="s">
        <v>60</v>
      </c>
      <c r="D1438" s="49" t="s">
        <v>1093</v>
      </c>
      <c r="E1438" s="44">
        <v>8300</v>
      </c>
      <c r="F1438" s="177" t="s">
        <v>1093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39"/>
        <v>PP021</v>
      </c>
      <c r="K1438" s="117"/>
    </row>
    <row r="1439" spans="1:11">
      <c r="A1439" s="42">
        <f t="shared" si="40"/>
        <v>22</v>
      </c>
      <c r="B1439" s="43" t="s">
        <v>1154</v>
      </c>
      <c r="C1439" s="206" t="s">
        <v>60</v>
      </c>
      <c r="D1439" s="49" t="s">
        <v>1093</v>
      </c>
      <c r="E1439" s="44">
        <v>3276</v>
      </c>
      <c r="F1439" s="177" t="s">
        <v>1093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39"/>
        <v>PP022</v>
      </c>
      <c r="K1439" s="117"/>
    </row>
    <row r="1440" spans="1:11">
      <c r="A1440" s="42">
        <f t="shared" si="40"/>
        <v>23</v>
      </c>
      <c r="B1440" s="43" t="s">
        <v>1155</v>
      </c>
      <c r="C1440" s="206" t="s">
        <v>60</v>
      </c>
      <c r="D1440" s="49" t="s">
        <v>118</v>
      </c>
      <c r="E1440" s="44">
        <v>34700</v>
      </c>
      <c r="F1440" s="177" t="s">
        <v>118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39"/>
        <v>PP023</v>
      </c>
      <c r="K1440" s="117"/>
    </row>
    <row r="1441" spans="1:11">
      <c r="A1441" s="42">
        <f t="shared" si="40"/>
        <v>24</v>
      </c>
      <c r="B1441" s="43" t="s">
        <v>1156</v>
      </c>
      <c r="C1441" s="206" t="s">
        <v>60</v>
      </c>
      <c r="D1441" s="49" t="s">
        <v>118</v>
      </c>
      <c r="E1441" s="44">
        <v>16695</v>
      </c>
      <c r="F1441" s="177" t="s">
        <v>118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39"/>
        <v>PP024</v>
      </c>
      <c r="K1441" s="117"/>
    </row>
    <row r="1442" spans="1:11">
      <c r="A1442" s="42">
        <f t="shared" si="40"/>
        <v>25</v>
      </c>
      <c r="B1442" s="43" t="s">
        <v>1157</v>
      </c>
      <c r="C1442" s="206" t="s">
        <v>60</v>
      </c>
      <c r="D1442" s="49" t="s">
        <v>118</v>
      </c>
      <c r="E1442" s="44">
        <v>20585</v>
      </c>
      <c r="F1442" s="177" t="s">
        <v>118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39"/>
        <v>PP025</v>
      </c>
      <c r="K1442" s="117"/>
    </row>
    <row r="1443" spans="1:11">
      <c r="A1443" s="42">
        <f t="shared" si="40"/>
        <v>26</v>
      </c>
      <c r="B1443" s="43" t="s">
        <v>1158</v>
      </c>
      <c r="C1443" s="206" t="s">
        <v>60</v>
      </c>
      <c r="D1443" s="49" t="s">
        <v>118</v>
      </c>
      <c r="E1443" s="44">
        <v>2912.52</v>
      </c>
      <c r="F1443" s="177" t="s">
        <v>118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39"/>
        <v>PP026</v>
      </c>
      <c r="K1443" s="117"/>
    </row>
    <row r="1444" spans="1:11">
      <c r="A1444" s="42">
        <f t="shared" si="40"/>
        <v>27</v>
      </c>
      <c r="B1444" s="43" t="s">
        <v>1159</v>
      </c>
      <c r="C1444" s="206" t="s">
        <v>60</v>
      </c>
      <c r="D1444" s="49" t="s">
        <v>118</v>
      </c>
      <c r="E1444" s="44">
        <v>18486</v>
      </c>
      <c r="F1444" s="177" t="s">
        <v>118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39"/>
        <v>PP027</v>
      </c>
      <c r="K1444" s="117"/>
    </row>
    <row r="1445" spans="1:11">
      <c r="A1445" s="42">
        <f t="shared" si="40"/>
        <v>28</v>
      </c>
      <c r="B1445" s="43" t="s">
        <v>1160</v>
      </c>
      <c r="C1445" s="206" t="s">
        <v>60</v>
      </c>
      <c r="D1445" s="49" t="s">
        <v>118</v>
      </c>
      <c r="E1445" s="44">
        <v>18895</v>
      </c>
      <c r="F1445" s="177" t="s">
        <v>118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39"/>
        <v>PP028</v>
      </c>
      <c r="K1445" s="117"/>
    </row>
    <row r="1446" spans="1:11">
      <c r="A1446" s="42">
        <f t="shared" si="40"/>
        <v>29</v>
      </c>
      <c r="B1446" s="43" t="s">
        <v>1161</v>
      </c>
      <c r="C1446" s="206" t="s">
        <v>60</v>
      </c>
      <c r="D1446" s="49" t="s">
        <v>118</v>
      </c>
      <c r="E1446" s="44">
        <v>35150</v>
      </c>
      <c r="F1446" s="177" t="s">
        <v>118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39"/>
        <v>PP029</v>
      </c>
      <c r="K1446" s="117"/>
    </row>
    <row r="1447" spans="1:11">
      <c r="A1447" s="42">
        <f t="shared" si="40"/>
        <v>30</v>
      </c>
      <c r="B1447" s="43" t="s">
        <v>1162</v>
      </c>
      <c r="C1447" s="206" t="s">
        <v>60</v>
      </c>
      <c r="D1447" s="49" t="s">
        <v>1093</v>
      </c>
      <c r="E1447" s="44">
        <v>3145</v>
      </c>
      <c r="F1447" s="177" t="s">
        <v>262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39"/>
        <v>PP030</v>
      </c>
      <c r="K1447" s="117"/>
    </row>
    <row r="1448" spans="1:11">
      <c r="A1448" s="42">
        <f t="shared" si="40"/>
        <v>31</v>
      </c>
      <c r="B1448" s="43" t="s">
        <v>1163</v>
      </c>
      <c r="C1448" s="206" t="s">
        <v>60</v>
      </c>
      <c r="D1448" s="49" t="s">
        <v>118</v>
      </c>
      <c r="E1448" s="44">
        <v>8470</v>
      </c>
      <c r="F1448" s="177" t="s">
        <v>118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39"/>
        <v>PP031</v>
      </c>
      <c r="K1448" s="117"/>
    </row>
    <row r="1449" spans="1:11">
      <c r="A1449" s="42">
        <f t="shared" si="40"/>
        <v>32</v>
      </c>
      <c r="B1449" s="43" t="s">
        <v>1164</v>
      </c>
      <c r="C1449" s="206" t="s">
        <v>60</v>
      </c>
      <c r="D1449" s="49" t="s">
        <v>118</v>
      </c>
      <c r="E1449" s="44">
        <v>2480</v>
      </c>
      <c r="F1449" s="177" t="s">
        <v>118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39"/>
        <v>PP032</v>
      </c>
      <c r="K1449" s="117"/>
    </row>
    <row r="1450" spans="1:11">
      <c r="A1450" s="42">
        <f t="shared" si="40"/>
        <v>33</v>
      </c>
      <c r="B1450" s="43" t="s">
        <v>1165</v>
      </c>
      <c r="C1450" s="206" t="s">
        <v>60</v>
      </c>
      <c r="D1450" s="49" t="s">
        <v>118</v>
      </c>
      <c r="E1450" s="44">
        <v>100620</v>
      </c>
      <c r="F1450" s="177" t="s">
        <v>118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1">CONCATENATE(LEFT(C1450,1),MID(C1450,SEARCH("_",C1450)+1,2),TEXT(A1450,"000"))</f>
        <v>PP033</v>
      </c>
      <c r="K1450" s="117"/>
    </row>
    <row r="1451" spans="1:11">
      <c r="A1451" s="42">
        <f t="shared" ref="A1451:A1482" si="42">A1450+1</f>
        <v>34</v>
      </c>
      <c r="B1451" s="43" t="s">
        <v>1166</v>
      </c>
      <c r="C1451" s="206" t="s">
        <v>60</v>
      </c>
      <c r="D1451" s="49" t="s">
        <v>118</v>
      </c>
      <c r="E1451" s="44">
        <v>50245</v>
      </c>
      <c r="F1451" s="177" t="s">
        <v>118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1"/>
        <v>PP034</v>
      </c>
      <c r="K1451" s="117"/>
    </row>
    <row r="1452" spans="1:11">
      <c r="A1452" s="42">
        <f t="shared" si="42"/>
        <v>35</v>
      </c>
      <c r="B1452" s="43" t="s">
        <v>1167</v>
      </c>
      <c r="C1452" s="206" t="s">
        <v>60</v>
      </c>
      <c r="D1452" s="49" t="s">
        <v>224</v>
      </c>
      <c r="E1452" s="44">
        <v>98275.666666666672</v>
      </c>
      <c r="F1452" s="177" t="s">
        <v>224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1"/>
        <v>PP035</v>
      </c>
      <c r="K1452" s="117"/>
    </row>
    <row r="1453" spans="1:11">
      <c r="A1453" s="42">
        <f t="shared" si="42"/>
        <v>36</v>
      </c>
      <c r="B1453" s="43" t="s">
        <v>1168</v>
      </c>
      <c r="C1453" s="206" t="s">
        <v>60</v>
      </c>
      <c r="D1453" s="49" t="s">
        <v>118</v>
      </c>
      <c r="E1453" s="44">
        <v>33709</v>
      </c>
      <c r="F1453" s="177" t="s">
        <v>118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1"/>
        <v>PP036</v>
      </c>
      <c r="K1453" s="117"/>
    </row>
    <row r="1454" spans="1:11">
      <c r="A1454" s="42">
        <f t="shared" si="42"/>
        <v>37</v>
      </c>
      <c r="B1454" s="43" t="s">
        <v>1169</v>
      </c>
      <c r="C1454" s="206" t="s">
        <v>60</v>
      </c>
      <c r="D1454" s="49" t="s">
        <v>118</v>
      </c>
      <c r="E1454" s="44">
        <v>103948</v>
      </c>
      <c r="F1454" s="177" t="s">
        <v>118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1"/>
        <v>PP037</v>
      </c>
      <c r="K1454" s="117"/>
    </row>
    <row r="1455" spans="1:11">
      <c r="A1455" s="42">
        <f t="shared" si="42"/>
        <v>38</v>
      </c>
      <c r="B1455" s="43" t="s">
        <v>1170</v>
      </c>
      <c r="C1455" s="206" t="s">
        <v>60</v>
      </c>
      <c r="D1455" s="49" t="s">
        <v>118</v>
      </c>
      <c r="E1455" s="44">
        <v>32370</v>
      </c>
      <c r="F1455" s="177" t="s">
        <v>118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1"/>
        <v>PP038</v>
      </c>
      <c r="K1455" s="117"/>
    </row>
    <row r="1456" spans="1:11">
      <c r="A1456" s="42">
        <f t="shared" si="42"/>
        <v>39</v>
      </c>
      <c r="B1456" s="43" t="s">
        <v>1171</v>
      </c>
      <c r="C1456" s="206" t="s">
        <v>60</v>
      </c>
      <c r="D1456" s="49" t="s">
        <v>118</v>
      </c>
      <c r="E1456" s="44">
        <v>110153</v>
      </c>
      <c r="F1456" s="177" t="s">
        <v>118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1"/>
        <v>PP039</v>
      </c>
      <c r="K1456" s="117"/>
    </row>
    <row r="1457" spans="1:11">
      <c r="A1457" s="42">
        <f t="shared" si="42"/>
        <v>40</v>
      </c>
      <c r="B1457" s="43" t="s">
        <v>1172</v>
      </c>
      <c r="C1457" s="206" t="s">
        <v>60</v>
      </c>
      <c r="D1457" s="49" t="s">
        <v>118</v>
      </c>
      <c r="E1457" s="44">
        <v>49830</v>
      </c>
      <c r="F1457" s="177" t="s">
        <v>118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1"/>
        <v>PP040</v>
      </c>
      <c r="K1457" s="117"/>
    </row>
    <row r="1458" spans="1:11">
      <c r="A1458" s="42">
        <f t="shared" si="42"/>
        <v>41</v>
      </c>
      <c r="B1458" s="43" t="s">
        <v>1173</v>
      </c>
      <c r="C1458" s="206" t="s">
        <v>60</v>
      </c>
      <c r="D1458" s="49" t="s">
        <v>118</v>
      </c>
      <c r="E1458" s="44">
        <v>45846.5</v>
      </c>
      <c r="F1458" s="177" t="s">
        <v>118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1"/>
        <v>PP041</v>
      </c>
      <c r="K1458" s="117"/>
    </row>
    <row r="1459" spans="1:11">
      <c r="A1459" s="42">
        <f t="shared" si="42"/>
        <v>42</v>
      </c>
      <c r="B1459" s="43" t="s">
        <v>1174</v>
      </c>
      <c r="C1459" s="206" t="s">
        <v>60</v>
      </c>
      <c r="D1459" s="49" t="s">
        <v>118</v>
      </c>
      <c r="E1459" s="44">
        <v>12830</v>
      </c>
      <c r="F1459" s="177" t="s">
        <v>118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1"/>
        <v>PP042</v>
      </c>
      <c r="K1459" s="117"/>
    </row>
    <row r="1460" spans="1:11" ht="25.5" customHeight="1">
      <c r="A1460" s="42">
        <f t="shared" si="42"/>
        <v>43</v>
      </c>
      <c r="B1460" s="43" t="s">
        <v>1175</v>
      </c>
      <c r="C1460" s="206" t="s">
        <v>60</v>
      </c>
      <c r="D1460" s="49" t="s">
        <v>118</v>
      </c>
      <c r="E1460" s="44">
        <v>38888.571428571428</v>
      </c>
      <c r="F1460" s="177" t="s">
        <v>118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1"/>
        <v>PP043</v>
      </c>
      <c r="K1460" s="117"/>
    </row>
    <row r="1461" spans="1:11">
      <c r="A1461" s="42">
        <f t="shared" si="42"/>
        <v>44</v>
      </c>
      <c r="B1461" s="43" t="s">
        <v>1176</v>
      </c>
      <c r="C1461" s="206" t="s">
        <v>60</v>
      </c>
      <c r="D1461" s="49" t="s">
        <v>248</v>
      </c>
      <c r="E1461" s="44">
        <v>90973.666666666672</v>
      </c>
      <c r="F1461" s="177" t="s">
        <v>262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1"/>
        <v>PP044</v>
      </c>
      <c r="K1461" s="117"/>
    </row>
    <row r="1462" spans="1:11">
      <c r="A1462" s="42">
        <f t="shared" si="42"/>
        <v>45</v>
      </c>
      <c r="B1462" s="43" t="s">
        <v>1177</v>
      </c>
      <c r="C1462" s="206" t="s">
        <v>60</v>
      </c>
      <c r="D1462" s="49" t="s">
        <v>118</v>
      </c>
      <c r="E1462" s="44">
        <v>22475</v>
      </c>
      <c r="F1462" s="177" t="s">
        <v>118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1"/>
        <v>PP045</v>
      </c>
      <c r="K1462" s="117"/>
    </row>
    <row r="1463" spans="1:11">
      <c r="A1463" s="42">
        <f t="shared" si="42"/>
        <v>46</v>
      </c>
      <c r="B1463" s="43" t="s">
        <v>1178</v>
      </c>
      <c r="C1463" s="206" t="s">
        <v>60</v>
      </c>
      <c r="D1463" s="49" t="s">
        <v>118</v>
      </c>
      <c r="E1463" s="44">
        <v>95966.7</v>
      </c>
      <c r="F1463" s="177" t="s">
        <v>118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1"/>
        <v>PP046</v>
      </c>
      <c r="K1463" s="117"/>
    </row>
    <row r="1464" spans="1:11">
      <c r="A1464" s="42">
        <f t="shared" si="42"/>
        <v>47</v>
      </c>
      <c r="B1464" s="43" t="s">
        <v>1179</v>
      </c>
      <c r="C1464" s="206" t="s">
        <v>60</v>
      </c>
      <c r="D1464" s="49" t="s">
        <v>118</v>
      </c>
      <c r="E1464" s="44">
        <v>22654</v>
      </c>
      <c r="F1464" s="177" t="s">
        <v>118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1"/>
        <v>PP047</v>
      </c>
      <c r="K1464" s="117"/>
    </row>
    <row r="1465" spans="1:11">
      <c r="A1465" s="42">
        <f t="shared" si="42"/>
        <v>48</v>
      </c>
      <c r="B1465" s="43" t="s">
        <v>1180</v>
      </c>
      <c r="C1465" s="206" t="s">
        <v>60</v>
      </c>
      <c r="D1465" s="49" t="s">
        <v>118</v>
      </c>
      <c r="E1465" s="44">
        <v>73154</v>
      </c>
      <c r="F1465" s="177" t="s">
        <v>118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1"/>
        <v>PP048</v>
      </c>
      <c r="K1465" s="117"/>
    </row>
    <row r="1466" spans="1:11">
      <c r="A1466" s="42">
        <f t="shared" si="42"/>
        <v>49</v>
      </c>
      <c r="B1466" s="43" t="s">
        <v>1181</v>
      </c>
      <c r="C1466" s="206" t="s">
        <v>60</v>
      </c>
      <c r="D1466" s="49" t="s">
        <v>118</v>
      </c>
      <c r="E1466" s="44">
        <v>22053.571428571428</v>
      </c>
      <c r="F1466" s="177" t="s">
        <v>118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1"/>
        <v>PP049</v>
      </c>
      <c r="K1466" s="117"/>
    </row>
    <row r="1467" spans="1:11">
      <c r="A1467" s="42">
        <f t="shared" si="42"/>
        <v>50</v>
      </c>
      <c r="B1467" s="43" t="s">
        <v>1182</v>
      </c>
      <c r="C1467" s="206" t="s">
        <v>60</v>
      </c>
      <c r="D1467" s="49" t="s">
        <v>118</v>
      </c>
      <c r="E1467" s="44">
        <v>132350</v>
      </c>
      <c r="F1467" s="177" t="s">
        <v>118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1"/>
        <v>PP050</v>
      </c>
      <c r="K1467" s="117"/>
    </row>
    <row r="1468" spans="1:11">
      <c r="A1468" s="42">
        <f t="shared" si="42"/>
        <v>51</v>
      </c>
      <c r="B1468" s="43" t="s">
        <v>1183</v>
      </c>
      <c r="C1468" s="206" t="s">
        <v>60</v>
      </c>
      <c r="D1468" s="49" t="s">
        <v>118</v>
      </c>
      <c r="E1468" s="44">
        <v>22518.5</v>
      </c>
      <c r="F1468" s="177" t="s">
        <v>118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1"/>
        <v>PP051</v>
      </c>
      <c r="K1468" s="117"/>
    </row>
    <row r="1469" spans="1:11">
      <c r="A1469" s="42">
        <f t="shared" si="42"/>
        <v>52</v>
      </c>
      <c r="B1469" s="43" t="s">
        <v>1184</v>
      </c>
      <c r="C1469" s="206" t="s">
        <v>60</v>
      </c>
      <c r="D1469" s="49" t="s">
        <v>118</v>
      </c>
      <c r="E1469" s="44">
        <v>2242.6</v>
      </c>
      <c r="F1469" s="177" t="s">
        <v>118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1"/>
        <v>PP052</v>
      </c>
      <c r="K1469" s="117"/>
    </row>
    <row r="1470" spans="1:11">
      <c r="A1470" s="42">
        <f t="shared" si="42"/>
        <v>53</v>
      </c>
      <c r="B1470" s="43" t="s">
        <v>1185</v>
      </c>
      <c r="C1470" s="206" t="s">
        <v>60</v>
      </c>
      <c r="D1470" s="49" t="s">
        <v>118</v>
      </c>
      <c r="E1470" s="44">
        <v>1875.65</v>
      </c>
      <c r="F1470" s="177" t="s">
        <v>118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1"/>
        <v>PP053</v>
      </c>
      <c r="K1470" s="117"/>
    </row>
    <row r="1471" spans="1:11" ht="45">
      <c r="A1471" s="42">
        <f t="shared" si="42"/>
        <v>54</v>
      </c>
      <c r="B1471" s="43" t="s">
        <v>1186</v>
      </c>
      <c r="C1471" s="206" t="s">
        <v>60</v>
      </c>
      <c r="D1471" s="49" t="s">
        <v>216</v>
      </c>
      <c r="E1471" s="44">
        <v>3130</v>
      </c>
      <c r="F1471" s="177" t="s">
        <v>216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1"/>
        <v>PP054</v>
      </c>
      <c r="K1471" s="117"/>
    </row>
    <row r="1472" spans="1:11" ht="45">
      <c r="A1472" s="42">
        <f t="shared" si="42"/>
        <v>55</v>
      </c>
      <c r="B1472" s="43" t="s">
        <v>1187</v>
      </c>
      <c r="C1472" s="206" t="s">
        <v>60</v>
      </c>
      <c r="D1472" s="49" t="s">
        <v>216</v>
      </c>
      <c r="E1472" s="44">
        <v>5010</v>
      </c>
      <c r="F1472" s="177" t="s">
        <v>216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1"/>
        <v>PP055</v>
      </c>
      <c r="K1472" s="117"/>
    </row>
    <row r="1473" spans="1:11">
      <c r="A1473" s="42">
        <f t="shared" si="42"/>
        <v>56</v>
      </c>
      <c r="B1473" s="43" t="s">
        <v>1188</v>
      </c>
      <c r="C1473" s="206" t="s">
        <v>60</v>
      </c>
      <c r="D1473" s="49" t="s">
        <v>118</v>
      </c>
      <c r="E1473" s="44">
        <v>37950</v>
      </c>
      <c r="F1473" s="177" t="s">
        <v>118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1"/>
        <v>PP056</v>
      </c>
      <c r="K1473" s="117"/>
    </row>
    <row r="1474" spans="1:11">
      <c r="A1474" s="42">
        <f t="shared" si="42"/>
        <v>57</v>
      </c>
      <c r="B1474" s="43" t="s">
        <v>1189</v>
      </c>
      <c r="C1474" s="206" t="s">
        <v>60</v>
      </c>
      <c r="D1474" s="49" t="s">
        <v>1190</v>
      </c>
      <c r="E1474" s="44">
        <v>17375</v>
      </c>
      <c r="F1474" s="177" t="s">
        <v>1190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1"/>
        <v>PP057</v>
      </c>
      <c r="K1474" s="117"/>
    </row>
    <row r="1475" spans="1:11">
      <c r="A1475" s="42">
        <f t="shared" si="42"/>
        <v>58</v>
      </c>
      <c r="B1475" s="43" t="s">
        <v>1191</v>
      </c>
      <c r="C1475" s="206" t="s">
        <v>60</v>
      </c>
      <c r="D1475" s="49" t="s">
        <v>259</v>
      </c>
      <c r="E1475" s="44">
        <v>107770</v>
      </c>
      <c r="F1475" s="177" t="s">
        <v>259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1"/>
        <v>PP058</v>
      </c>
      <c r="K1475" s="117"/>
    </row>
    <row r="1476" spans="1:11">
      <c r="A1476" s="42">
        <f t="shared" si="42"/>
        <v>59</v>
      </c>
      <c r="B1476" s="43" t="s">
        <v>1192</v>
      </c>
      <c r="C1476" s="206" t="s">
        <v>60</v>
      </c>
      <c r="D1476" s="49" t="s">
        <v>118</v>
      </c>
      <c r="E1476" s="44">
        <v>2670.7666666666669</v>
      </c>
      <c r="F1476" s="177" t="s">
        <v>118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1"/>
        <v>PP059</v>
      </c>
      <c r="K1476" s="117"/>
    </row>
    <row r="1477" spans="1:11">
      <c r="A1477" s="42">
        <f t="shared" si="42"/>
        <v>60</v>
      </c>
      <c r="B1477" s="43" t="s">
        <v>1193</v>
      </c>
      <c r="C1477" s="206" t="s">
        <v>60</v>
      </c>
      <c r="D1477" s="49" t="s">
        <v>216</v>
      </c>
      <c r="E1477" s="44">
        <v>21800</v>
      </c>
      <c r="F1477" s="177" t="s">
        <v>216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1"/>
        <v>PP060</v>
      </c>
      <c r="K1477" s="117"/>
    </row>
    <row r="1478" spans="1:11">
      <c r="A1478" s="42">
        <f t="shared" si="42"/>
        <v>61</v>
      </c>
      <c r="B1478" s="43" t="s">
        <v>1194</v>
      </c>
      <c r="C1478" s="206" t="s">
        <v>60</v>
      </c>
      <c r="D1478" s="49" t="s">
        <v>1093</v>
      </c>
      <c r="E1478" s="44">
        <v>9196.3666666666668</v>
      </c>
      <c r="F1478" s="177" t="s">
        <v>262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1"/>
        <v>PP061</v>
      </c>
      <c r="K1478" s="117"/>
    </row>
    <row r="1479" spans="1:11">
      <c r="A1479" s="42">
        <f t="shared" si="42"/>
        <v>62</v>
      </c>
      <c r="B1479" s="43" t="s">
        <v>1195</v>
      </c>
      <c r="C1479" s="206" t="s">
        <v>60</v>
      </c>
      <c r="D1479" s="49" t="s">
        <v>1093</v>
      </c>
      <c r="E1479" s="44">
        <v>9275</v>
      </c>
      <c r="F1479" s="177" t="s">
        <v>1093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1"/>
        <v>PP062</v>
      </c>
      <c r="K1479" s="117"/>
    </row>
    <row r="1480" spans="1:11">
      <c r="A1480" s="42">
        <f t="shared" si="42"/>
        <v>63</v>
      </c>
      <c r="B1480" s="43" t="s">
        <v>1196</v>
      </c>
      <c r="C1480" s="206" t="s">
        <v>60</v>
      </c>
      <c r="D1480" s="49" t="s">
        <v>118</v>
      </c>
      <c r="E1480" s="44">
        <v>46106.7</v>
      </c>
      <c r="F1480" s="177" t="s">
        <v>118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1"/>
        <v>PP063</v>
      </c>
      <c r="K1480" s="117"/>
    </row>
    <row r="1481" spans="1:11">
      <c r="A1481" s="42">
        <f t="shared" si="42"/>
        <v>64</v>
      </c>
      <c r="B1481" s="43" t="s">
        <v>1197</v>
      </c>
      <c r="C1481" s="206" t="s">
        <v>60</v>
      </c>
      <c r="D1481" s="49" t="s">
        <v>259</v>
      </c>
      <c r="E1481" s="44">
        <v>38155</v>
      </c>
      <c r="F1481" s="177" t="s">
        <v>259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1"/>
        <v>PP064</v>
      </c>
      <c r="K1481" s="117"/>
    </row>
    <row r="1482" spans="1:11">
      <c r="A1482" s="42">
        <f t="shared" si="42"/>
        <v>65</v>
      </c>
      <c r="B1482" s="43" t="s">
        <v>1198</v>
      </c>
      <c r="C1482" s="206" t="s">
        <v>60</v>
      </c>
      <c r="D1482" s="49" t="s">
        <v>1093</v>
      </c>
      <c r="E1482" s="44">
        <v>189.5</v>
      </c>
      <c r="F1482" s="177" t="s">
        <v>1093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3">CONCATENATE(LEFT(C1482,1),MID(C1482,SEARCH("_",C1482)+1,2),TEXT(A1482,"000"))</f>
        <v>PP065</v>
      </c>
      <c r="K1482" s="117"/>
    </row>
    <row r="1483" spans="1:11">
      <c r="A1483" s="42">
        <f t="shared" ref="A1483:A1499" si="44">A1482+1</f>
        <v>66</v>
      </c>
      <c r="B1483" s="43" t="s">
        <v>1199</v>
      </c>
      <c r="C1483" s="206" t="s">
        <v>60</v>
      </c>
      <c r="D1483" s="49" t="s">
        <v>118</v>
      </c>
      <c r="E1483" s="44">
        <v>13585</v>
      </c>
      <c r="F1483" s="177" t="s">
        <v>118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3"/>
        <v>PP066</v>
      </c>
      <c r="K1483" s="117"/>
    </row>
    <row r="1484" spans="1:11">
      <c r="A1484" s="42">
        <f t="shared" si="44"/>
        <v>67</v>
      </c>
      <c r="B1484" s="43" t="s">
        <v>1200</v>
      </c>
      <c r="C1484" s="206" t="s">
        <v>60</v>
      </c>
      <c r="D1484" s="49" t="s">
        <v>1201</v>
      </c>
      <c r="E1484" s="44">
        <v>5850</v>
      </c>
      <c r="F1484" s="177" t="s">
        <v>1201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3"/>
        <v>PP067</v>
      </c>
      <c r="K1484" s="117"/>
    </row>
    <row r="1485" spans="1:11">
      <c r="A1485" s="42">
        <f t="shared" si="44"/>
        <v>68</v>
      </c>
      <c r="B1485" s="43" t="s">
        <v>1202</v>
      </c>
      <c r="C1485" s="206" t="s">
        <v>60</v>
      </c>
      <c r="D1485" s="49" t="s">
        <v>118</v>
      </c>
      <c r="E1485" s="44">
        <v>25650</v>
      </c>
      <c r="F1485" s="177" t="s">
        <v>118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3"/>
        <v>PP068</v>
      </c>
      <c r="K1485" s="117"/>
    </row>
    <row r="1486" spans="1:11">
      <c r="A1486" s="42">
        <f t="shared" si="44"/>
        <v>69</v>
      </c>
      <c r="B1486" s="43" t="s">
        <v>1203</v>
      </c>
      <c r="C1486" s="206" t="s">
        <v>60</v>
      </c>
      <c r="D1486" s="49" t="s">
        <v>118</v>
      </c>
      <c r="E1486" s="44">
        <v>2760</v>
      </c>
      <c r="F1486" s="177" t="s">
        <v>118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3"/>
        <v>PP069</v>
      </c>
      <c r="K1486" s="117"/>
    </row>
    <row r="1487" spans="1:11">
      <c r="A1487" s="42">
        <f t="shared" si="44"/>
        <v>70</v>
      </c>
      <c r="B1487" s="43" t="s">
        <v>1204</v>
      </c>
      <c r="C1487" s="206" t="s">
        <v>60</v>
      </c>
      <c r="D1487" s="49" t="s">
        <v>118</v>
      </c>
      <c r="E1487" s="44">
        <v>109000</v>
      </c>
      <c r="F1487" s="177" t="s">
        <v>118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3"/>
        <v>PP070</v>
      </c>
      <c r="K1487" s="117"/>
    </row>
    <row r="1488" spans="1:11">
      <c r="A1488" s="42">
        <f t="shared" si="44"/>
        <v>71</v>
      </c>
      <c r="B1488" s="43" t="s">
        <v>1205</v>
      </c>
      <c r="C1488" s="206" t="s">
        <v>60</v>
      </c>
      <c r="D1488" s="49" t="s">
        <v>118</v>
      </c>
      <c r="E1488" s="44">
        <v>758.33233532934105</v>
      </c>
      <c r="F1488" s="177" t="s">
        <v>118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3"/>
        <v>PP071</v>
      </c>
      <c r="K1488" s="117"/>
    </row>
    <row r="1489" spans="1:11">
      <c r="A1489" s="42">
        <f t="shared" si="44"/>
        <v>72</v>
      </c>
      <c r="B1489" s="43" t="s">
        <v>1206</v>
      </c>
      <c r="C1489" s="206" t="s">
        <v>60</v>
      </c>
      <c r="D1489" s="49" t="s">
        <v>118</v>
      </c>
      <c r="E1489" s="44">
        <v>2233.3000000000002</v>
      </c>
      <c r="F1489" s="177" t="s">
        <v>118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3"/>
        <v>PP072</v>
      </c>
      <c r="K1489" s="117"/>
    </row>
    <row r="1490" spans="1:11">
      <c r="A1490" s="42">
        <f t="shared" si="44"/>
        <v>73</v>
      </c>
      <c r="B1490" s="43" t="s">
        <v>1207</v>
      </c>
      <c r="C1490" s="206" t="s">
        <v>60</v>
      </c>
      <c r="D1490" s="49" t="s">
        <v>118</v>
      </c>
      <c r="E1490" s="44">
        <v>17680</v>
      </c>
      <c r="F1490" s="177" t="s">
        <v>118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3"/>
        <v>PP073</v>
      </c>
      <c r="K1490" s="117"/>
    </row>
    <row r="1491" spans="1:11">
      <c r="A1491" s="42">
        <f t="shared" si="44"/>
        <v>74</v>
      </c>
      <c r="B1491" s="43" t="s">
        <v>1208</v>
      </c>
      <c r="C1491" s="206" t="s">
        <v>60</v>
      </c>
      <c r="D1491" s="49" t="s">
        <v>118</v>
      </c>
      <c r="E1491" s="44">
        <v>16710</v>
      </c>
      <c r="F1491" s="177" t="s">
        <v>118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3"/>
        <v>PP074</v>
      </c>
      <c r="K1491" s="117"/>
    </row>
    <row r="1492" spans="1:11" ht="30">
      <c r="A1492" s="42">
        <f t="shared" si="44"/>
        <v>75</v>
      </c>
      <c r="B1492" s="37" t="s">
        <v>1209</v>
      </c>
      <c r="C1492" s="206" t="s">
        <v>60</v>
      </c>
      <c r="D1492" s="49" t="s">
        <v>118</v>
      </c>
      <c r="E1492" s="44">
        <v>1270000</v>
      </c>
      <c r="F1492" s="177" t="s">
        <v>118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3"/>
        <v>PP075</v>
      </c>
      <c r="K1492" s="117"/>
    </row>
    <row r="1493" spans="1:11">
      <c r="A1493" s="42">
        <f t="shared" si="44"/>
        <v>76</v>
      </c>
      <c r="B1493" s="43" t="s">
        <v>1210</v>
      </c>
      <c r="C1493" s="206" t="s">
        <v>60</v>
      </c>
      <c r="D1493" s="49" t="s">
        <v>118</v>
      </c>
      <c r="E1493" s="44">
        <v>4120</v>
      </c>
      <c r="F1493" s="177" t="s">
        <v>118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3"/>
        <v>PP076</v>
      </c>
      <c r="K1493" s="117"/>
    </row>
    <row r="1494" spans="1:11" ht="30">
      <c r="A1494" s="42">
        <f t="shared" si="44"/>
        <v>77</v>
      </c>
      <c r="B1494" s="43" t="s">
        <v>1211</v>
      </c>
      <c r="C1494" s="206" t="s">
        <v>60</v>
      </c>
      <c r="D1494" s="49" t="s">
        <v>224</v>
      </c>
      <c r="E1494" s="44">
        <v>45500</v>
      </c>
      <c r="F1494" s="177" t="s">
        <v>224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3"/>
        <v>PP077</v>
      </c>
      <c r="K1494" s="117"/>
    </row>
    <row r="1495" spans="1:11" ht="30">
      <c r="A1495" s="42">
        <f t="shared" si="44"/>
        <v>78</v>
      </c>
      <c r="B1495" s="43" t="s">
        <v>1212</v>
      </c>
      <c r="C1495" s="206" t="s">
        <v>60</v>
      </c>
      <c r="D1495" s="49" t="s">
        <v>224</v>
      </c>
      <c r="E1495" s="44">
        <v>44156.666666666664</v>
      </c>
      <c r="F1495" s="177" t="s">
        <v>224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3"/>
        <v>PP078</v>
      </c>
      <c r="K1495" s="117"/>
    </row>
    <row r="1496" spans="1:11">
      <c r="A1496" s="42">
        <f t="shared" si="44"/>
        <v>79</v>
      </c>
      <c r="B1496" s="43" t="s">
        <v>1213</v>
      </c>
      <c r="C1496" s="206" t="s">
        <v>60</v>
      </c>
      <c r="D1496" s="49" t="s">
        <v>224</v>
      </c>
      <c r="E1496" s="44">
        <v>43333.333333333336</v>
      </c>
      <c r="F1496" s="177" t="s">
        <v>224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3"/>
        <v>PP079</v>
      </c>
      <c r="K1496" s="117"/>
    </row>
    <row r="1497" spans="1:11">
      <c r="A1497" s="42">
        <f t="shared" si="44"/>
        <v>80</v>
      </c>
      <c r="B1497" s="43" t="s">
        <v>1214</v>
      </c>
      <c r="C1497" s="206" t="s">
        <v>60</v>
      </c>
      <c r="D1497" s="49" t="s">
        <v>118</v>
      </c>
      <c r="E1497" s="44">
        <v>2860</v>
      </c>
      <c r="F1497" s="177" t="s">
        <v>118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3"/>
        <v>PP080</v>
      </c>
      <c r="K1497" s="117"/>
    </row>
    <row r="1498" spans="1:11">
      <c r="A1498" s="42">
        <f t="shared" si="44"/>
        <v>81</v>
      </c>
      <c r="B1498" s="84" t="s">
        <v>1215</v>
      </c>
      <c r="C1498" s="206" t="s">
        <v>60</v>
      </c>
      <c r="D1498" s="83" t="s">
        <v>118</v>
      </c>
      <c r="E1498" s="157">
        <v>212420</v>
      </c>
      <c r="F1498" s="181" t="s">
        <v>118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3"/>
        <v>PP081</v>
      </c>
      <c r="K1498" s="117"/>
    </row>
    <row r="1499" spans="1:11">
      <c r="A1499" s="42">
        <f t="shared" si="44"/>
        <v>82</v>
      </c>
      <c r="B1499" s="43" t="s">
        <v>1216</v>
      </c>
      <c r="C1499" s="206" t="s">
        <v>60</v>
      </c>
      <c r="D1499" s="49" t="s">
        <v>118</v>
      </c>
      <c r="E1499" s="44">
        <v>245960</v>
      </c>
      <c r="F1499" s="177" t="s">
        <v>118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3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75">
      <c r="A1507" s="76"/>
      <c r="B1507" s="77" t="s">
        <v>128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99</v>
      </c>
      <c r="B1510" s="249">
        <f>SUBTOTAL(3,(B1512:B1597))</f>
        <v>86</v>
      </c>
      <c r="C1510" s="490"/>
      <c r="D1510" s="490"/>
      <c r="E1510"/>
      <c r="F1510" s="178"/>
      <c r="H1510"/>
      <c r="I1510"/>
    </row>
    <row r="1511" spans="1:11" ht="47.25">
      <c r="A1511" s="89" t="s">
        <v>79</v>
      </c>
      <c r="B1511" s="133" t="s">
        <v>101</v>
      </c>
      <c r="C1511" s="99" t="s">
        <v>102</v>
      </c>
      <c r="D1511" s="100" t="s">
        <v>103</v>
      </c>
      <c r="E1511" s="88" t="s">
        <v>104</v>
      </c>
      <c r="F1511" s="185" t="s">
        <v>105</v>
      </c>
      <c r="G1511" s="101" t="s">
        <v>106</v>
      </c>
      <c r="H1511" s="102" t="s">
        <v>107</v>
      </c>
      <c r="I1511" s="102" t="s">
        <v>108</v>
      </c>
      <c r="J1511" s="103" t="s">
        <v>109</v>
      </c>
      <c r="K1511" s="256" t="s">
        <v>110</v>
      </c>
    </row>
    <row r="1512" spans="1:11">
      <c r="A1512" s="80">
        <v>1</v>
      </c>
      <c r="B1512" s="98" t="s">
        <v>1217</v>
      </c>
      <c r="C1512" s="97" t="s">
        <v>1218</v>
      </c>
      <c r="D1512" s="93" t="s">
        <v>112</v>
      </c>
      <c r="E1512" s="91"/>
      <c r="F1512" s="186" t="s">
        <v>112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1219</v>
      </c>
      <c r="C1513" s="97" t="s">
        <v>1218</v>
      </c>
      <c r="D1513" s="90" t="s">
        <v>112</v>
      </c>
      <c r="E1513" s="91"/>
      <c r="F1513" s="187" t="s">
        <v>112</v>
      </c>
      <c r="G1513" s="11"/>
      <c r="H1513" s="92"/>
      <c r="I1513" s="92"/>
      <c r="J1513" s="85"/>
    </row>
    <row r="1514" spans="1:11">
      <c r="A1514" s="80">
        <f t="shared" ref="A1514:A1577" si="45">A1513+1</f>
        <v>3</v>
      </c>
      <c r="B1514" s="98" t="s">
        <v>1220</v>
      </c>
      <c r="C1514" s="97" t="s">
        <v>1218</v>
      </c>
      <c r="D1514" s="90" t="s">
        <v>1221</v>
      </c>
      <c r="E1514" s="91"/>
      <c r="F1514" s="187" t="s">
        <v>1221</v>
      </c>
      <c r="G1514" s="11"/>
      <c r="H1514" s="92"/>
      <c r="I1514" s="92"/>
      <c r="J1514" s="85"/>
    </row>
    <row r="1515" spans="1:11">
      <c r="A1515" s="80">
        <f t="shared" si="45"/>
        <v>4</v>
      </c>
      <c r="B1515" s="98" t="s">
        <v>1222</v>
      </c>
      <c r="C1515" s="97" t="s">
        <v>1218</v>
      </c>
      <c r="D1515" s="93" t="s">
        <v>112</v>
      </c>
      <c r="E1515" s="91"/>
      <c r="F1515" s="186" t="s">
        <v>112</v>
      </c>
      <c r="G1515" s="94"/>
      <c r="H1515" s="95"/>
      <c r="I1515" s="95"/>
      <c r="J1515" s="96"/>
    </row>
    <row r="1516" spans="1:11">
      <c r="A1516" s="80">
        <f t="shared" si="45"/>
        <v>5</v>
      </c>
      <c r="B1516" s="98" t="s">
        <v>1223</v>
      </c>
      <c r="C1516" s="97" t="s">
        <v>1218</v>
      </c>
      <c r="D1516" s="90" t="s">
        <v>112</v>
      </c>
      <c r="E1516" s="91"/>
      <c r="F1516" s="187" t="s">
        <v>112</v>
      </c>
      <c r="G1516" s="11"/>
      <c r="H1516" s="92"/>
      <c r="I1516" s="92"/>
      <c r="J1516" s="85"/>
    </row>
    <row r="1517" spans="1:11">
      <c r="A1517" s="80">
        <f t="shared" si="45"/>
        <v>6</v>
      </c>
      <c r="B1517" s="98" t="s">
        <v>1224</v>
      </c>
      <c r="C1517" s="97" t="s">
        <v>1218</v>
      </c>
      <c r="D1517" s="90" t="s">
        <v>112</v>
      </c>
      <c r="E1517" s="91"/>
      <c r="F1517" s="187" t="s">
        <v>112</v>
      </c>
      <c r="G1517" s="11"/>
      <c r="H1517" s="92"/>
      <c r="I1517" s="92"/>
      <c r="J1517" s="85"/>
    </row>
    <row r="1518" spans="1:11">
      <c r="A1518" s="80">
        <f t="shared" si="45"/>
        <v>7</v>
      </c>
      <c r="B1518" s="98" t="s">
        <v>1225</v>
      </c>
      <c r="C1518" s="97" t="s">
        <v>1218</v>
      </c>
      <c r="D1518" s="93" t="s">
        <v>112</v>
      </c>
      <c r="E1518" s="91"/>
      <c r="F1518" s="186" t="s">
        <v>112</v>
      </c>
      <c r="G1518" s="94"/>
      <c r="H1518" s="95"/>
      <c r="I1518" s="95"/>
      <c r="J1518" s="96"/>
    </row>
    <row r="1519" spans="1:11">
      <c r="A1519" s="80">
        <f t="shared" si="45"/>
        <v>8</v>
      </c>
      <c r="B1519" s="98" t="s">
        <v>1226</v>
      </c>
      <c r="C1519" s="97" t="s">
        <v>1218</v>
      </c>
      <c r="D1519" s="93" t="s">
        <v>113</v>
      </c>
      <c r="E1519" s="91"/>
      <c r="F1519" s="186" t="s">
        <v>113</v>
      </c>
      <c r="G1519" s="94"/>
      <c r="H1519" s="95"/>
      <c r="I1519" s="95"/>
      <c r="J1519" s="96"/>
    </row>
    <row r="1520" spans="1:11">
      <c r="A1520" s="80">
        <f t="shared" si="45"/>
        <v>9</v>
      </c>
      <c r="B1520" s="98" t="s">
        <v>1227</v>
      </c>
      <c r="C1520" s="97" t="s">
        <v>1218</v>
      </c>
      <c r="D1520" s="90" t="s">
        <v>486</v>
      </c>
      <c r="E1520" s="91"/>
      <c r="F1520" s="187" t="s">
        <v>486</v>
      </c>
      <c r="G1520" s="11"/>
      <c r="H1520" s="92"/>
      <c r="I1520" s="92"/>
      <c r="J1520" s="85"/>
    </row>
    <row r="1521" spans="1:10">
      <c r="A1521" s="80">
        <f t="shared" si="45"/>
        <v>10</v>
      </c>
      <c r="B1521" s="98" t="s">
        <v>1228</v>
      </c>
      <c r="C1521" s="97" t="s">
        <v>1218</v>
      </c>
      <c r="D1521" s="93" t="s">
        <v>1221</v>
      </c>
      <c r="E1521" s="91"/>
      <c r="F1521" s="186" t="s">
        <v>1221</v>
      </c>
      <c r="G1521" s="94"/>
      <c r="H1521" s="95"/>
      <c r="I1521" s="95"/>
      <c r="J1521" s="96"/>
    </row>
    <row r="1522" spans="1:10">
      <c r="A1522" s="80">
        <f t="shared" si="45"/>
        <v>11</v>
      </c>
      <c r="B1522" s="98" t="s">
        <v>1229</v>
      </c>
      <c r="C1522" s="97" t="s">
        <v>1218</v>
      </c>
      <c r="D1522" s="93" t="s">
        <v>112</v>
      </c>
      <c r="E1522" s="91"/>
      <c r="F1522" s="186" t="s">
        <v>112</v>
      </c>
      <c r="G1522" s="94"/>
      <c r="H1522" s="95"/>
      <c r="I1522" s="95"/>
      <c r="J1522" s="96"/>
    </row>
    <row r="1523" spans="1:10">
      <c r="A1523" s="80">
        <f t="shared" si="45"/>
        <v>12</v>
      </c>
      <c r="B1523" s="98" t="s">
        <v>1230</v>
      </c>
      <c r="C1523" s="97" t="s">
        <v>1218</v>
      </c>
      <c r="D1523" s="90" t="s">
        <v>1221</v>
      </c>
      <c r="E1523" s="91"/>
      <c r="F1523" s="187" t="s">
        <v>1221</v>
      </c>
      <c r="G1523" s="94"/>
      <c r="H1523" s="95"/>
      <c r="I1523" s="95"/>
      <c r="J1523" s="96"/>
    </row>
    <row r="1524" spans="1:10">
      <c r="A1524" s="80">
        <f t="shared" si="45"/>
        <v>13</v>
      </c>
      <c r="B1524" s="98" t="s">
        <v>1231</v>
      </c>
      <c r="C1524" s="97" t="s">
        <v>1218</v>
      </c>
      <c r="D1524" s="93" t="s">
        <v>113</v>
      </c>
      <c r="E1524" s="91"/>
      <c r="F1524" s="186" t="s">
        <v>113</v>
      </c>
      <c r="G1524" s="94"/>
      <c r="H1524" s="95"/>
      <c r="I1524" s="95"/>
      <c r="J1524" s="96"/>
    </row>
    <row r="1525" spans="1:10">
      <c r="A1525" s="80">
        <f t="shared" si="45"/>
        <v>14</v>
      </c>
      <c r="B1525" s="98" t="s">
        <v>1232</v>
      </c>
      <c r="C1525" s="97" t="s">
        <v>1218</v>
      </c>
      <c r="D1525" s="93" t="s">
        <v>112</v>
      </c>
      <c r="E1525" s="91"/>
      <c r="F1525" s="186" t="s">
        <v>112</v>
      </c>
      <c r="G1525" s="94"/>
      <c r="H1525" s="95"/>
      <c r="I1525" s="95"/>
      <c r="J1525" s="96"/>
    </row>
    <row r="1526" spans="1:10">
      <c r="A1526" s="80">
        <f t="shared" si="45"/>
        <v>15</v>
      </c>
      <c r="B1526" s="98" t="s">
        <v>1233</v>
      </c>
      <c r="C1526" s="97" t="s">
        <v>1218</v>
      </c>
      <c r="D1526" s="90" t="s">
        <v>112</v>
      </c>
      <c r="E1526" s="91"/>
      <c r="F1526" s="187" t="s">
        <v>112</v>
      </c>
      <c r="G1526" s="11"/>
      <c r="H1526" s="92"/>
      <c r="I1526" s="92"/>
      <c r="J1526" s="85"/>
    </row>
    <row r="1527" spans="1:10">
      <c r="A1527" s="80">
        <f t="shared" si="45"/>
        <v>16</v>
      </c>
      <c r="B1527" s="98" t="s">
        <v>1234</v>
      </c>
      <c r="C1527" s="97" t="s">
        <v>1218</v>
      </c>
      <c r="D1527" s="90" t="s">
        <v>112</v>
      </c>
      <c r="E1527" s="91"/>
      <c r="F1527" s="187" t="s">
        <v>112</v>
      </c>
      <c r="G1527" s="11"/>
      <c r="H1527" s="92"/>
      <c r="I1527" s="92"/>
      <c r="J1527" s="85"/>
    </row>
    <row r="1528" spans="1:10">
      <c r="A1528" s="80">
        <f t="shared" si="45"/>
        <v>17</v>
      </c>
      <c r="B1528" s="98" t="s">
        <v>1235</v>
      </c>
      <c r="C1528" s="97" t="s">
        <v>1218</v>
      </c>
      <c r="D1528" s="90" t="s">
        <v>486</v>
      </c>
      <c r="E1528" s="91"/>
      <c r="F1528" s="187" t="s">
        <v>486</v>
      </c>
      <c r="G1528" s="11"/>
      <c r="H1528" s="92"/>
      <c r="I1528" s="92"/>
      <c r="J1528" s="85"/>
    </row>
    <row r="1529" spans="1:10">
      <c r="A1529" s="80">
        <f t="shared" si="45"/>
        <v>18</v>
      </c>
      <c r="B1529" s="98" t="s">
        <v>1236</v>
      </c>
      <c r="C1529" s="97" t="s">
        <v>1218</v>
      </c>
      <c r="D1529" s="90" t="s">
        <v>112</v>
      </c>
      <c r="E1529" s="91"/>
      <c r="F1529" s="187" t="s">
        <v>112</v>
      </c>
      <c r="G1529" s="11"/>
      <c r="H1529" s="92"/>
      <c r="I1529" s="92"/>
      <c r="J1529" s="85"/>
    </row>
    <row r="1530" spans="1:10">
      <c r="A1530" s="80">
        <f t="shared" si="45"/>
        <v>19</v>
      </c>
      <c r="B1530" s="98" t="s">
        <v>1237</v>
      </c>
      <c r="C1530" s="97" t="s">
        <v>1218</v>
      </c>
      <c r="D1530" s="90" t="s">
        <v>486</v>
      </c>
      <c r="E1530" s="91"/>
      <c r="F1530" s="187" t="s">
        <v>486</v>
      </c>
      <c r="G1530" s="11"/>
      <c r="H1530" s="92"/>
      <c r="I1530" s="92"/>
      <c r="J1530" s="85"/>
    </row>
    <row r="1531" spans="1:10">
      <c r="A1531" s="80">
        <f t="shared" si="45"/>
        <v>20</v>
      </c>
      <c r="B1531" s="98" t="s">
        <v>1238</v>
      </c>
      <c r="C1531" s="97" t="s">
        <v>1218</v>
      </c>
      <c r="D1531" s="90" t="s">
        <v>1055</v>
      </c>
      <c r="E1531" s="91"/>
      <c r="F1531" s="187" t="s">
        <v>1055</v>
      </c>
      <c r="G1531" s="11"/>
      <c r="H1531" s="92"/>
      <c r="I1531" s="92"/>
      <c r="J1531" s="85"/>
    </row>
    <row r="1532" spans="1:10">
      <c r="A1532" s="80">
        <f t="shared" si="45"/>
        <v>21</v>
      </c>
      <c r="B1532" s="98" t="s">
        <v>1239</v>
      </c>
      <c r="C1532" s="97" t="s">
        <v>1218</v>
      </c>
      <c r="D1532" s="90" t="s">
        <v>486</v>
      </c>
      <c r="E1532" s="91"/>
      <c r="F1532" s="187" t="s">
        <v>486</v>
      </c>
      <c r="G1532" s="11"/>
      <c r="H1532" s="92"/>
      <c r="I1532" s="92"/>
      <c r="J1532" s="85"/>
    </row>
    <row r="1533" spans="1:10">
      <c r="A1533" s="80">
        <f t="shared" si="45"/>
        <v>22</v>
      </c>
      <c r="B1533" s="98" t="s">
        <v>1240</v>
      </c>
      <c r="C1533" s="97" t="s">
        <v>1218</v>
      </c>
      <c r="D1533" s="90" t="s">
        <v>113</v>
      </c>
      <c r="E1533" s="91"/>
      <c r="F1533" s="187" t="s">
        <v>113</v>
      </c>
      <c r="G1533" s="11"/>
      <c r="H1533" s="92"/>
      <c r="I1533" s="92"/>
      <c r="J1533" s="85"/>
    </row>
    <row r="1534" spans="1:10">
      <c r="A1534" s="80">
        <f t="shared" si="45"/>
        <v>23</v>
      </c>
      <c r="B1534" s="98" t="s">
        <v>1241</v>
      </c>
      <c r="C1534" s="97" t="s">
        <v>1218</v>
      </c>
      <c r="D1534" s="90" t="s">
        <v>1055</v>
      </c>
      <c r="E1534" s="91"/>
      <c r="F1534" s="187" t="s">
        <v>1055</v>
      </c>
      <c r="G1534" s="11"/>
      <c r="H1534" s="92"/>
      <c r="I1534" s="92"/>
      <c r="J1534" s="85"/>
    </row>
    <row r="1535" spans="1:10">
      <c r="A1535" s="80">
        <f t="shared" si="45"/>
        <v>24</v>
      </c>
      <c r="B1535" s="98" t="s">
        <v>1242</v>
      </c>
      <c r="C1535" s="97" t="s">
        <v>1218</v>
      </c>
      <c r="D1535" s="93" t="s">
        <v>486</v>
      </c>
      <c r="E1535" s="91"/>
      <c r="F1535" s="186" t="s">
        <v>486</v>
      </c>
      <c r="G1535" s="94"/>
      <c r="H1535" s="95"/>
      <c r="I1535" s="95"/>
      <c r="J1535" s="96"/>
    </row>
    <row r="1536" spans="1:10">
      <c r="A1536" s="80">
        <f t="shared" si="45"/>
        <v>25</v>
      </c>
      <c r="B1536" s="98" t="s">
        <v>1243</v>
      </c>
      <c r="C1536" s="97" t="s">
        <v>1218</v>
      </c>
      <c r="D1536" s="93" t="s">
        <v>486</v>
      </c>
      <c r="E1536" s="91"/>
      <c r="F1536" s="186" t="s">
        <v>486</v>
      </c>
      <c r="G1536" s="94"/>
      <c r="H1536" s="95"/>
      <c r="I1536" s="95"/>
      <c r="J1536" s="96"/>
    </row>
    <row r="1537" spans="1:10">
      <c r="A1537" s="80">
        <f t="shared" si="45"/>
        <v>26</v>
      </c>
      <c r="B1537" s="98" t="s">
        <v>1244</v>
      </c>
      <c r="C1537" s="97" t="s">
        <v>1218</v>
      </c>
      <c r="D1537" s="90" t="s">
        <v>486</v>
      </c>
      <c r="E1537" s="91"/>
      <c r="F1537" s="187" t="s">
        <v>486</v>
      </c>
      <c r="G1537" s="11"/>
      <c r="H1537" s="92"/>
      <c r="I1537" s="92"/>
      <c r="J1537" s="85"/>
    </row>
    <row r="1538" spans="1:10">
      <c r="A1538" s="80">
        <f t="shared" si="45"/>
        <v>27</v>
      </c>
      <c r="B1538" s="98" t="s">
        <v>1245</v>
      </c>
      <c r="C1538" s="97" t="s">
        <v>1218</v>
      </c>
      <c r="D1538" s="90" t="s">
        <v>486</v>
      </c>
      <c r="E1538" s="91"/>
      <c r="F1538" s="187" t="s">
        <v>486</v>
      </c>
      <c r="G1538" s="11"/>
      <c r="H1538" s="92"/>
      <c r="I1538" s="92"/>
      <c r="J1538" s="85"/>
    </row>
    <row r="1539" spans="1:10">
      <c r="A1539" s="80">
        <f t="shared" si="45"/>
        <v>28</v>
      </c>
      <c r="B1539" s="98" t="s">
        <v>1246</v>
      </c>
      <c r="C1539" s="97" t="s">
        <v>1218</v>
      </c>
      <c r="D1539" s="93" t="s">
        <v>486</v>
      </c>
      <c r="E1539" s="91"/>
      <c r="F1539" s="186" t="s">
        <v>486</v>
      </c>
      <c r="G1539" s="94"/>
      <c r="H1539" s="95"/>
      <c r="I1539" s="95"/>
      <c r="J1539" s="96"/>
    </row>
    <row r="1540" spans="1:10">
      <c r="A1540" s="80">
        <f t="shared" si="45"/>
        <v>29</v>
      </c>
      <c r="B1540" s="98" t="s">
        <v>1247</v>
      </c>
      <c r="C1540" s="97" t="s">
        <v>1218</v>
      </c>
      <c r="D1540" s="90" t="s">
        <v>1055</v>
      </c>
      <c r="E1540" s="91"/>
      <c r="F1540" s="187" t="s">
        <v>1055</v>
      </c>
      <c r="G1540" s="11"/>
      <c r="H1540" s="92"/>
      <c r="I1540" s="92"/>
      <c r="J1540" s="85"/>
    </row>
    <row r="1541" spans="1:10">
      <c r="A1541" s="80">
        <f t="shared" si="45"/>
        <v>30</v>
      </c>
      <c r="B1541" s="98" t="s">
        <v>1248</v>
      </c>
      <c r="C1541" s="97" t="s">
        <v>1218</v>
      </c>
      <c r="D1541" s="90" t="s">
        <v>112</v>
      </c>
      <c r="E1541" s="91"/>
      <c r="F1541" s="187" t="s">
        <v>112</v>
      </c>
      <c r="G1541" s="11"/>
      <c r="H1541" s="92"/>
      <c r="I1541" s="92"/>
      <c r="J1541" s="85"/>
    </row>
    <row r="1542" spans="1:10">
      <c r="A1542" s="80">
        <f t="shared" si="45"/>
        <v>31</v>
      </c>
      <c r="B1542" s="98" t="s">
        <v>1249</v>
      </c>
      <c r="C1542" s="97" t="s">
        <v>1218</v>
      </c>
      <c r="D1542" s="90" t="s">
        <v>112</v>
      </c>
      <c r="E1542" s="91"/>
      <c r="F1542" s="187" t="s">
        <v>112</v>
      </c>
      <c r="G1542" s="11"/>
      <c r="H1542" s="92"/>
      <c r="I1542" s="92"/>
      <c r="J1542" s="85"/>
    </row>
    <row r="1543" spans="1:10">
      <c r="A1543" s="80">
        <f t="shared" si="45"/>
        <v>32</v>
      </c>
      <c r="B1543" s="98" t="s">
        <v>1250</v>
      </c>
      <c r="C1543" s="97" t="s">
        <v>1218</v>
      </c>
      <c r="D1543" s="90" t="s">
        <v>1221</v>
      </c>
      <c r="E1543" s="91"/>
      <c r="F1543" s="187" t="s">
        <v>1221</v>
      </c>
      <c r="G1543" s="11"/>
      <c r="H1543" s="92"/>
      <c r="I1543" s="92"/>
      <c r="J1543" s="85"/>
    </row>
    <row r="1544" spans="1:10">
      <c r="A1544" s="80">
        <f t="shared" si="45"/>
        <v>33</v>
      </c>
      <c r="B1544" s="98" t="s">
        <v>1251</v>
      </c>
      <c r="C1544" s="97" t="s">
        <v>1218</v>
      </c>
      <c r="D1544" s="93" t="s">
        <v>112</v>
      </c>
      <c r="E1544" s="91"/>
      <c r="F1544" s="186" t="s">
        <v>112</v>
      </c>
      <c r="G1544" s="94"/>
      <c r="H1544" s="95"/>
      <c r="I1544" s="95"/>
      <c r="J1544" s="96"/>
    </row>
    <row r="1545" spans="1:10">
      <c r="A1545" s="80">
        <f t="shared" si="45"/>
        <v>34</v>
      </c>
      <c r="B1545" s="98" t="s">
        <v>1252</v>
      </c>
      <c r="C1545" s="97" t="s">
        <v>1218</v>
      </c>
      <c r="D1545" s="90" t="s">
        <v>113</v>
      </c>
      <c r="E1545" s="91"/>
      <c r="F1545" s="187" t="s">
        <v>113</v>
      </c>
      <c r="G1545" s="11"/>
      <c r="H1545" s="92"/>
      <c r="I1545" s="92"/>
      <c r="J1545" s="85"/>
    </row>
    <row r="1546" spans="1:10">
      <c r="A1546" s="80">
        <f t="shared" si="45"/>
        <v>35</v>
      </c>
      <c r="B1546" s="98" t="s">
        <v>1253</v>
      </c>
      <c r="C1546" s="97" t="s">
        <v>1218</v>
      </c>
      <c r="D1546" s="93" t="s">
        <v>112</v>
      </c>
      <c r="E1546" s="91"/>
      <c r="F1546" s="186" t="s">
        <v>112</v>
      </c>
      <c r="G1546" s="94"/>
      <c r="H1546" s="95"/>
      <c r="I1546" s="95"/>
      <c r="J1546" s="96"/>
    </row>
    <row r="1547" spans="1:10">
      <c r="A1547" s="80">
        <f t="shared" si="45"/>
        <v>36</v>
      </c>
      <c r="B1547" s="98" t="s">
        <v>1254</v>
      </c>
      <c r="C1547" s="97" t="s">
        <v>1218</v>
      </c>
      <c r="D1547" s="93" t="s">
        <v>486</v>
      </c>
      <c r="E1547" s="91"/>
      <c r="F1547" s="186" t="s">
        <v>486</v>
      </c>
      <c r="G1547" s="94"/>
      <c r="H1547" s="95"/>
      <c r="I1547" s="95"/>
      <c r="J1547" s="96"/>
    </row>
    <row r="1548" spans="1:10">
      <c r="A1548" s="80">
        <f t="shared" si="45"/>
        <v>37</v>
      </c>
      <c r="B1548" s="98" t="s">
        <v>1255</v>
      </c>
      <c r="C1548" s="97" t="s">
        <v>1218</v>
      </c>
      <c r="D1548" s="90" t="s">
        <v>112</v>
      </c>
      <c r="E1548" s="91"/>
      <c r="F1548" s="187" t="s">
        <v>112</v>
      </c>
      <c r="G1548" s="11"/>
      <c r="H1548" s="92"/>
      <c r="I1548" s="92"/>
      <c r="J1548" s="85"/>
    </row>
    <row r="1549" spans="1:10">
      <c r="A1549" s="80">
        <f t="shared" si="45"/>
        <v>38</v>
      </c>
      <c r="B1549" s="98" t="s">
        <v>1256</v>
      </c>
      <c r="C1549" s="97" t="s">
        <v>1218</v>
      </c>
      <c r="D1549" s="90" t="s">
        <v>112</v>
      </c>
      <c r="E1549" s="91"/>
      <c r="F1549" s="187" t="s">
        <v>112</v>
      </c>
      <c r="G1549" s="11"/>
      <c r="H1549" s="92"/>
      <c r="I1549" s="92"/>
      <c r="J1549" s="85"/>
    </row>
    <row r="1550" spans="1:10">
      <c r="A1550" s="80">
        <f t="shared" si="45"/>
        <v>39</v>
      </c>
      <c r="B1550" s="98" t="s">
        <v>1257</v>
      </c>
      <c r="C1550" s="97" t="s">
        <v>1218</v>
      </c>
      <c r="D1550" s="90" t="s">
        <v>113</v>
      </c>
      <c r="E1550" s="91"/>
      <c r="F1550" s="187" t="s">
        <v>113</v>
      </c>
      <c r="G1550" s="11"/>
      <c r="H1550" s="92"/>
      <c r="I1550" s="92"/>
      <c r="J1550" s="85"/>
    </row>
    <row r="1551" spans="1:10">
      <c r="A1551" s="80">
        <f t="shared" si="45"/>
        <v>40</v>
      </c>
      <c r="B1551" s="98" t="s">
        <v>1258</v>
      </c>
      <c r="C1551" s="97" t="s">
        <v>1218</v>
      </c>
      <c r="D1551" s="93" t="s">
        <v>486</v>
      </c>
      <c r="E1551" s="91"/>
      <c r="F1551" s="186" t="s">
        <v>486</v>
      </c>
      <c r="G1551" s="94"/>
      <c r="H1551" s="95"/>
      <c r="I1551" s="95"/>
      <c r="J1551" s="96"/>
    </row>
    <row r="1552" spans="1:10">
      <c r="A1552" s="80">
        <f t="shared" si="45"/>
        <v>41</v>
      </c>
      <c r="B1552" s="98" t="s">
        <v>1259</v>
      </c>
      <c r="C1552" s="97" t="s">
        <v>1218</v>
      </c>
      <c r="D1552" s="93" t="s">
        <v>1055</v>
      </c>
      <c r="E1552" s="91"/>
      <c r="F1552" s="186" t="s">
        <v>1055</v>
      </c>
      <c r="G1552" s="94"/>
      <c r="H1552" s="95"/>
      <c r="I1552" s="95"/>
      <c r="J1552" s="96"/>
    </row>
    <row r="1553" spans="1:10">
      <c r="A1553" s="80">
        <f t="shared" si="45"/>
        <v>42</v>
      </c>
      <c r="B1553" s="98" t="s">
        <v>1260</v>
      </c>
      <c r="C1553" s="97" t="s">
        <v>1218</v>
      </c>
      <c r="D1553" s="93" t="s">
        <v>1261</v>
      </c>
      <c r="E1553" s="91"/>
      <c r="F1553" s="186" t="s">
        <v>1261</v>
      </c>
      <c r="G1553" s="94"/>
      <c r="H1553" s="95"/>
      <c r="I1553" s="95"/>
      <c r="J1553" s="96"/>
    </row>
    <row r="1554" spans="1:10">
      <c r="A1554" s="80">
        <f t="shared" si="45"/>
        <v>43</v>
      </c>
      <c r="B1554" s="98" t="s">
        <v>1262</v>
      </c>
      <c r="C1554" s="97" t="s">
        <v>1218</v>
      </c>
      <c r="D1554" s="90" t="s">
        <v>112</v>
      </c>
      <c r="E1554" s="91"/>
      <c r="F1554" s="187" t="s">
        <v>112</v>
      </c>
      <c r="G1554" s="11"/>
      <c r="H1554" s="92"/>
      <c r="I1554" s="92"/>
      <c r="J1554" s="85"/>
    </row>
    <row r="1555" spans="1:10">
      <c r="A1555" s="80">
        <f t="shared" si="45"/>
        <v>44</v>
      </c>
      <c r="B1555" s="98" t="s">
        <v>1263</v>
      </c>
      <c r="C1555" s="97" t="s">
        <v>1218</v>
      </c>
      <c r="D1555" s="93" t="s">
        <v>1055</v>
      </c>
      <c r="E1555" s="91"/>
      <c r="F1555" s="186" t="s">
        <v>1055</v>
      </c>
      <c r="G1555" s="94"/>
      <c r="H1555" s="95"/>
      <c r="I1555" s="95"/>
      <c r="J1555" s="96"/>
    </row>
    <row r="1556" spans="1:10">
      <c r="A1556" s="80">
        <f t="shared" si="45"/>
        <v>45</v>
      </c>
      <c r="B1556" s="98" t="s">
        <v>1264</v>
      </c>
      <c r="C1556" s="97" t="s">
        <v>1218</v>
      </c>
      <c r="D1556" s="90" t="s">
        <v>1055</v>
      </c>
      <c r="E1556" s="91"/>
      <c r="F1556" s="187" t="s">
        <v>1055</v>
      </c>
      <c r="G1556" s="11"/>
      <c r="H1556" s="92"/>
      <c r="I1556" s="92"/>
      <c r="J1556" s="85"/>
    </row>
    <row r="1557" spans="1:10">
      <c r="A1557" s="80">
        <f t="shared" si="45"/>
        <v>46</v>
      </c>
      <c r="B1557" s="98" t="s">
        <v>1265</v>
      </c>
      <c r="C1557" s="97" t="s">
        <v>1218</v>
      </c>
      <c r="D1557" s="93" t="s">
        <v>113</v>
      </c>
      <c r="E1557" s="91"/>
      <c r="F1557" s="186" t="s">
        <v>113</v>
      </c>
      <c r="G1557" s="94"/>
      <c r="H1557" s="95"/>
      <c r="I1557" s="95"/>
      <c r="J1557" s="96"/>
    </row>
    <row r="1558" spans="1:10">
      <c r="A1558" s="80">
        <f t="shared" si="45"/>
        <v>47</v>
      </c>
      <c r="B1558" s="98" t="s">
        <v>1266</v>
      </c>
      <c r="C1558" s="97" t="s">
        <v>1218</v>
      </c>
      <c r="D1558" s="90" t="s">
        <v>112</v>
      </c>
      <c r="E1558" s="91"/>
      <c r="F1558" s="187" t="s">
        <v>112</v>
      </c>
      <c r="G1558" s="11"/>
      <c r="H1558" s="92"/>
      <c r="I1558" s="92"/>
      <c r="J1558" s="85"/>
    </row>
    <row r="1559" spans="1:10" ht="26.25">
      <c r="A1559" s="80">
        <f t="shared" si="45"/>
        <v>48</v>
      </c>
      <c r="B1559" s="98" t="s">
        <v>1267</v>
      </c>
      <c r="C1559" s="97" t="s">
        <v>1218</v>
      </c>
      <c r="D1559" s="90" t="s">
        <v>1044</v>
      </c>
      <c r="E1559" s="154">
        <v>205766.7</v>
      </c>
      <c r="F1559" s="187" t="s">
        <v>1044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5"/>
        <v>49</v>
      </c>
      <c r="B1560" s="98" t="s">
        <v>1268</v>
      </c>
      <c r="C1560" s="97" t="s">
        <v>1218</v>
      </c>
      <c r="D1560" s="90" t="s">
        <v>1055</v>
      </c>
      <c r="E1560" s="91"/>
      <c r="F1560" s="187" t="s">
        <v>1055</v>
      </c>
      <c r="G1560" s="11"/>
      <c r="H1560" s="92"/>
      <c r="I1560" s="92"/>
      <c r="J1560" s="85"/>
    </row>
    <row r="1561" spans="1:10">
      <c r="A1561" s="80">
        <f t="shared" si="45"/>
        <v>50</v>
      </c>
      <c r="B1561" s="98" t="s">
        <v>1269</v>
      </c>
      <c r="C1561" s="97" t="s">
        <v>1218</v>
      </c>
      <c r="D1561" s="93" t="s">
        <v>112</v>
      </c>
      <c r="E1561" s="91"/>
      <c r="F1561" s="186" t="s">
        <v>112</v>
      </c>
      <c r="G1561" s="94"/>
      <c r="H1561" s="95"/>
      <c r="I1561" s="95"/>
      <c r="J1561" s="96"/>
    </row>
    <row r="1562" spans="1:10">
      <c r="A1562" s="80">
        <f t="shared" si="45"/>
        <v>51</v>
      </c>
      <c r="B1562" s="98" t="s">
        <v>1270</v>
      </c>
      <c r="C1562" s="97" t="s">
        <v>1218</v>
      </c>
      <c r="D1562" s="90" t="s">
        <v>486</v>
      </c>
      <c r="E1562" s="91"/>
      <c r="F1562" s="187" t="s">
        <v>486</v>
      </c>
      <c r="G1562" s="11"/>
      <c r="H1562" s="92"/>
      <c r="I1562" s="92"/>
      <c r="J1562" s="85"/>
    </row>
    <row r="1563" spans="1:10">
      <c r="A1563" s="80">
        <f t="shared" si="45"/>
        <v>52</v>
      </c>
      <c r="B1563" s="98" t="s">
        <v>1271</v>
      </c>
      <c r="C1563" s="97" t="s">
        <v>1218</v>
      </c>
      <c r="D1563" s="93" t="s">
        <v>486</v>
      </c>
      <c r="E1563" s="91"/>
      <c r="F1563" s="186" t="s">
        <v>486</v>
      </c>
      <c r="G1563" s="94"/>
      <c r="H1563" s="95"/>
      <c r="I1563" s="95"/>
      <c r="J1563" s="96"/>
    </row>
    <row r="1564" spans="1:10">
      <c r="A1564" s="80">
        <f t="shared" si="45"/>
        <v>53</v>
      </c>
      <c r="B1564" s="98" t="s">
        <v>1272</v>
      </c>
      <c r="C1564" s="97" t="s">
        <v>1218</v>
      </c>
      <c r="D1564" s="90" t="s">
        <v>486</v>
      </c>
      <c r="E1564" s="91"/>
      <c r="F1564" s="187" t="s">
        <v>486</v>
      </c>
      <c r="G1564" s="11"/>
      <c r="H1564" s="92"/>
      <c r="I1564" s="92"/>
      <c r="J1564" s="85"/>
    </row>
    <row r="1565" spans="1:10">
      <c r="A1565" s="80">
        <f t="shared" si="45"/>
        <v>54</v>
      </c>
      <c r="B1565" s="98" t="s">
        <v>1273</v>
      </c>
      <c r="C1565" s="97" t="s">
        <v>1218</v>
      </c>
      <c r="D1565" s="90" t="s">
        <v>112</v>
      </c>
      <c r="E1565" s="91"/>
      <c r="F1565" s="187" t="s">
        <v>112</v>
      </c>
      <c r="G1565" s="11"/>
      <c r="H1565" s="92"/>
      <c r="I1565" s="92"/>
      <c r="J1565" s="85"/>
    </row>
    <row r="1566" spans="1:10">
      <c r="A1566" s="80">
        <f t="shared" si="45"/>
        <v>55</v>
      </c>
      <c r="B1566" s="98" t="s">
        <v>1274</v>
      </c>
      <c r="C1566" s="97" t="s">
        <v>1218</v>
      </c>
      <c r="D1566" s="90" t="s">
        <v>486</v>
      </c>
      <c r="E1566" s="91"/>
      <c r="F1566" s="187" t="s">
        <v>486</v>
      </c>
      <c r="G1566" s="11"/>
      <c r="H1566" s="92"/>
      <c r="I1566" s="92"/>
      <c r="J1566" s="85"/>
    </row>
    <row r="1567" spans="1:10">
      <c r="A1567" s="80">
        <f t="shared" si="45"/>
        <v>56</v>
      </c>
      <c r="B1567" s="98" t="s">
        <v>1275</v>
      </c>
      <c r="C1567" s="97" t="s">
        <v>1218</v>
      </c>
      <c r="D1567" s="90" t="s">
        <v>112</v>
      </c>
      <c r="E1567" s="91"/>
      <c r="F1567" s="187" t="s">
        <v>112</v>
      </c>
      <c r="G1567" s="11"/>
      <c r="H1567" s="92"/>
      <c r="I1567" s="92"/>
      <c r="J1567" s="85"/>
    </row>
    <row r="1568" spans="1:10">
      <c r="A1568" s="80">
        <f t="shared" si="45"/>
        <v>57</v>
      </c>
      <c r="B1568" s="98" t="s">
        <v>1276</v>
      </c>
      <c r="C1568" s="97" t="s">
        <v>1218</v>
      </c>
      <c r="D1568" s="93" t="s">
        <v>486</v>
      </c>
      <c r="E1568" s="91"/>
      <c r="F1568" s="186" t="s">
        <v>486</v>
      </c>
      <c r="G1568" s="94"/>
      <c r="H1568" s="95"/>
      <c r="I1568" s="95"/>
      <c r="J1568" s="96"/>
    </row>
    <row r="1569" spans="1:10">
      <c r="A1569" s="80">
        <f t="shared" si="45"/>
        <v>58</v>
      </c>
      <c r="B1569" s="98" t="s">
        <v>1277</v>
      </c>
      <c r="C1569" s="97" t="s">
        <v>1218</v>
      </c>
      <c r="D1569" s="93" t="s">
        <v>113</v>
      </c>
      <c r="E1569" s="91"/>
      <c r="F1569" s="186" t="s">
        <v>113</v>
      </c>
      <c r="G1569" s="94"/>
      <c r="H1569" s="95"/>
      <c r="I1569" s="95"/>
      <c r="J1569" s="96"/>
    </row>
    <row r="1570" spans="1:10">
      <c r="A1570" s="80">
        <f t="shared" si="45"/>
        <v>59</v>
      </c>
      <c r="B1570" s="98" t="s">
        <v>1278</v>
      </c>
      <c r="C1570" s="97" t="s">
        <v>1218</v>
      </c>
      <c r="D1570" s="93" t="s">
        <v>112</v>
      </c>
      <c r="E1570" s="91"/>
      <c r="F1570" s="186" t="s">
        <v>112</v>
      </c>
      <c r="G1570" s="94"/>
      <c r="H1570" s="95"/>
      <c r="I1570" s="95"/>
      <c r="J1570" s="96"/>
    </row>
    <row r="1571" spans="1:10">
      <c r="A1571" s="80">
        <f t="shared" si="45"/>
        <v>60</v>
      </c>
      <c r="B1571" s="98" t="s">
        <v>1279</v>
      </c>
      <c r="C1571" s="97" t="s">
        <v>1218</v>
      </c>
      <c r="D1571" s="93" t="s">
        <v>112</v>
      </c>
      <c r="E1571" s="91"/>
      <c r="F1571" s="186" t="s">
        <v>112</v>
      </c>
      <c r="G1571" s="94"/>
      <c r="H1571" s="95"/>
      <c r="I1571" s="95"/>
      <c r="J1571" s="96"/>
    </row>
    <row r="1572" spans="1:10">
      <c r="A1572" s="80">
        <f t="shared" si="45"/>
        <v>61</v>
      </c>
      <c r="B1572" s="98" t="s">
        <v>1280</v>
      </c>
      <c r="C1572" s="97" t="s">
        <v>1218</v>
      </c>
      <c r="D1572" s="93" t="s">
        <v>113</v>
      </c>
      <c r="E1572" s="91"/>
      <c r="F1572" s="186" t="s">
        <v>113</v>
      </c>
      <c r="G1572" s="94"/>
      <c r="H1572" s="95"/>
      <c r="I1572" s="95"/>
      <c r="J1572" s="96"/>
    </row>
    <row r="1573" spans="1:10">
      <c r="A1573" s="80">
        <f t="shared" si="45"/>
        <v>62</v>
      </c>
      <c r="B1573" s="98" t="s">
        <v>1281</v>
      </c>
      <c r="C1573" s="97" t="s">
        <v>1218</v>
      </c>
      <c r="D1573" s="90" t="s">
        <v>112</v>
      </c>
      <c r="E1573" s="91"/>
      <c r="F1573" s="187" t="s">
        <v>112</v>
      </c>
      <c r="G1573" s="11"/>
      <c r="H1573" s="92"/>
      <c r="I1573" s="92"/>
      <c r="J1573" s="85"/>
    </row>
    <row r="1574" spans="1:10">
      <c r="A1574" s="80">
        <f t="shared" si="45"/>
        <v>63</v>
      </c>
      <c r="B1574" s="98" t="s">
        <v>1282</v>
      </c>
      <c r="C1574" s="97" t="s">
        <v>1218</v>
      </c>
      <c r="D1574" s="90" t="s">
        <v>1221</v>
      </c>
      <c r="E1574" s="91"/>
      <c r="F1574" s="187" t="s">
        <v>1221</v>
      </c>
      <c r="G1574" s="94"/>
      <c r="H1574" s="95"/>
      <c r="I1574" s="95"/>
      <c r="J1574" s="96"/>
    </row>
    <row r="1575" spans="1:10">
      <c r="A1575" s="80">
        <f t="shared" si="45"/>
        <v>64</v>
      </c>
      <c r="B1575" s="98" t="s">
        <v>1283</v>
      </c>
      <c r="C1575" s="97" t="s">
        <v>1218</v>
      </c>
      <c r="D1575" s="90" t="s">
        <v>1221</v>
      </c>
      <c r="E1575" s="91"/>
      <c r="F1575" s="187" t="s">
        <v>1221</v>
      </c>
      <c r="G1575" s="11"/>
      <c r="H1575" s="92"/>
      <c r="I1575" s="92"/>
      <c r="J1575" s="85"/>
    </row>
    <row r="1576" spans="1:10">
      <c r="A1576" s="80">
        <f t="shared" si="45"/>
        <v>65</v>
      </c>
      <c r="B1576" s="98" t="s">
        <v>1284</v>
      </c>
      <c r="C1576" s="97" t="s">
        <v>1218</v>
      </c>
      <c r="D1576" s="93" t="s">
        <v>486</v>
      </c>
      <c r="E1576" s="91"/>
      <c r="F1576" s="186" t="s">
        <v>486</v>
      </c>
      <c r="G1576" s="94"/>
      <c r="H1576" s="95"/>
      <c r="I1576" s="95"/>
      <c r="J1576" s="96"/>
    </row>
    <row r="1577" spans="1:10">
      <c r="A1577" s="80">
        <f t="shared" si="45"/>
        <v>66</v>
      </c>
      <c r="B1577" s="98" t="s">
        <v>1285</v>
      </c>
      <c r="C1577" s="97" t="s">
        <v>1218</v>
      </c>
      <c r="D1577" s="93" t="s">
        <v>112</v>
      </c>
      <c r="E1577" s="91"/>
      <c r="F1577" s="186" t="s">
        <v>112</v>
      </c>
      <c r="G1577" s="94"/>
      <c r="H1577" s="95"/>
      <c r="I1577" s="95"/>
      <c r="J1577" s="96"/>
    </row>
    <row r="1578" spans="1:10">
      <c r="A1578" s="80">
        <f t="shared" ref="A1578:A1597" si="46">A1577+1</f>
        <v>67</v>
      </c>
      <c r="B1578" s="98" t="s">
        <v>1286</v>
      </c>
      <c r="C1578" s="97" t="s">
        <v>1218</v>
      </c>
      <c r="D1578" s="93" t="s">
        <v>113</v>
      </c>
      <c r="E1578" s="91"/>
      <c r="F1578" s="186" t="s">
        <v>113</v>
      </c>
      <c r="G1578" s="94"/>
      <c r="H1578" s="95"/>
      <c r="I1578" s="95"/>
      <c r="J1578" s="96"/>
    </row>
    <row r="1579" spans="1:10">
      <c r="A1579" s="80">
        <f t="shared" si="46"/>
        <v>68</v>
      </c>
      <c r="B1579" s="98" t="s">
        <v>1287</v>
      </c>
      <c r="C1579" s="97" t="s">
        <v>1218</v>
      </c>
      <c r="D1579" s="93" t="s">
        <v>113</v>
      </c>
      <c r="E1579" s="91"/>
      <c r="F1579" s="186" t="s">
        <v>113</v>
      </c>
      <c r="G1579" s="94"/>
      <c r="H1579" s="95"/>
      <c r="I1579" s="95"/>
      <c r="J1579" s="96"/>
    </row>
    <row r="1580" spans="1:10">
      <c r="A1580" s="80">
        <f t="shared" si="46"/>
        <v>69</v>
      </c>
      <c r="B1580" s="98" t="s">
        <v>1288</v>
      </c>
      <c r="C1580" s="97" t="s">
        <v>1218</v>
      </c>
      <c r="D1580" s="93" t="s">
        <v>113</v>
      </c>
      <c r="E1580" s="91"/>
      <c r="F1580" s="186" t="s">
        <v>113</v>
      </c>
      <c r="G1580" s="94"/>
      <c r="H1580" s="95"/>
      <c r="I1580" s="95"/>
      <c r="J1580" s="96"/>
    </row>
    <row r="1581" spans="1:10">
      <c r="A1581" s="80">
        <f t="shared" si="46"/>
        <v>70</v>
      </c>
      <c r="B1581" s="98" t="s">
        <v>1289</v>
      </c>
      <c r="C1581" s="97" t="s">
        <v>1218</v>
      </c>
      <c r="D1581" s="90" t="s">
        <v>113</v>
      </c>
      <c r="E1581" s="91"/>
      <c r="F1581" s="187" t="s">
        <v>113</v>
      </c>
      <c r="G1581" s="11"/>
      <c r="H1581" s="92"/>
      <c r="I1581" s="92"/>
      <c r="J1581" s="85"/>
    </row>
    <row r="1582" spans="1:10">
      <c r="A1582" s="80">
        <f t="shared" si="46"/>
        <v>71</v>
      </c>
      <c r="B1582" s="98" t="s">
        <v>1290</v>
      </c>
      <c r="C1582" s="97" t="s">
        <v>1218</v>
      </c>
      <c r="D1582" s="93" t="s">
        <v>113</v>
      </c>
      <c r="E1582" s="91"/>
      <c r="F1582" s="186" t="s">
        <v>113</v>
      </c>
      <c r="G1582" s="94"/>
      <c r="H1582" s="95"/>
      <c r="I1582" s="95"/>
      <c r="J1582" s="96"/>
    </row>
    <row r="1583" spans="1:10">
      <c r="A1583" s="80">
        <f t="shared" si="46"/>
        <v>72</v>
      </c>
      <c r="B1583" s="98" t="s">
        <v>1291</v>
      </c>
      <c r="C1583" s="97" t="s">
        <v>1218</v>
      </c>
      <c r="D1583" s="90" t="s">
        <v>113</v>
      </c>
      <c r="E1583" s="91"/>
      <c r="F1583" s="187" t="s">
        <v>113</v>
      </c>
      <c r="G1583" s="11"/>
      <c r="H1583" s="92"/>
      <c r="I1583" s="92"/>
      <c r="J1583" s="85"/>
    </row>
    <row r="1584" spans="1:10">
      <c r="A1584" s="80">
        <f t="shared" si="46"/>
        <v>73</v>
      </c>
      <c r="B1584" s="98" t="s">
        <v>1292</v>
      </c>
      <c r="C1584" s="97" t="s">
        <v>1218</v>
      </c>
      <c r="D1584" s="90" t="s">
        <v>113</v>
      </c>
      <c r="E1584" s="91"/>
      <c r="F1584" s="187" t="s">
        <v>113</v>
      </c>
      <c r="G1584" s="11"/>
      <c r="H1584" s="92"/>
      <c r="I1584" s="92"/>
      <c r="J1584" s="85"/>
    </row>
    <row r="1585" spans="1:10">
      <c r="A1585" s="80">
        <f t="shared" si="46"/>
        <v>74</v>
      </c>
      <c r="B1585" s="98" t="s">
        <v>1293</v>
      </c>
      <c r="C1585" s="97" t="s">
        <v>1218</v>
      </c>
      <c r="D1585" s="90" t="s">
        <v>113</v>
      </c>
      <c r="E1585" s="91"/>
      <c r="F1585" s="187" t="s">
        <v>113</v>
      </c>
      <c r="G1585" s="11"/>
      <c r="H1585" s="92"/>
      <c r="I1585" s="92"/>
      <c r="J1585" s="85"/>
    </row>
    <row r="1586" spans="1:10">
      <c r="A1586" s="80">
        <f t="shared" si="46"/>
        <v>75</v>
      </c>
      <c r="B1586" s="98" t="s">
        <v>1294</v>
      </c>
      <c r="C1586" s="97" t="s">
        <v>1218</v>
      </c>
      <c r="D1586" s="93" t="s">
        <v>113</v>
      </c>
      <c r="E1586" s="91"/>
      <c r="F1586" s="186" t="s">
        <v>113</v>
      </c>
      <c r="G1586" s="94"/>
      <c r="H1586" s="95"/>
      <c r="I1586" s="95"/>
      <c r="J1586" s="96"/>
    </row>
    <row r="1587" spans="1:10">
      <c r="A1587" s="80">
        <f t="shared" si="46"/>
        <v>76</v>
      </c>
      <c r="B1587" s="98" t="s">
        <v>1295</v>
      </c>
      <c r="C1587" s="97" t="s">
        <v>1218</v>
      </c>
      <c r="D1587" s="93" t="s">
        <v>113</v>
      </c>
      <c r="E1587" s="91"/>
      <c r="F1587" s="186" t="s">
        <v>113</v>
      </c>
      <c r="G1587" s="94"/>
      <c r="H1587" s="95"/>
      <c r="I1587" s="95"/>
      <c r="J1587" s="96"/>
    </row>
    <row r="1588" spans="1:10">
      <c r="A1588" s="80">
        <f t="shared" si="46"/>
        <v>77</v>
      </c>
      <c r="B1588" s="98" t="s">
        <v>1296</v>
      </c>
      <c r="C1588" s="97" t="s">
        <v>1218</v>
      </c>
      <c r="D1588" s="93" t="s">
        <v>112</v>
      </c>
      <c r="E1588" s="91"/>
      <c r="F1588" s="186" t="s">
        <v>112</v>
      </c>
      <c r="G1588" s="94"/>
      <c r="H1588" s="95"/>
      <c r="I1588" s="95"/>
      <c r="J1588" s="96"/>
    </row>
    <row r="1589" spans="1:10">
      <c r="A1589" s="80">
        <f t="shared" si="46"/>
        <v>78</v>
      </c>
      <c r="B1589" s="98" t="s">
        <v>1297</v>
      </c>
      <c r="C1589" s="97" t="s">
        <v>1218</v>
      </c>
      <c r="D1589" s="93" t="s">
        <v>113</v>
      </c>
      <c r="E1589" s="91"/>
      <c r="F1589" s="186" t="s">
        <v>113</v>
      </c>
      <c r="G1589" s="11"/>
      <c r="H1589" s="92"/>
      <c r="I1589" s="92"/>
      <c r="J1589" s="85"/>
    </row>
    <row r="1590" spans="1:10">
      <c r="A1590" s="80">
        <f t="shared" si="46"/>
        <v>79</v>
      </c>
      <c r="B1590" s="98" t="s">
        <v>1298</v>
      </c>
      <c r="C1590" s="97" t="s">
        <v>1218</v>
      </c>
      <c r="D1590" s="93" t="s">
        <v>113</v>
      </c>
      <c r="E1590" s="91"/>
      <c r="F1590" s="186" t="s">
        <v>113</v>
      </c>
      <c r="G1590" s="94"/>
      <c r="H1590" s="95"/>
      <c r="I1590" s="95"/>
      <c r="J1590" s="96"/>
    </row>
    <row r="1591" spans="1:10">
      <c r="A1591" s="80">
        <f t="shared" si="46"/>
        <v>80</v>
      </c>
      <c r="B1591" s="98" t="s">
        <v>1299</v>
      </c>
      <c r="C1591" s="97" t="s">
        <v>1218</v>
      </c>
      <c r="D1591" s="90" t="s">
        <v>113</v>
      </c>
      <c r="E1591" s="91"/>
      <c r="F1591" s="187" t="s">
        <v>113</v>
      </c>
      <c r="G1591" s="11"/>
      <c r="H1591" s="92"/>
      <c r="I1591" s="92"/>
      <c r="J1591" s="85"/>
    </row>
    <row r="1592" spans="1:10">
      <c r="A1592" s="80">
        <f t="shared" si="46"/>
        <v>81</v>
      </c>
      <c r="B1592" s="98" t="s">
        <v>1300</v>
      </c>
      <c r="C1592" s="97" t="s">
        <v>1218</v>
      </c>
      <c r="D1592" s="93" t="s">
        <v>486</v>
      </c>
      <c r="E1592" s="91"/>
      <c r="F1592" s="186" t="s">
        <v>486</v>
      </c>
      <c r="G1592" s="94"/>
      <c r="H1592" s="95"/>
      <c r="I1592" s="95"/>
      <c r="J1592" s="96"/>
    </row>
    <row r="1593" spans="1:10">
      <c r="A1593" s="80">
        <f t="shared" si="46"/>
        <v>82</v>
      </c>
      <c r="B1593" s="98" t="s">
        <v>1301</v>
      </c>
      <c r="C1593" s="97" t="s">
        <v>1218</v>
      </c>
      <c r="D1593" s="93" t="s">
        <v>113</v>
      </c>
      <c r="E1593" s="91"/>
      <c r="F1593" s="186" t="s">
        <v>113</v>
      </c>
      <c r="G1593" s="94"/>
      <c r="H1593" s="95"/>
      <c r="I1593" s="95"/>
      <c r="J1593" s="96"/>
    </row>
    <row r="1594" spans="1:10">
      <c r="A1594" s="80">
        <f t="shared" si="46"/>
        <v>83</v>
      </c>
      <c r="B1594" s="98" t="s">
        <v>1302</v>
      </c>
      <c r="C1594" s="97" t="s">
        <v>1218</v>
      </c>
      <c r="D1594" s="90" t="s">
        <v>486</v>
      </c>
      <c r="E1594" s="91"/>
      <c r="F1594" s="187" t="s">
        <v>486</v>
      </c>
      <c r="G1594" s="11"/>
      <c r="H1594" s="92"/>
      <c r="I1594" s="92"/>
      <c r="J1594" s="85"/>
    </row>
    <row r="1595" spans="1:10">
      <c r="A1595" s="80">
        <f t="shared" si="46"/>
        <v>84</v>
      </c>
      <c r="B1595" s="98" t="s">
        <v>1303</v>
      </c>
      <c r="C1595" s="97" t="s">
        <v>1218</v>
      </c>
      <c r="D1595" s="93" t="s">
        <v>486</v>
      </c>
      <c r="E1595" s="91"/>
      <c r="F1595" s="186" t="s">
        <v>486</v>
      </c>
      <c r="G1595" s="94"/>
      <c r="H1595" s="95"/>
      <c r="I1595" s="95"/>
      <c r="J1595" s="96"/>
    </row>
    <row r="1596" spans="1:10">
      <c r="A1596" s="80">
        <f t="shared" si="46"/>
        <v>85</v>
      </c>
      <c r="B1596" s="98" t="s">
        <v>1304</v>
      </c>
      <c r="C1596" s="97" t="s">
        <v>1218</v>
      </c>
      <c r="D1596" s="93" t="s">
        <v>486</v>
      </c>
      <c r="E1596" s="91"/>
      <c r="F1596" s="186" t="s">
        <v>486</v>
      </c>
      <c r="G1596" s="94"/>
      <c r="H1596" s="95"/>
      <c r="I1596" s="95"/>
      <c r="J1596" s="96"/>
    </row>
    <row r="1597" spans="1:10">
      <c r="A1597" s="80">
        <f t="shared" si="46"/>
        <v>86</v>
      </c>
      <c r="B1597" s="98" t="s">
        <v>1305</v>
      </c>
      <c r="C1597" s="97" t="s">
        <v>1218</v>
      </c>
      <c r="D1597" s="90" t="s">
        <v>113</v>
      </c>
      <c r="E1597" s="91"/>
      <c r="F1597" s="187" t="s">
        <v>113</v>
      </c>
      <c r="G1597" s="11"/>
      <c r="H1597" s="92"/>
      <c r="I1597" s="92"/>
      <c r="J1597" s="85"/>
    </row>
  </sheetData>
  <sheetProtection algorithmName="SHA-512" hashValue="50OGxXGZmm1dBxgKLDQPi2xxaDqm96knmhr/n69eOXdrWE8nSwcIRhJN7958cMBUSDlzOOk1WtPwm1Rbrv533w==" saltValue="inI+uEweSc5wemo10ruub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H218:I235 J218:J292 C218:C430 H236:H272 I236:I273 F298:G341 G217:G430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 G218:G430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9" sqref="D9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1306</v>
      </c>
      <c r="F1" s="12" t="s">
        <v>1307</v>
      </c>
      <c r="H1" s="16" t="s">
        <v>1308</v>
      </c>
      <c r="I1" s="16" t="s">
        <v>1309</v>
      </c>
      <c r="K1" s="16" t="s">
        <v>23</v>
      </c>
      <c r="M1" s="16" t="s">
        <v>1310</v>
      </c>
      <c r="Z1" s="241" t="s">
        <v>1311</v>
      </c>
    </row>
    <row r="2" spans="1:26" ht="44.25" customHeight="1" outlineLevel="1">
      <c r="A2" s="14" t="s">
        <v>1312</v>
      </c>
      <c r="B2" s="14" t="s">
        <v>1313</v>
      </c>
      <c r="D2" s="254" t="s">
        <v>1314</v>
      </c>
      <c r="F2" s="3" t="s">
        <v>1315</v>
      </c>
      <c r="H2" s="17" t="s">
        <v>1316</v>
      </c>
      <c r="I2" s="18">
        <v>71765586</v>
      </c>
      <c r="K2" t="s">
        <v>1317</v>
      </c>
      <c r="M2" s="76" t="s">
        <v>29</v>
      </c>
    </row>
    <row r="3" spans="1:26" outlineLevel="1">
      <c r="A3" s="3" t="s">
        <v>1318</v>
      </c>
      <c r="B3" s="5" t="s">
        <v>224</v>
      </c>
      <c r="D3" s="252" t="s">
        <v>1319</v>
      </c>
      <c r="F3" s="2" t="s">
        <v>1320</v>
      </c>
      <c r="H3" s="19" t="s">
        <v>1321</v>
      </c>
      <c r="I3" s="20">
        <v>43687423</v>
      </c>
      <c r="K3" t="s">
        <v>1322</v>
      </c>
      <c r="M3" s="76" t="s">
        <v>25</v>
      </c>
    </row>
    <row r="4" spans="1:26" outlineLevel="1">
      <c r="A4" s="2" t="s">
        <v>1323</v>
      </c>
      <c r="B4" s="5" t="s">
        <v>95</v>
      </c>
      <c r="D4" s="252" t="s">
        <v>1324</v>
      </c>
      <c r="F4" s="3" t="s">
        <v>1325</v>
      </c>
      <c r="H4" s="17" t="s">
        <v>1326</v>
      </c>
      <c r="I4" s="21">
        <v>3353808</v>
      </c>
      <c r="K4" t="s">
        <v>1327</v>
      </c>
      <c r="M4" s="76" t="s">
        <v>36</v>
      </c>
    </row>
    <row r="5" spans="1:26" ht="30" outlineLevel="1">
      <c r="A5" s="3" t="s">
        <v>1328</v>
      </c>
      <c r="B5" s="5" t="s">
        <v>1329</v>
      </c>
      <c r="D5" s="253" t="s">
        <v>1330</v>
      </c>
      <c r="F5" s="2" t="s">
        <v>1331</v>
      </c>
      <c r="H5" s="22" t="s">
        <v>1332</v>
      </c>
      <c r="I5" s="23">
        <v>1036620040</v>
      </c>
      <c r="K5" t="s">
        <v>1333</v>
      </c>
      <c r="M5" s="76" t="s">
        <v>1019</v>
      </c>
    </row>
    <row r="6" spans="1:26" ht="30" outlineLevel="1">
      <c r="A6" s="2" t="s">
        <v>349</v>
      </c>
      <c r="B6" s="5" t="s">
        <v>349</v>
      </c>
      <c r="D6" s="253" t="s">
        <v>13</v>
      </c>
      <c r="F6" s="3" t="s">
        <v>1334</v>
      </c>
      <c r="H6" s="17" t="s">
        <v>1335</v>
      </c>
      <c r="I6" s="24">
        <v>1033686182</v>
      </c>
      <c r="K6" t="s">
        <v>1336</v>
      </c>
      <c r="M6" s="110" t="s">
        <v>31</v>
      </c>
    </row>
    <row r="7" spans="1:26" outlineLevel="1">
      <c r="A7" s="2" t="s">
        <v>1337</v>
      </c>
      <c r="B7" s="5" t="s">
        <v>1338</v>
      </c>
      <c r="D7" s="2" t="s">
        <v>1339</v>
      </c>
      <c r="F7" s="2" t="s">
        <v>1340</v>
      </c>
      <c r="H7" s="22" t="s">
        <v>1341</v>
      </c>
      <c r="I7" s="23">
        <v>32209568</v>
      </c>
      <c r="K7" t="s">
        <v>39</v>
      </c>
      <c r="M7" s="76" t="s">
        <v>33</v>
      </c>
    </row>
    <row r="8" spans="1:26" outlineLevel="1">
      <c r="A8" s="3" t="s">
        <v>1342</v>
      </c>
      <c r="B8" s="5" t="s">
        <v>1343</v>
      </c>
      <c r="D8" t="s">
        <v>1344</v>
      </c>
      <c r="F8" s="3" t="s">
        <v>1345</v>
      </c>
      <c r="H8" s="25" t="s">
        <v>1346</v>
      </c>
      <c r="I8" s="21">
        <v>71292446</v>
      </c>
      <c r="K8" t="s">
        <v>1347</v>
      </c>
      <c r="M8" s="76" t="s">
        <v>27</v>
      </c>
    </row>
    <row r="9" spans="1:26" outlineLevel="1">
      <c r="A9" s="2" t="s">
        <v>1348</v>
      </c>
      <c r="B9" s="5" t="s">
        <v>1201</v>
      </c>
      <c r="F9" s="2" t="s">
        <v>1349</v>
      </c>
      <c r="H9" s="22" t="s">
        <v>1350</v>
      </c>
      <c r="I9" s="23">
        <v>52714421</v>
      </c>
      <c r="K9" t="s">
        <v>1351</v>
      </c>
      <c r="M9" s="76" t="s">
        <v>63</v>
      </c>
    </row>
    <row r="10" spans="1:26" outlineLevel="1">
      <c r="A10" s="2" t="s">
        <v>1352</v>
      </c>
      <c r="B10" s="5" t="s">
        <v>112</v>
      </c>
      <c r="F10" s="3" t="s">
        <v>8</v>
      </c>
      <c r="H10" s="26" t="s">
        <v>1353</v>
      </c>
      <c r="I10" s="27">
        <v>70323724</v>
      </c>
      <c r="K10" t="s">
        <v>1354</v>
      </c>
      <c r="M10" s="221" t="s">
        <v>130</v>
      </c>
    </row>
    <row r="11" spans="1:26" outlineLevel="1">
      <c r="A11" s="2" t="s">
        <v>1355</v>
      </c>
      <c r="B11" s="5" t="s">
        <v>1356</v>
      </c>
      <c r="F11" s="2" t="s">
        <v>1357</v>
      </c>
      <c r="H11" s="25" t="s">
        <v>5</v>
      </c>
      <c r="I11" s="21">
        <v>32142539</v>
      </c>
      <c r="K11" t="s">
        <v>1358</v>
      </c>
      <c r="M11" s="221" t="s">
        <v>60</v>
      </c>
    </row>
    <row r="12" spans="1:26" outlineLevel="1">
      <c r="A12" s="3" t="s">
        <v>1359</v>
      </c>
      <c r="B12" s="5" t="s">
        <v>1055</v>
      </c>
      <c r="F12" s="3"/>
      <c r="H12" s="22" t="s">
        <v>1360</v>
      </c>
      <c r="I12" s="23">
        <v>79897894</v>
      </c>
      <c r="M12" s="221" t="s">
        <v>1218</v>
      </c>
    </row>
    <row r="13" spans="1:26" outlineLevel="1">
      <c r="A13" s="3" t="s">
        <v>466</v>
      </c>
      <c r="B13" s="5" t="s">
        <v>466</v>
      </c>
      <c r="H13" s="28" t="s">
        <v>1361</v>
      </c>
      <c r="I13" s="29">
        <v>32184975</v>
      </c>
    </row>
    <row r="14" spans="1:26" outlineLevel="1">
      <c r="A14" s="3" t="s">
        <v>1362</v>
      </c>
      <c r="B14" s="5" t="s">
        <v>486</v>
      </c>
      <c r="H14" s="17"/>
      <c r="I14" s="24"/>
    </row>
    <row r="15" spans="1:26" outlineLevel="1">
      <c r="A15" s="2" t="s">
        <v>214</v>
      </c>
      <c r="B15" s="5" t="s">
        <v>214</v>
      </c>
      <c r="H15" s="25" t="s">
        <v>1363</v>
      </c>
      <c r="I15" s="21">
        <v>70512283</v>
      </c>
    </row>
    <row r="16" spans="1:26" outlineLevel="1">
      <c r="A16" s="2" t="s">
        <v>1364</v>
      </c>
      <c r="B16" s="5" t="s">
        <v>248</v>
      </c>
      <c r="H16" s="26" t="s">
        <v>1365</v>
      </c>
      <c r="I16" s="27">
        <v>16757142</v>
      </c>
    </row>
    <row r="17" spans="1:9" outlineLevel="1">
      <c r="A17" s="2" t="s">
        <v>1366</v>
      </c>
      <c r="B17" s="5" t="s">
        <v>452</v>
      </c>
      <c r="H17" s="25" t="s">
        <v>1367</v>
      </c>
      <c r="I17" s="21">
        <v>1152194903</v>
      </c>
    </row>
    <row r="18" spans="1:9" outlineLevel="1">
      <c r="A18" s="2" t="s">
        <v>1368</v>
      </c>
      <c r="B18" s="5" t="s">
        <v>1221</v>
      </c>
      <c r="H18" s="26" t="s">
        <v>1369</v>
      </c>
      <c r="I18" s="295" t="s">
        <v>1370</v>
      </c>
    </row>
    <row r="19" spans="1:9" outlineLevel="1">
      <c r="A19" s="3" t="s">
        <v>1371</v>
      </c>
      <c r="B19" s="5" t="s">
        <v>246</v>
      </c>
      <c r="H19" s="25" t="s">
        <v>1372</v>
      </c>
      <c r="I19" s="21">
        <v>71639999</v>
      </c>
    </row>
    <row r="20" spans="1:9" outlineLevel="1">
      <c r="A20" t="s">
        <v>1373</v>
      </c>
      <c r="B20" s="5" t="s">
        <v>1374</v>
      </c>
      <c r="H20" s="26" t="s">
        <v>1375</v>
      </c>
      <c r="I20" s="27">
        <v>1121878447</v>
      </c>
    </row>
    <row r="21" spans="1:9" outlineLevel="1">
      <c r="A21" t="s">
        <v>1376</v>
      </c>
      <c r="B21" s="6" t="s">
        <v>113</v>
      </c>
      <c r="H21" s="25" t="s">
        <v>1377</v>
      </c>
      <c r="I21" s="21">
        <v>43506380</v>
      </c>
    </row>
    <row r="22" spans="1:9" outlineLevel="1">
      <c r="A22" t="s">
        <v>211</v>
      </c>
      <c r="B22" s="5" t="s">
        <v>211</v>
      </c>
      <c r="H22" s="25" t="s">
        <v>1378</v>
      </c>
      <c r="I22" s="21">
        <v>43498846</v>
      </c>
    </row>
    <row r="23" spans="1:9" outlineLevel="1">
      <c r="A23" s="4" t="s">
        <v>1379</v>
      </c>
      <c r="B23" s="5" t="s">
        <v>216</v>
      </c>
      <c r="H23" s="22" t="s">
        <v>1380</v>
      </c>
      <c r="I23" s="23">
        <v>1128404319</v>
      </c>
    </row>
    <row r="24" spans="1:9" outlineLevel="1">
      <c r="A24" t="s">
        <v>1381</v>
      </c>
      <c r="B24" s="5" t="s">
        <v>182</v>
      </c>
      <c r="H24" s="26" t="s">
        <v>1382</v>
      </c>
      <c r="I24" s="27">
        <v>80902330</v>
      </c>
    </row>
    <row r="25" spans="1:9" outlineLevel="1">
      <c r="A25" s="4" t="s">
        <v>1093</v>
      </c>
      <c r="B25" s="5" t="s">
        <v>1093</v>
      </c>
      <c r="H25" s="25" t="s">
        <v>1383</v>
      </c>
      <c r="I25" s="21">
        <v>5820573</v>
      </c>
    </row>
    <row r="26" spans="1:9" outlineLevel="1">
      <c r="A26" t="s">
        <v>1190</v>
      </c>
      <c r="B26" s="5" t="s">
        <v>1190</v>
      </c>
      <c r="H26" s="26" t="s">
        <v>1384</v>
      </c>
      <c r="I26" s="27">
        <v>80810881</v>
      </c>
    </row>
    <row r="27" spans="1:9" outlineLevel="1">
      <c r="A27" t="s">
        <v>259</v>
      </c>
      <c r="B27" s="5" t="s">
        <v>259</v>
      </c>
      <c r="H27" s="26" t="s">
        <v>1385</v>
      </c>
      <c r="I27" s="27">
        <v>70566616</v>
      </c>
    </row>
    <row r="28" spans="1:9" outlineLevel="1">
      <c r="A28" s="4" t="s">
        <v>1386</v>
      </c>
      <c r="B28" s="5" t="s">
        <v>118</v>
      </c>
      <c r="H28" s="30" t="s">
        <v>1387</v>
      </c>
      <c r="I28" s="24">
        <v>71765633</v>
      </c>
    </row>
    <row r="29" spans="1:9" outlineLevel="1">
      <c r="H29" s="251" t="s">
        <v>1388</v>
      </c>
      <c r="I29" s="23">
        <v>1040733121</v>
      </c>
    </row>
    <row r="30" spans="1:9" outlineLevel="1">
      <c r="H30" s="293" t="s">
        <v>1389</v>
      </c>
      <c r="I30" s="294">
        <v>37841713</v>
      </c>
    </row>
    <row r="31" spans="1:9" outlineLevel="1">
      <c r="H31" s="212" t="s">
        <v>1390</v>
      </c>
      <c r="I31" s="212">
        <v>43874217</v>
      </c>
    </row>
    <row r="32" spans="1:9" outlineLevel="1">
      <c r="H32" s="212" t="s">
        <v>1391</v>
      </c>
      <c r="I32">
        <v>71649025</v>
      </c>
    </row>
    <row r="33" spans="8:9" ht="30" outlineLevel="1">
      <c r="H33" t="s">
        <v>1392</v>
      </c>
      <c r="I33" s="296" t="s">
        <v>1393</v>
      </c>
    </row>
    <row r="34" spans="8:9" outlineLevel="1">
      <c r="H34" t="s">
        <v>1394</v>
      </c>
      <c r="I34">
        <v>71387261</v>
      </c>
    </row>
    <row r="35" spans="8:9" outlineLevel="1"/>
    <row r="36" spans="8:9" outlineLevel="1"/>
    <row r="37" spans="8:9" outlineLevel="1"/>
  </sheetData>
  <sheetProtection algorithmName="SHA-512" hashValue="BAw+n8blKLnyl009zfQ0nDjcotTr/gh2BDFBFpiSbZdBfFHUP8jtXuNGjxCP2XAyc65ImOejz0OrXvOE8w2+rg==" saltValue="YNXX+EDQepWT5sh/Qn2D+A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2024-10-24T20:01:17Z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