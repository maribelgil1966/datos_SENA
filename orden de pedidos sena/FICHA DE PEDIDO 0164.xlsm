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18" documentId="13_ncr:1_{93C74B8A-AC94-43B3-9086-5243C2590830}" xr6:coauthVersionLast="47" xr6:coauthVersionMax="47" xr10:uidLastSave="{C2B58FEF-C691-46DA-84C5-F821A5EED890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59" l="1"/>
  <c r="C14" i="59"/>
  <c r="B560" i="38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a="1"/>
  <c r="H20" i="59" s="1"/>
  <c r="S19" i="43"/>
  <c r="H21" i="59" s="1" a="1"/>
  <c r="H21" i="59" s="1"/>
  <c r="B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R7" i="59" l="1"/>
  <c r="R6" i="59"/>
  <c r="B13" i="59"/>
  <c r="W10" i="43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<sst xmlns="http://schemas.openxmlformats.org/spreadsheetml/2006/main" count="5069" uniqueCount="1395">
  <si>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</si>
  <si>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</si>
  <si>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</si>
  <si>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</si>
  <si>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</si>
  <si>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</si>
  <si>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</si>
  <si>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</si>
  <si>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</si>
  <si>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PRODUCCION MARROQUINERIA</t>
  </si>
  <si>
    <t>FICHA(#)</t>
  </si>
  <si>
    <t>OPERARIO 2958442 CAMPESENA</t>
  </si>
  <si>
    <t>NOMBRE DEL PRODUCTO</t>
  </si>
  <si>
    <t>NECESER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</si>
  <si>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</si>
  <si>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</si>
  <si>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</si>
  <si>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</si>
  <si>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</si>
  <si>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</si>
  <si>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</si>
  <si>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</si>
  <si>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</si>
  <si>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</si>
  <si>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</si>
  <si>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</si>
  <si>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</si>
  <si>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</si>
  <si>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TEXTIL 2</t>
  </si>
  <si>
    <t>Colores Varios</t>
  </si>
  <si>
    <t>SEDA 30-100 O SEDA TIFON</t>
  </si>
  <si>
    <t>INSUMOS_COMPL_</t>
  </si>
  <si>
    <t>AGUJA CORTA CABO GRUESO 110</t>
  </si>
  <si>
    <t>SECUNDARIO_MEDULAR</t>
  </si>
  <si>
    <t xml:space="preserve">HILO NYLON #40
</t>
  </si>
  <si>
    <t>Colores Surtidos</t>
  </si>
  <si>
    <t xml:space="preserve">CARTULINA PLANA </t>
  </si>
  <si>
    <t>CREMALLERA POLIÉSTER #6</t>
  </si>
  <si>
    <t>HERRAJES</t>
  </si>
  <si>
    <t xml:space="preserve">LLAVE METÁLICA DE LUJO DESLIZADOR   #6 PARA CREMALLERA - NÍQUEL </t>
  </si>
  <si>
    <t>ADHESIVOS_Solventes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</si>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</sst>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57980</xdr:colOff>
      <xdr:row>0</xdr:row>
      <xdr:rowOff>114418</xdr:rowOff>
    </xdr:from>
    <xdr:to>
      <xdr:col>23</xdr:col>
      <xdr:colOff>165653</xdr:colOff>
      <xdr:row>6</xdr:row>
      <xdr:rowOff>297152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418A5A1-A6CC-DA2F-767D-7BD5D310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43023" y="114418"/>
          <a:ext cx="1466021" cy="19552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JV0605-3</v>
      </c>
      <c r="G1" s="332"/>
      <c r="H1" s="333"/>
      <c r="I1" s="334" t="s">
        <v>1</v>
      </c>
      <c r="J1" s="335"/>
      <c r="K1" s="245">
        <v>3</v>
      </c>
      <c r="L1" s="336" t="s">
        <v>2</v>
      </c>
      <c r="M1" s="337"/>
      <c r="N1" s="337"/>
      <c r="O1" s="338">
        <v>45418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1121878447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 t="s">
        <v>11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 t="s">
        <v>15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16</v>
      </c>
      <c r="B5" s="367"/>
      <c r="C5" s="367"/>
      <c r="D5" s="368">
        <f ca="1">IF(K5="","",(SUM(W10:Y28)-(SUMIF(U10:V28,"Restar_Pedido",W10:Y28)))/$K$5)</f>
        <v>11466.288626784928</v>
      </c>
      <c r="E5" s="369"/>
      <c r="F5" s="370"/>
      <c r="G5" s="353" t="s">
        <v>17</v>
      </c>
      <c r="H5" s="371"/>
      <c r="I5" s="371"/>
      <c r="J5" s="354"/>
      <c r="K5" s="327">
        <v>30</v>
      </c>
      <c r="L5" s="327"/>
      <c r="M5" s="328" t="s">
        <v>18</v>
      </c>
      <c r="N5" s="328"/>
      <c r="O5" s="381">
        <f ca="1">IFERROR(IF(K5=0,"",D5*K5),"")</f>
        <v>343988.65880354785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19</v>
      </c>
      <c r="B7" s="358"/>
      <c r="C7" s="358"/>
      <c r="D7" s="359" t="s">
        <v>20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21</v>
      </c>
      <c r="P7" s="360"/>
      <c r="Q7" s="361" t="s">
        <v>22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23</v>
      </c>
      <c r="T8" s="373"/>
      <c r="U8" s="373"/>
      <c r="V8" s="374">
        <f>IF(K5="","",1/K5)</f>
        <v>3.3333333333333333E-2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24</v>
      </c>
      <c r="T9" s="372"/>
      <c r="U9" s="360" t="s">
        <v>25</v>
      </c>
      <c r="V9" s="360"/>
      <c r="W9" s="360" t="s">
        <v>26</v>
      </c>
      <c r="X9" s="360"/>
      <c r="Y9" s="360"/>
    </row>
    <row r="10" spans="1:28" ht="17.25" customHeight="1">
      <c r="A10" s="308"/>
      <c r="B10" s="308"/>
      <c r="C10" s="309"/>
      <c r="D10" s="321"/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19"/>
      <c r="V10" s="325"/>
      <c r="W10" s="320" t="str">
        <f ca="1">IFERROR(IF(D10="","",INDEX(Tabla_Completa,MATCH('Soli_citud '!D10,Materiales,0),7)*S10),"")</f>
        <v/>
      </c>
      <c r="X10" s="320"/>
      <c r="Y10" s="320"/>
      <c r="Z10" s="34"/>
    </row>
    <row r="11" spans="1:28" ht="17.25" customHeight="1">
      <c r="A11" s="307" t="s">
        <v>27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cm2</v>
      </c>
      <c r="P11" s="314"/>
      <c r="Q11" s="315">
        <v>1850</v>
      </c>
      <c r="R11" s="316"/>
      <c r="S11" s="317">
        <f t="shared" ref="S11:S31" si="1">IFERROR(IF(Q11="Unidad","1",(Q11*$K$5)),"")</f>
        <v>55500</v>
      </c>
      <c r="T11" s="318"/>
      <c r="U11" s="319" t="s">
        <v>29</v>
      </c>
      <c r="V11" s="319"/>
      <c r="W11" s="320">
        <f ca="1">IFERROR(IF(D11="","",INDEX(Tabla_Completa,MATCH('Soli_citud '!D11,Materiales,0),7)*S11),"")</f>
        <v>99105.239999999991</v>
      </c>
      <c r="X11" s="320"/>
      <c r="Y11" s="320"/>
    </row>
    <row r="12" spans="1:28" ht="15.75" customHeight="1">
      <c r="A12" s="307" t="s">
        <v>27</v>
      </c>
      <c r="B12" s="308"/>
      <c r="C12" s="309"/>
      <c r="D12" s="324" t="s">
        <v>30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cm2</v>
      </c>
      <c r="P12" s="314"/>
      <c r="Q12" s="315">
        <v>1770</v>
      </c>
      <c r="R12" s="316"/>
      <c r="S12" s="317">
        <f t="shared" si="1"/>
        <v>53100</v>
      </c>
      <c r="T12" s="318"/>
      <c r="U12" s="319" t="s">
        <v>29</v>
      </c>
      <c r="V12" s="319"/>
      <c r="W12" s="320">
        <f ca="1">IFERROR(IF(D12="","",INDEX(Tabla_Completa,MATCH('Soli_citud '!D12,Materiales,0),7)*S12),"")</f>
        <v>26436.214285714283</v>
      </c>
      <c r="X12" s="320"/>
      <c r="Y12" s="320"/>
    </row>
    <row r="13" spans="1:28" ht="15.75" customHeight="1">
      <c r="A13" s="307" t="s">
        <v>31</v>
      </c>
      <c r="B13" s="308"/>
      <c r="C13" s="309"/>
      <c r="D13" s="321" t="s">
        <v>32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U</v>
      </c>
      <c r="P13" s="314"/>
      <c r="Q13" s="315">
        <v>1</v>
      </c>
      <c r="R13" s="316"/>
      <c r="S13" s="317">
        <f t="shared" si="1"/>
        <v>30</v>
      </c>
      <c r="T13" s="318"/>
      <c r="U13" s="319"/>
      <c r="V13" s="319"/>
      <c r="W13" s="320">
        <f ca="1">IFERROR(IF(D13="","",INDEX(Tabla_Completa,MATCH('Soli_citud '!D13,Materiales,0),7)*S13),"")</f>
        <v>10299.9</v>
      </c>
      <c r="X13" s="320"/>
      <c r="Y13" s="320"/>
    </row>
    <row r="14" spans="1:28" ht="17.25" customHeight="1">
      <c r="A14" s="307" t="s">
        <v>33</v>
      </c>
      <c r="B14" s="308"/>
      <c r="C14" s="309"/>
      <c r="D14" s="321" t="s">
        <v>34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Cono</v>
      </c>
      <c r="P14" s="314"/>
      <c r="Q14" s="315">
        <v>0.5</v>
      </c>
      <c r="R14" s="316"/>
      <c r="S14" s="317">
        <f t="shared" si="1"/>
        <v>15</v>
      </c>
      <c r="T14" s="318"/>
      <c r="U14" s="319" t="s">
        <v>35</v>
      </c>
      <c r="V14" s="319"/>
      <c r="W14" s="320">
        <f ca="1">IFERROR(IF(D14="","",INDEX(Tabla_Completa,MATCH('Soli_citud '!D14,Materiales,0),7)*S14),"")</f>
        <v>109000</v>
      </c>
      <c r="X14" s="320"/>
      <c r="Y14" s="320"/>
    </row>
    <row r="15" spans="1:28" ht="15.75" customHeight="1">
      <c r="A15" s="307" t="s">
        <v>31</v>
      </c>
      <c r="B15" s="308"/>
      <c r="C15" s="309"/>
      <c r="D15" s="321" t="s">
        <v>36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Pliego</v>
      </c>
      <c r="P15" s="314"/>
      <c r="Q15" s="315">
        <v>1</v>
      </c>
      <c r="R15" s="316"/>
      <c r="S15" s="317">
        <f t="shared" si="1"/>
        <v>30</v>
      </c>
      <c r="T15" s="318"/>
      <c r="U15" s="319"/>
      <c r="V15" s="319"/>
      <c r="W15" s="320">
        <f ca="1">IFERROR(IF(D15="","",INDEX(Tabla_Completa,MATCH('Soli_citud '!D15,Materiales,0),7)*S15),"")</f>
        <v>47494.600000000006</v>
      </c>
      <c r="X15" s="320"/>
      <c r="Y15" s="320"/>
    </row>
    <row r="16" spans="1:28" ht="15.75" customHeight="1">
      <c r="A16" s="307" t="s">
        <v>33</v>
      </c>
      <c r="B16" s="308"/>
      <c r="C16" s="309"/>
      <c r="D16" s="321" t="s">
        <v>37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cm</v>
      </c>
      <c r="P16" s="314"/>
      <c r="Q16" s="315">
        <v>0.4</v>
      </c>
      <c r="R16" s="316"/>
      <c r="S16" s="317">
        <f t="shared" si="1"/>
        <v>12</v>
      </c>
      <c r="T16" s="318"/>
      <c r="U16" s="319"/>
      <c r="V16" s="319"/>
      <c r="W16" s="320">
        <f ca="1">IFERROR(IF(D16="","",INDEX(Tabla_Completa,MATCH('Soli_citud '!D16,Materiales,0),7)*S16),"")</f>
        <v>146.76</v>
      </c>
      <c r="X16" s="320"/>
      <c r="Y16" s="320"/>
    </row>
    <row r="17" spans="1:25" ht="15.75" customHeight="1">
      <c r="A17" s="307" t="s">
        <v>38</v>
      </c>
      <c r="B17" s="308"/>
      <c r="C17" s="309"/>
      <c r="D17" s="321" t="s">
        <v>39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U</v>
      </c>
      <c r="P17" s="314"/>
      <c r="Q17" s="315">
        <v>1</v>
      </c>
      <c r="R17" s="316"/>
      <c r="S17" s="317">
        <f t="shared" si="1"/>
        <v>30</v>
      </c>
      <c r="T17" s="318"/>
      <c r="U17" s="319"/>
      <c r="V17" s="319"/>
      <c r="W17" s="320">
        <f ca="1">IFERROR(IF(D17="","",INDEX(Tabla_Completa,MATCH('Soli_citud '!D17,Materiales,0),7)*S17),"")</f>
        <v>38000</v>
      </c>
      <c r="X17" s="320"/>
      <c r="Y17" s="320"/>
    </row>
    <row r="18" spans="1:25" ht="15.75" customHeight="1">
      <c r="A18" s="307" t="s">
        <v>40</v>
      </c>
      <c r="B18" s="308"/>
      <c r="C18" s="309"/>
      <c r="D18" s="321" t="s">
        <v>41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ml</v>
      </c>
      <c r="P18" s="314"/>
      <c r="Q18" s="315">
        <v>60</v>
      </c>
      <c r="R18" s="316"/>
      <c r="S18" s="317">
        <f t="shared" si="1"/>
        <v>1800</v>
      </c>
      <c r="T18" s="318"/>
      <c r="U18" s="319"/>
      <c r="V18" s="319"/>
      <c r="W18" s="320">
        <f ca="1">IFERROR(IF(D18="","",INDEX(Tabla_Completa,MATCH('Soli_citud '!D18,Materiales,0),7)*S18),"")</f>
        <v>13505.944517833554</v>
      </c>
      <c r="X18" s="320"/>
      <c r="Y18" s="320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1" t="s">
        <v>42</v>
      </c>
      <c r="B39" s="401"/>
      <c r="C39" s="401"/>
      <c r="D39" s="402" t="s">
        <v>43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 ht="14.45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 ht="14.4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 ht="14.4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8">
      <c r="A44" s="399" t="s">
        <v>46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40</v>
      </c>
      <c r="O44" s="391"/>
      <c r="P44" s="391"/>
      <c r="Q44" s="391"/>
      <c r="R44" s="397" t="s">
        <v>47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48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49</v>
      </c>
      <c r="O45" s="391"/>
      <c r="P45" s="391"/>
      <c r="Q45" s="391"/>
      <c r="R45" s="398" t="s">
        <v>50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51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52</v>
      </c>
      <c r="O46" s="391"/>
      <c r="P46" s="391"/>
      <c r="Q46" s="391"/>
      <c r="R46" s="390" t="s">
        <v>53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54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38</v>
      </c>
      <c r="O47" s="391"/>
      <c r="P47" s="391"/>
      <c r="Q47" s="391"/>
      <c r="R47" s="390" t="s">
        <v>55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56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57</v>
      </c>
      <c r="O48" s="391"/>
      <c r="P48" s="391"/>
      <c r="Q48" s="391"/>
      <c r="R48" s="390" t="s">
        <v>58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59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60</v>
      </c>
      <c r="O49" s="392"/>
      <c r="P49" s="392"/>
      <c r="Q49" s="392"/>
      <c r="R49" s="398" t="s">
        <v>61</v>
      </c>
      <c r="S49" s="398"/>
      <c r="T49" s="398"/>
      <c r="U49" s="398"/>
      <c r="V49" s="398"/>
      <c r="W49" s="398"/>
      <c r="X49" s="398"/>
    </row>
    <row r="50" spans="1:24" ht="14.45">
      <c r="A50" s="396"/>
      <c r="B50" s="396"/>
      <c r="C50" s="396"/>
      <c r="D50" s="396"/>
      <c r="N50" s="391" t="s">
        <v>62</v>
      </c>
      <c r="O50" s="391"/>
      <c r="P50" s="391"/>
      <c r="Q50" s="391"/>
      <c r="R50" s="390" t="s">
        <v>63</v>
      </c>
      <c r="S50" s="390"/>
      <c r="T50" s="390"/>
      <c r="U50" s="390"/>
      <c r="V50" s="390"/>
      <c r="W50" s="390"/>
      <c r="X50" s="390"/>
    </row>
    <row r="51" spans="1:24" ht="14.45">
      <c r="N51" s="391" t="s">
        <v>27</v>
      </c>
      <c r="O51" s="391"/>
      <c r="P51" s="391"/>
      <c r="Q51" s="391"/>
      <c r="R51" s="390" t="s">
        <v>64</v>
      </c>
      <c r="S51" s="390"/>
      <c r="T51" s="390"/>
      <c r="U51" s="390"/>
      <c r="V51" s="390"/>
      <c r="W51" s="390"/>
      <c r="X51" s="390"/>
    </row>
    <row r="52" spans="1:24" ht="14.45">
      <c r="N52" s="391" t="s">
        <v>65</v>
      </c>
      <c r="O52" s="391"/>
      <c r="P52" s="391"/>
      <c r="Q52" s="391"/>
      <c r="R52" s="390" t="s">
        <v>55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C23" sqref="C23:F23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66</v>
      </c>
      <c r="E1" s="474"/>
      <c r="F1" s="474"/>
      <c r="G1" s="474"/>
      <c r="H1" s="474"/>
      <c r="I1" s="474"/>
      <c r="J1" s="479" t="s">
        <v>67</v>
      </c>
      <c r="K1" s="480"/>
      <c r="L1" s="480"/>
      <c r="M1" s="481"/>
      <c r="N1" s="475">
        <f>IF('Soli_citud '!O1="","",'Soli_citud '!O1)</f>
        <v>45418</v>
      </c>
      <c r="O1" s="476"/>
      <c r="P1" s="409" t="s">
        <v>68</v>
      </c>
      <c r="Q1" s="410"/>
      <c r="R1" s="405" t="str">
        <f>IF('Soli_citud '!D4="","",'Soli_citud '!D4)</f>
        <v>NECESER</v>
      </c>
      <c r="S1" s="406"/>
      <c r="Z1" t="s">
        <v>69</v>
      </c>
      <c r="AA1" s="251" t="s">
        <v>69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70</v>
      </c>
      <c r="K2" s="457"/>
      <c r="L2" s="457"/>
      <c r="M2" s="458"/>
      <c r="N2" s="477" t="str">
        <f>'Soli_citud '!F1</f>
        <v>JV0605-3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71</v>
      </c>
      <c r="K3" s="478"/>
      <c r="L3" s="478"/>
      <c r="M3" s="478"/>
      <c r="N3" s="465" t="str">
        <f>IF('Soli_citud '!O3="","",'Soli_citud '!O3)</f>
        <v>OPERARIO 2958442 CAMPESENA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72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73</v>
      </c>
      <c r="C6" s="451"/>
      <c r="D6" s="452"/>
      <c r="E6" s="467" t="s">
        <v>74</v>
      </c>
      <c r="F6" s="467"/>
      <c r="G6" s="467"/>
      <c r="H6" s="467"/>
      <c r="I6" s="468"/>
      <c r="J6" s="441" t="s">
        <v>75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11466.288626784928</v>
      </c>
      <c r="C8" s="429"/>
      <c r="D8" s="430"/>
      <c r="E8" s="447" t="s">
        <v>76</v>
      </c>
      <c r="F8" s="448"/>
      <c r="G8" s="448"/>
      <c r="H8" s="448"/>
      <c r="I8" s="449"/>
      <c r="J8" s="443" t="str">
        <f>IF('Soli_citud '!E2="","",'Soli_citud '!E2)</f>
        <v>Juan Vivas Alarcon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77</v>
      </c>
      <c r="C9" s="432"/>
      <c r="D9" s="424"/>
      <c r="E9" s="423" t="s">
        <v>78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79</v>
      </c>
      <c r="K10" s="463"/>
      <c r="L10" s="464"/>
      <c r="M10" s="241">
        <f>'Soli_citud '!K5</f>
        <v>30</v>
      </c>
      <c r="N10" s="445" t="s">
        <v>80</v>
      </c>
      <c r="O10" s="446"/>
      <c r="P10" s="413"/>
      <c r="Q10" s="414"/>
      <c r="R10" s="242" t="s">
        <v>81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3" t="s">
        <v>83</v>
      </c>
      <c r="C11" s="425" t="s">
        <v>84</v>
      </c>
      <c r="D11" s="426"/>
      <c r="E11" s="426"/>
      <c r="F11" s="427"/>
      <c r="G11" s="112" t="s">
        <v>85</v>
      </c>
      <c r="H11" s="112" t="s">
        <v>86</v>
      </c>
      <c r="I11" s="236" t="s">
        <v>87</v>
      </c>
      <c r="J11" s="110" t="s">
        <v>88</v>
      </c>
      <c r="K11" s="222" t="s">
        <v>89</v>
      </c>
      <c r="L11" s="461" t="s">
        <v>25</v>
      </c>
      <c r="M11" s="462"/>
      <c r="N11" s="239" t="s">
        <v>90</v>
      </c>
      <c r="O11" s="239" t="s">
        <v>91</v>
      </c>
      <c r="P11" s="243" t="s">
        <v>92</v>
      </c>
      <c r="Q11" s="244" t="s">
        <v>93</v>
      </c>
      <c r="R11" s="235" t="s">
        <v>94</v>
      </c>
      <c r="S11" s="223" t="s">
        <v>95</v>
      </c>
    </row>
    <row r="12" spans="1:27" ht="19.5" customHeight="1">
      <c r="A12" s="78">
        <v>1</v>
      </c>
      <c r="B12" s="264" t="str">
        <f>IF(H12="","",$N$2)</f>
        <v/>
      </c>
      <c r="C12" s="422" t="str">
        <f>IFERROR(IF('Soli_citud '!D10="","",'Soli_citud '!D10),"")</f>
        <v/>
      </c>
      <c r="D12" s="422"/>
      <c r="E12" s="422"/>
      <c r="F12" s="422"/>
      <c r="G12" s="225" t="str">
        <f ca="1">IF('Soli_citud '!O10="","",'Soli_citud '!O10)</f>
        <v/>
      </c>
      <c r="H12" s="225" t="str" cm="1">
        <f t="array" ref="H12">_xlfn.IFS('Soli_citud '!S10="","",'Soli_citud '!S10&lt;=0,"",'Soli_citud '!S10&gt;0,'Soli_citud '!S10)</f>
        <v/>
      </c>
      <c r="I12" s="226"/>
      <c r="J12" s="227"/>
      <c r="K12" s="207" t="str" cm="1">
        <f t="array" ref="K12">IFERROR(_xlfn.IFS(H12="","",J12=H12,"Cumplido",J12&lt;H12,H12-J12,J12&gt;H12,"Revisar"),"")</f>
        <v/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JV0605-3</v>
      </c>
      <c r="C13" s="422" t="str">
        <f>IFERROR(IF('Soli_citud '!D11="","",'Soli_citud '!D11),"")</f>
        <v>LONA TEXTIL 2</v>
      </c>
      <c r="D13" s="422"/>
      <c r="E13" s="422"/>
      <c r="F13" s="422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55500</v>
      </c>
      <c r="I13" s="226">
        <v>45420</v>
      </c>
      <c r="J13" s="228">
        <v>55500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>
        <v>140</v>
      </c>
      <c r="O13" s="208">
        <f t="shared" si="0"/>
        <v>396.42857142857144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JV0605-3</v>
      </c>
      <c r="C14" s="422" t="str">
        <f>IFERROR(IF('Soli_citud '!D12="","",'Soli_citud '!D12),"")</f>
        <v>SEDA 30-100 O SEDA TIFON</v>
      </c>
      <c r="D14" s="422"/>
      <c r="E14" s="422"/>
      <c r="F14" s="422"/>
      <c r="G14" s="225" t="str">
        <f ca="1">IF('Soli_citud '!O12="","",'Soli_citud '!O12)</f>
        <v>cm2</v>
      </c>
      <c r="H14" s="225" cm="1">
        <f t="array" ref="H14">_xlfn.IFS('Soli_citud '!S12="","",'Soli_citud '!S12&lt;=0,"",'Soli_citud '!S12&gt;0,'Soli_citud '!S12)</f>
        <v>53100</v>
      </c>
      <c r="I14" s="226">
        <v>45420</v>
      </c>
      <c r="J14" s="228">
        <v>53100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>
        <v>140</v>
      </c>
      <c r="O14" s="208">
        <f t="shared" si="0"/>
        <v>379.28571428571428</v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JV0605-3</v>
      </c>
      <c r="C15" s="422" t="str">
        <f>IFERROR(IF('Soli_citud '!D13="","",'Soli_citud '!D13),"")</f>
        <v>AGUJA CORTA CABO GRUESO 110</v>
      </c>
      <c r="D15" s="422"/>
      <c r="E15" s="422"/>
      <c r="F15" s="422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30</v>
      </c>
      <c r="I15" s="226">
        <v>45420</v>
      </c>
      <c r="J15" s="228">
        <v>30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JV0605-3</v>
      </c>
      <c r="C16" s="422" t="str">
        <f>IFERROR(IF('Soli_citud '!D14="","",'Soli_citud '!D14),"")</f>
        <v xml:space="preserve">HILO NYLON #40
</v>
      </c>
      <c r="D16" s="422"/>
      <c r="E16" s="422"/>
      <c r="F16" s="422"/>
      <c r="G16" s="225" t="str">
        <f ca="1">IF('Soli_citud '!O14="","",'Soli_citud '!O14)</f>
        <v>Cono</v>
      </c>
      <c r="H16" s="225" cm="1">
        <f t="array" ref="H16">_xlfn.IFS('Soli_citud '!S14="","",'Soli_citud '!S14&lt;=0,"",'Soli_citud '!S14&gt;0,'Soli_citud '!S14)</f>
        <v>15</v>
      </c>
      <c r="I16" s="226">
        <v>45420</v>
      </c>
      <c r="J16" s="228">
        <v>15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JV0605-3</v>
      </c>
      <c r="C17" s="422" t="str">
        <f>IFERROR(IF('Soli_citud '!D15="","",'Soli_citud '!D15),"")</f>
        <v xml:space="preserve">CARTULINA PLANA </v>
      </c>
      <c r="D17" s="422"/>
      <c r="E17" s="422"/>
      <c r="F17" s="422"/>
      <c r="G17" s="225" t="str">
        <f ca="1">IF('Soli_citud '!O15="","",'Soli_citud '!O15)</f>
        <v>Pliego</v>
      </c>
      <c r="H17" s="225" cm="1">
        <f t="array" ref="H17">_xlfn.IFS('Soli_citud '!S15="","",'Soli_citud '!S15&lt;=0,"",'Soli_citud '!S15&gt;0,'Soli_citud '!S15)</f>
        <v>30</v>
      </c>
      <c r="I17" s="226">
        <v>45420</v>
      </c>
      <c r="J17" s="228">
        <v>30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JV0605-3</v>
      </c>
      <c r="C18" s="422" t="str">
        <f>IFERROR(IF('Soli_citud '!D16="","",'Soli_citud '!D16),"")</f>
        <v>CREMALLERA POLIÉSTER #6</v>
      </c>
      <c r="D18" s="422"/>
      <c r="E18" s="422"/>
      <c r="F18" s="422"/>
      <c r="G18" s="225" t="str">
        <f ca="1">IF('Soli_citud '!O16="","",'Soli_citud '!O16)</f>
        <v>cm</v>
      </c>
      <c r="H18" s="225" cm="1">
        <f t="array" ref="H18">_xlfn.IFS('Soli_citud '!S16="","",'Soli_citud '!S16&lt;=0,"",'Soli_citud '!S16&gt;0,'Soli_citud '!S16)</f>
        <v>12</v>
      </c>
      <c r="I18" s="226">
        <v>45420</v>
      </c>
      <c r="J18" s="228">
        <v>12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JV0605-3</v>
      </c>
      <c r="C19" s="422" t="str">
        <f>IFERROR(IF('Soli_citud '!D17="","",'Soli_citud '!D17),"")</f>
        <v xml:space="preserve">LLAVE METÁLICA DE LUJO DESLIZADOR   #6 PARA CREMALLERA - NÍQUEL </v>
      </c>
      <c r="D19" s="422"/>
      <c r="E19" s="422"/>
      <c r="F19" s="422"/>
      <c r="G19" s="225" t="str">
        <f ca="1">IF('Soli_citud '!O17="","",'Soli_citud '!O17)</f>
        <v>U</v>
      </c>
      <c r="H19" s="225" cm="1">
        <f t="array" ref="H19">_xlfn.IFS('Soli_citud '!S17="","",'Soli_citud '!S17&lt;=0,"",'Soli_citud '!S17&gt;0,'Soli_citud '!S17)</f>
        <v>30</v>
      </c>
      <c r="I19" s="226">
        <v>45420</v>
      </c>
      <c r="J19" s="228">
        <v>30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JV0605-3</v>
      </c>
      <c r="C20" s="422" t="str">
        <f>IFERROR(IF('Soli_citud '!D18="","",'Soli_citud '!D18),"")</f>
        <v>SOLUCIÓN DE CAUCHO</v>
      </c>
      <c r="D20" s="422"/>
      <c r="E20" s="422"/>
      <c r="F20" s="422"/>
      <c r="G20" s="225" t="str">
        <f ca="1">IF('Soli_citud '!O18="","",'Soli_citud '!O18)</f>
        <v>ml</v>
      </c>
      <c r="H20" s="225" cm="1">
        <f t="array" ref="H20">_xlfn.IFS('Soli_citud '!S18="","",'Soli_citud '!S18&lt;=0,"",'Soli_citud '!S18&gt;0,'Soli_citud '!S18)</f>
        <v>1800</v>
      </c>
      <c r="I20" s="226">
        <v>45420</v>
      </c>
      <c r="J20" s="228">
        <v>1800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96</v>
      </c>
      <c r="F1" s="488"/>
      <c r="Z1" s="251" t="s">
        <v>69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97</v>
      </c>
      <c r="B6" s="303">
        <f>SUBTOTAL(3,(BD!$B$8:$B$20))</f>
        <v>13</v>
      </c>
      <c r="C6" s="484"/>
      <c r="D6" s="485"/>
      <c r="H6" s="482" t="s">
        <v>98</v>
      </c>
      <c r="I6" s="482"/>
    </row>
    <row r="7" spans="1:26" ht="46.9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40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40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40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40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40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40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40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40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40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40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41</v>
      </c>
      <c r="C18" s="140" t="s">
        <v>40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40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4" t="s">
        <v>40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124</v>
      </c>
      <c r="C34" s="218" t="s">
        <v>125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8" t="s">
        <v>125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8" t="s">
        <v>125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8" t="s">
        <v>125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8" t="s">
        <v>125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8" t="s">
        <v>125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8" t="s">
        <v>125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8" t="s">
        <v>125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8" t="s">
        <v>125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8" t="s">
        <v>125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8" t="s">
        <v>125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8" t="s">
        <v>125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8" t="s">
        <v>125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8" t="s">
        <v>125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8" t="s">
        <v>125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8" t="s">
        <v>125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8" t="s">
        <v>125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8" t="s">
        <v>125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8" t="s">
        <v>125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8" t="s">
        <v>125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8" t="s">
        <v>125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8" t="s">
        <v>125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8" t="s">
        <v>125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8" t="s">
        <v>125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8" t="s">
        <v>125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8" t="s">
        <v>125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8" t="s">
        <v>125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8" t="s">
        <v>125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8" t="s">
        <v>125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8" t="s">
        <v>125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8" t="s">
        <v>125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8" t="s">
        <v>125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8" t="s">
        <v>125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8" t="s">
        <v>125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8" t="s">
        <v>125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8" t="s">
        <v>125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8" t="s">
        <v>125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8" t="s">
        <v>125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8" t="s">
        <v>125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8" t="s">
        <v>125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8" t="s">
        <v>125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8" t="s">
        <v>125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8" t="s">
        <v>125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8" t="s">
        <v>125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8" t="s">
        <v>125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8" t="s">
        <v>125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8" t="s">
        <v>125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8" t="s">
        <v>125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8" t="s">
        <v>125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8" t="s">
        <v>125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8" t="s">
        <v>125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8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8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8" t="s">
        <v>125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8" t="s">
        <v>125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8" t="s">
        <v>125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8" t="s">
        <v>125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8" t="s">
        <v>125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8" t="s">
        <v>125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8" t="s">
        <v>125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8" t="s">
        <v>125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8" t="s">
        <v>125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8" t="s">
        <v>125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8" t="s">
        <v>125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8" t="s">
        <v>125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8" t="s">
        <v>125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8" t="s">
        <v>125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8" t="s">
        <v>125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8" t="s">
        <v>125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8" t="s">
        <v>125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8" t="s">
        <v>125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8" t="s">
        <v>125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8" t="s">
        <v>125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8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8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8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8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8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8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8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8" t="s">
        <v>125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8" t="s">
        <v>125</v>
      </c>
      <c r="D115" s="48" t="s">
        <v>209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8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8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8" t="s">
        <v>125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8" t="s">
        <v>125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8" t="s">
        <v>125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8" t="s">
        <v>125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8" t="s">
        <v>125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8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8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8" t="s">
        <v>125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8" t="s">
        <v>125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8" t="s">
        <v>125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8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8" t="s">
        <v>125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8" t="s">
        <v>125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8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8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8" t="s">
        <v>125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8" t="s">
        <v>125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8" t="s">
        <v>125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8" t="s">
        <v>125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8" t="s">
        <v>125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8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8" t="s">
        <v>125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8" t="s">
        <v>125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8" t="s">
        <v>125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239</v>
      </c>
      <c r="C162" s="218" t="s">
        <v>33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8" t="s">
        <v>33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8" t="s">
        <v>33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8" t="s">
        <v>33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8" t="s">
        <v>33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8" t="s">
        <v>33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8" t="s">
        <v>33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8" t="s">
        <v>33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8" t="s">
        <v>33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8" t="s">
        <v>33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8" t="s">
        <v>33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8" t="s">
        <v>33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8" t="s">
        <v>33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8" t="s">
        <v>33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8" t="s">
        <v>33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8" t="s">
        <v>33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8" t="s">
        <v>33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8" t="s">
        <v>33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8" t="s">
        <v>33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8" t="s">
        <v>33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8" t="s">
        <v>33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8" t="s">
        <v>33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8" t="s">
        <v>33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8" t="s">
        <v>33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8" t="s">
        <v>33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8" t="s">
        <v>33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8" t="s">
        <v>33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8" t="s">
        <v>33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8" t="s">
        <v>33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8" t="s">
        <v>33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8" t="s">
        <v>33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8" t="s">
        <v>33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8" t="s">
        <v>33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8" t="s">
        <v>33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8" t="s">
        <v>33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8" t="s">
        <v>33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8" t="s">
        <v>33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8" t="s">
        <v>33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8" t="s">
        <v>33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8" t="s">
        <v>33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8" t="s">
        <v>33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8" t="s">
        <v>33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8" t="s">
        <v>33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8" t="s">
        <v>33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8" t="s">
        <v>33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8" t="s">
        <v>33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8" t="s">
        <v>33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8" t="s">
        <v>33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8" t="s">
        <v>33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8" t="s">
        <v>33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8" t="s">
        <v>33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8" t="s">
        <v>33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8" t="s">
        <v>33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8" t="s">
        <v>33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8" t="s">
        <v>33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8" t="s">
        <v>33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8" t="s">
        <v>33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8" t="s">
        <v>33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8" t="s">
        <v>33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8" t="s">
        <v>33</v>
      </c>
      <c r="D221" s="48" t="s">
        <v>177</v>
      </c>
      <c r="E221" s="43">
        <v>475.34</v>
      </c>
      <c r="F221" s="299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8" t="s">
        <v>33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8" t="s">
        <v>33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8" t="s">
        <v>33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8" t="s">
        <v>33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8" t="s">
        <v>33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8" t="s">
        <v>33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8" t="s">
        <v>33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8" t="s">
        <v>33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8" t="s">
        <v>33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37</v>
      </c>
      <c r="C231" s="218" t="s">
        <v>33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8" t="s">
        <v>33</v>
      </c>
      <c r="D232" s="49" t="s">
        <v>241</v>
      </c>
      <c r="E232" s="166">
        <v>16471.25</v>
      </c>
      <c r="F232" s="300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8" t="s">
        <v>33</v>
      </c>
      <c r="D233" s="49" t="s">
        <v>241</v>
      </c>
      <c r="E233" s="166">
        <v>32931.5</v>
      </c>
      <c r="F233" s="300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8" t="s">
        <v>33</v>
      </c>
      <c r="D234" s="49" t="s">
        <v>241</v>
      </c>
      <c r="E234" s="166">
        <v>16209.5</v>
      </c>
      <c r="F234" s="300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8" t="s">
        <v>33</v>
      </c>
      <c r="D235" s="49" t="s">
        <v>241</v>
      </c>
      <c r="E235" s="166">
        <v>32417</v>
      </c>
      <c r="F235" s="300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8" t="s">
        <v>33</v>
      </c>
      <c r="D236" s="49" t="s">
        <v>241</v>
      </c>
      <c r="E236" s="166">
        <v>50250</v>
      </c>
      <c r="F236" s="300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8" t="s">
        <v>33</v>
      </c>
      <c r="D237" s="49" t="s">
        <v>241</v>
      </c>
      <c r="E237" s="166">
        <v>25131.5</v>
      </c>
      <c r="F237" s="300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8" t="s">
        <v>33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8" t="s">
        <v>33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8" t="s">
        <v>33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8" t="s">
        <v>33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8" t="s">
        <v>33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8" t="s">
        <v>33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8" t="s">
        <v>33</v>
      </c>
      <c r="D244" s="48" t="s">
        <v>244</v>
      </c>
      <c r="E244" s="43">
        <v>28000</v>
      </c>
      <c r="F244" s="193" t="s">
        <v>247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8" t="s">
        <v>33</v>
      </c>
      <c r="D245" s="48" t="s">
        <v>244</v>
      </c>
      <c r="E245" s="43">
        <v>20000</v>
      </c>
      <c r="F245" s="193" t="s">
        <v>247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5" t="s">
        <v>33</v>
      </c>
      <c r="D246" s="48" t="s">
        <v>244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5" t="s">
        <v>33</v>
      </c>
      <c r="D247" s="48" t="s">
        <v>243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5" t="s">
        <v>33</v>
      </c>
      <c r="D248" s="48" t="s">
        <v>115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34</v>
      </c>
      <c r="C249" s="275" t="s">
        <v>33</v>
      </c>
      <c r="D249" s="48" t="s">
        <v>115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331</v>
      </c>
      <c r="C250" s="275" t="s">
        <v>33</v>
      </c>
      <c r="D250" s="276" t="s">
        <v>115</v>
      </c>
      <c r="E250" s="141">
        <v>7266.665</v>
      </c>
      <c r="F250" s="277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5" t="s">
        <v>33</v>
      </c>
      <c r="D251" s="276" t="s">
        <v>243</v>
      </c>
      <c r="E251" s="141">
        <v>5000</v>
      </c>
      <c r="F251" s="277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5" t="s">
        <v>33</v>
      </c>
      <c r="D252" s="276" t="s">
        <v>244</v>
      </c>
      <c r="E252" s="302">
        <v>7183</v>
      </c>
      <c r="F252" s="277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5" t="s">
        <v>33</v>
      </c>
      <c r="D253" s="276" t="s">
        <v>244</v>
      </c>
      <c r="E253" s="302">
        <v>10597</v>
      </c>
      <c r="F253" s="277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5" t="s">
        <v>33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5" t="s">
        <v>33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5" t="s">
        <v>33</v>
      </c>
      <c r="D256" s="276" t="s">
        <v>247</v>
      </c>
      <c r="E256" s="141"/>
      <c r="F256" s="277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5" t="s">
        <v>33</v>
      </c>
      <c r="D257" s="276" t="s">
        <v>241</v>
      </c>
      <c r="E257" s="141">
        <v>8000</v>
      </c>
      <c r="F257" s="277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33</v>
      </c>
      <c r="D258" s="276" t="s">
        <v>241</v>
      </c>
      <c r="E258" s="141">
        <v>10000</v>
      </c>
      <c r="F258" s="277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33</v>
      </c>
      <c r="D259" s="276" t="s">
        <v>241</v>
      </c>
      <c r="E259" s="141">
        <v>10000</v>
      </c>
      <c r="F259" s="277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33</v>
      </c>
      <c r="D260" s="276" t="s">
        <v>247</v>
      </c>
      <c r="E260" s="141"/>
      <c r="F260" s="277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33</v>
      </c>
      <c r="D261" s="276" t="s">
        <v>209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33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33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33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33</v>
      </c>
      <c r="D265" s="276" t="s">
        <v>244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33</v>
      </c>
      <c r="D266" s="276" t="s">
        <v>244</v>
      </c>
      <c r="E266" s="141">
        <v>1057</v>
      </c>
      <c r="F266" s="277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33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33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33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33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33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33</v>
      </c>
      <c r="D272" s="276" t="s">
        <v>244</v>
      </c>
      <c r="E272" s="141">
        <v>819.99999999999989</v>
      </c>
      <c r="F272" s="277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33</v>
      </c>
      <c r="D273" s="276" t="s">
        <v>244</v>
      </c>
      <c r="E273" s="141">
        <v>1170</v>
      </c>
      <c r="F273" s="277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33</v>
      </c>
      <c r="D274" s="276" t="s">
        <v>244</v>
      </c>
      <c r="E274" s="141">
        <v>8000</v>
      </c>
      <c r="F274" s="277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33</v>
      </c>
      <c r="D275" s="276" t="s">
        <v>244</v>
      </c>
      <c r="E275" s="141">
        <v>11000</v>
      </c>
      <c r="F275" s="277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33</v>
      </c>
      <c r="D276" s="276" t="s">
        <v>244</v>
      </c>
      <c r="E276" s="141">
        <v>10858</v>
      </c>
      <c r="F276" s="277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33</v>
      </c>
      <c r="D277" s="276" t="s">
        <v>244</v>
      </c>
      <c r="E277" s="141">
        <v>13999.16</v>
      </c>
      <c r="F277" s="277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33</v>
      </c>
      <c r="D278" s="276" t="s">
        <v>241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33</v>
      </c>
      <c r="D279" s="276" t="s">
        <v>247</v>
      </c>
      <c r="E279" s="141"/>
      <c r="F279" s="277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33</v>
      </c>
      <c r="D280" s="276" t="s">
        <v>247</v>
      </c>
      <c r="E280" s="141"/>
      <c r="F280" s="277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33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33</v>
      </c>
      <c r="D282" s="276" t="s">
        <v>219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33</v>
      </c>
      <c r="D283" s="276" t="s">
        <v>244</v>
      </c>
      <c r="E283" s="141">
        <v>1035.3</v>
      </c>
      <c r="F283" s="277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33</v>
      </c>
      <c r="D284" s="276" t="s">
        <v>243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33</v>
      </c>
      <c r="D285" s="276" t="s">
        <v>243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33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33</v>
      </c>
      <c r="D287" s="276" t="s">
        <v>244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33</v>
      </c>
      <c r="D288" s="48" t="s">
        <v>244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33</v>
      </c>
      <c r="D289" s="276" t="s">
        <v>244</v>
      </c>
      <c r="E289" s="166">
        <v>10780</v>
      </c>
      <c r="F289" s="277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82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372</v>
      </c>
      <c r="C516" s="218" t="s">
        <v>52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52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8" t="s">
        <v>52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8" t="s">
        <v>52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8" t="s">
        <v>52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8" t="s">
        <v>52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8" t="s">
        <v>52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8" t="s">
        <v>52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8" t="s">
        <v>52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8" t="s">
        <v>52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8" t="s">
        <v>52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8" t="s">
        <v>52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8" t="s">
        <v>52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8" t="s">
        <v>52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52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52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52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52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52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52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52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52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52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97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82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1" t="s">
        <v>396</v>
      </c>
      <c r="C562" s="218" t="s">
        <v>38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38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38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38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38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38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38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38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38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38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38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38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38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38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38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38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38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38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38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38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38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38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38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38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38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38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38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38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38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38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38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38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38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38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38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38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38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38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38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38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38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38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38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38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38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38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38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38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38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38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38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38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38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38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38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38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38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38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38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38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38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38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38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38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38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38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38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38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38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38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38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38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38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38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38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38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8" t="s">
        <v>38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8" t="s">
        <v>38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8" t="s">
        <v>38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8" t="s">
        <v>38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8" t="s">
        <v>38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8" t="s">
        <v>38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8" t="s">
        <v>38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8" t="s">
        <v>38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8" t="s">
        <v>38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481</v>
      </c>
      <c r="C647" s="218" t="s">
        <v>38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8" t="s">
        <v>38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483</v>
      </c>
      <c r="C649" s="218" t="s">
        <v>38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8" t="s">
        <v>38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8" t="s">
        <v>38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8" t="s">
        <v>38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8" t="s">
        <v>38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8" t="s">
        <v>38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8" t="s">
        <v>38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8" t="s">
        <v>38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8" t="s">
        <v>38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8" t="s">
        <v>38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8" t="s">
        <v>38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8" t="s">
        <v>38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8" t="s">
        <v>38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8" t="s">
        <v>38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8" t="s">
        <v>38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8" t="s">
        <v>38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8" t="s">
        <v>38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8" t="s">
        <v>38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8" t="s">
        <v>38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8" t="s">
        <v>38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8" t="s">
        <v>38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8" t="s">
        <v>38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8" t="s">
        <v>38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8" t="s">
        <v>38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8" t="s">
        <v>38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8" t="s">
        <v>38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8" t="s">
        <v>38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8" t="s">
        <v>38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8" t="s">
        <v>38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8" t="s">
        <v>38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8" t="s">
        <v>38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8" t="s">
        <v>38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8" t="s">
        <v>38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8" t="s">
        <v>38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517</v>
      </c>
      <c r="C683" s="218" t="s">
        <v>38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8" t="s">
        <v>38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8" t="s">
        <v>38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8" t="s">
        <v>38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8" t="s">
        <v>38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8" t="s">
        <v>38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8" t="s">
        <v>38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8" t="s">
        <v>38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525</v>
      </c>
      <c r="C691" s="218" t="s">
        <v>38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8" t="s">
        <v>38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8" t="s">
        <v>38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8" t="s">
        <v>38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8" t="s">
        <v>38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8" t="s">
        <v>38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8" t="s">
        <v>38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8" t="s">
        <v>38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8" t="s">
        <v>38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8" t="s">
        <v>38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8" t="s">
        <v>38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8" t="s">
        <v>38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8" t="s">
        <v>38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8" t="s">
        <v>38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8" t="s">
        <v>38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8" t="s">
        <v>38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8" t="s">
        <v>38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8" t="s">
        <v>38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8" t="s">
        <v>38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8" t="s">
        <v>38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8" t="s">
        <v>38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8" t="s">
        <v>38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8" t="s">
        <v>38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8" t="s">
        <v>38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8" t="s">
        <v>38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8" t="s">
        <v>38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8" t="s">
        <v>38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8" t="s">
        <v>38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8" t="s">
        <v>38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8" t="s">
        <v>38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8" t="s">
        <v>38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8" t="s">
        <v>38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8" t="s">
        <v>38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8" t="s">
        <v>38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8" t="s">
        <v>38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8" t="s">
        <v>38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8" t="s">
        <v>38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8" t="s">
        <v>38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8" t="s">
        <v>38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8" t="s">
        <v>38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8" t="s">
        <v>38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8" t="s">
        <v>38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8" t="s">
        <v>38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8" t="s">
        <v>38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8" t="s">
        <v>38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8" t="s">
        <v>38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8" t="s">
        <v>38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8" t="s">
        <v>38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8" t="s">
        <v>38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8" t="s">
        <v>38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8" t="s">
        <v>38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8" t="s">
        <v>38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8" t="s">
        <v>38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8" t="s">
        <v>38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8" t="s">
        <v>38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8" t="s">
        <v>38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8" t="s">
        <v>38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8" t="s">
        <v>38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8" t="s">
        <v>38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8" t="s">
        <v>38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8" t="s">
        <v>38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8" t="s">
        <v>38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8" t="s">
        <v>38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8" t="s">
        <v>38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8" t="s">
        <v>38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8" t="s">
        <v>38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8" t="s">
        <v>38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8" t="s">
        <v>38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8" t="s">
        <v>38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8" t="s">
        <v>38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8" t="s">
        <v>38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8" t="s">
        <v>38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8" t="s">
        <v>38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8" t="s">
        <v>38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599</v>
      </c>
      <c r="C765" s="218" t="s">
        <v>38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8" t="s">
        <v>38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8" t="s">
        <v>38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8" t="s">
        <v>38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8" t="s">
        <v>38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8" t="s">
        <v>38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8" t="s">
        <v>38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8" t="s">
        <v>38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8" t="s">
        <v>38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8" t="s">
        <v>38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8" t="s">
        <v>38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8" t="s">
        <v>38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8" t="s">
        <v>38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8" t="s">
        <v>38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613</v>
      </c>
      <c r="C779" s="218" t="s">
        <v>38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8" t="s">
        <v>38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8" t="s">
        <v>38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616</v>
      </c>
      <c r="C782" s="218" t="s">
        <v>38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8" t="s">
        <v>38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8" t="s">
        <v>38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8" t="s">
        <v>38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8" t="s">
        <v>38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8" t="s">
        <v>38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622</v>
      </c>
      <c r="C788" s="218" t="s">
        <v>38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623</v>
      </c>
      <c r="C789" s="218" t="s">
        <v>38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624</v>
      </c>
      <c r="C790" s="218" t="s">
        <v>38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625</v>
      </c>
      <c r="C791" s="218" t="s">
        <v>38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626</v>
      </c>
      <c r="C792" s="218" t="s">
        <v>38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627</v>
      </c>
      <c r="C793" s="218" t="s">
        <v>38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39</v>
      </c>
      <c r="C794" s="218" t="s">
        <v>38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628</v>
      </c>
      <c r="C795" s="218" t="s">
        <v>38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629</v>
      </c>
      <c r="C796" s="218" t="s">
        <v>38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630</v>
      </c>
      <c r="C797" s="218" t="s">
        <v>38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631</v>
      </c>
      <c r="C798" s="218" t="s">
        <v>38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632</v>
      </c>
      <c r="C799" s="218" t="s">
        <v>38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633</v>
      </c>
      <c r="C800" s="218" t="s">
        <v>38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634</v>
      </c>
      <c r="C801" s="218" t="s">
        <v>38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635</v>
      </c>
      <c r="C802" s="218" t="s">
        <v>38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636</v>
      </c>
      <c r="C803" s="218" t="s">
        <v>38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637</v>
      </c>
      <c r="C804" s="218" t="s">
        <v>38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638</v>
      </c>
      <c r="C805" s="218" t="s">
        <v>38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639</v>
      </c>
      <c r="C806" s="218" t="s">
        <v>38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640</v>
      </c>
      <c r="C807" s="218" t="s">
        <v>38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641</v>
      </c>
      <c r="C808" s="218" t="s">
        <v>38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642</v>
      </c>
      <c r="C809" s="218" t="s">
        <v>38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643</v>
      </c>
      <c r="C810" s="218" t="s">
        <v>38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644</v>
      </c>
      <c r="C811" s="218" t="s">
        <v>38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645</v>
      </c>
      <c r="C812" s="218" t="s">
        <v>38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646</v>
      </c>
      <c r="C813" s="218" t="s">
        <v>38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647</v>
      </c>
      <c r="C814" s="218" t="s">
        <v>38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648</v>
      </c>
      <c r="C815" s="218" t="s">
        <v>38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649</v>
      </c>
      <c r="C816" s="218" t="s">
        <v>38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650</v>
      </c>
      <c r="C817" s="218" t="s">
        <v>38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651</v>
      </c>
      <c r="C818" s="218" t="s">
        <v>38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652</v>
      </c>
      <c r="C819" s="218" t="s">
        <v>38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653</v>
      </c>
      <c r="C820" s="218" t="s">
        <v>38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654</v>
      </c>
      <c r="C821" s="218" t="s">
        <v>38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655</v>
      </c>
      <c r="C822" s="218" t="s">
        <v>38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8" t="s">
        <v>38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657</v>
      </c>
      <c r="C824" s="218" t="s">
        <v>38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658</v>
      </c>
      <c r="C825" s="218" t="s">
        <v>38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8" t="s">
        <v>38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660</v>
      </c>
      <c r="C827" s="218" t="s">
        <v>38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661</v>
      </c>
      <c r="C828" s="218" t="s">
        <v>38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662</v>
      </c>
      <c r="C829" s="218" t="s">
        <v>38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663</v>
      </c>
      <c r="C830" s="218" t="s">
        <v>38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664</v>
      </c>
      <c r="C831" s="218" t="s">
        <v>38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665</v>
      </c>
      <c r="C832" s="218" t="s">
        <v>38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666</v>
      </c>
      <c r="C833" s="218" t="s">
        <v>38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667</v>
      </c>
      <c r="C834" s="218" t="s">
        <v>38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668</v>
      </c>
      <c r="C835" s="218" t="s">
        <v>38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669</v>
      </c>
      <c r="C836" s="218" t="s">
        <v>38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670</v>
      </c>
      <c r="C837" s="218" t="s">
        <v>38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671</v>
      </c>
      <c r="C838" s="218" t="s">
        <v>38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672</v>
      </c>
      <c r="C839" s="218" t="s">
        <v>38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673</v>
      </c>
      <c r="C840" s="218" t="s">
        <v>38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674</v>
      </c>
      <c r="C841" s="218" t="s">
        <v>38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675</v>
      </c>
      <c r="C842" s="218" t="s">
        <v>38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676</v>
      </c>
      <c r="C843" s="218" t="s">
        <v>38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677</v>
      </c>
      <c r="C844" s="218" t="s">
        <v>38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678</v>
      </c>
      <c r="C845" s="218" t="s">
        <v>38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679</v>
      </c>
      <c r="C846" s="218" t="s">
        <v>38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680</v>
      </c>
      <c r="C847" s="218" t="s">
        <v>38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681</v>
      </c>
      <c r="C848" s="218" t="s">
        <v>38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8" t="s">
        <v>38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8" t="s">
        <v>38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8" t="s">
        <v>38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8" t="s">
        <v>38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8" t="s">
        <v>38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687</v>
      </c>
      <c r="C854" s="218" t="s">
        <v>38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8" t="s">
        <v>38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8" t="s">
        <v>38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8" t="s">
        <v>38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8" t="s">
        <v>38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8" t="s">
        <v>38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693</v>
      </c>
      <c r="C860" s="218" t="s">
        <v>38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694</v>
      </c>
      <c r="C861" s="218" t="s">
        <v>38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695</v>
      </c>
      <c r="C862" s="218" t="s">
        <v>38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696</v>
      </c>
      <c r="C863" s="218" t="s">
        <v>38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697</v>
      </c>
      <c r="C864" s="218" t="s">
        <v>38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698</v>
      </c>
      <c r="C865" s="218" t="s">
        <v>38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699</v>
      </c>
      <c r="C866" s="218" t="s">
        <v>38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700</v>
      </c>
      <c r="C867" s="218" t="s">
        <v>38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701</v>
      </c>
      <c r="C868" s="218" t="s">
        <v>38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702</v>
      </c>
      <c r="C869" s="218" t="s">
        <v>38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703</v>
      </c>
      <c r="C870" s="218" t="s">
        <v>38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704</v>
      </c>
      <c r="C871" s="218" t="s">
        <v>38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705</v>
      </c>
      <c r="C872" s="218" t="s">
        <v>38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706</v>
      </c>
      <c r="C873" s="218" t="s">
        <v>38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8" t="s">
        <v>38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708</v>
      </c>
      <c r="C875" s="218" t="s">
        <v>38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709</v>
      </c>
      <c r="C876" s="218" t="s">
        <v>38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8" t="s">
        <v>38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8" t="s">
        <v>38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712</v>
      </c>
      <c r="C879" s="218" t="s">
        <v>38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8" t="s">
        <v>38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8" t="s">
        <v>38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8" t="s">
        <v>38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8" t="s">
        <v>38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8" t="s">
        <v>38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8" t="s">
        <v>38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719</v>
      </c>
      <c r="C886" s="218" t="s">
        <v>38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720</v>
      </c>
      <c r="C887" s="218" t="s">
        <v>38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721</v>
      </c>
      <c r="C888" s="218" t="s">
        <v>38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722</v>
      </c>
      <c r="C889" s="218" t="s">
        <v>38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723</v>
      </c>
      <c r="C890" s="218" t="s">
        <v>38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724</v>
      </c>
      <c r="C891" s="218" t="s">
        <v>38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725</v>
      </c>
      <c r="C892" s="218" t="s">
        <v>38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726</v>
      </c>
      <c r="C893" s="218" t="s">
        <v>38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727</v>
      </c>
      <c r="C894" s="218" t="s">
        <v>38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728</v>
      </c>
      <c r="C895" s="218" t="s">
        <v>38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729</v>
      </c>
      <c r="C896" s="218" t="s">
        <v>38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730</v>
      </c>
      <c r="C897" s="218" t="s">
        <v>38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731</v>
      </c>
      <c r="C898" s="218" t="s">
        <v>38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732</v>
      </c>
      <c r="C899" s="218" t="s">
        <v>38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733</v>
      </c>
      <c r="C900" s="218" t="s">
        <v>38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734</v>
      </c>
      <c r="C901" s="218" t="s">
        <v>38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735</v>
      </c>
      <c r="C902" s="218" t="s">
        <v>38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736</v>
      </c>
      <c r="C903" s="218" t="s">
        <v>38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737</v>
      </c>
      <c r="C904" s="218" t="s">
        <v>38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738</v>
      </c>
      <c r="C905" s="218" t="s">
        <v>38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739</v>
      </c>
      <c r="C906" s="218" t="s">
        <v>38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740</v>
      </c>
      <c r="C907" s="218" t="s">
        <v>38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741</v>
      </c>
      <c r="C908" s="218" t="s">
        <v>38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742</v>
      </c>
      <c r="C909" s="218" t="s">
        <v>38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743</v>
      </c>
      <c r="C910" s="218" t="s">
        <v>38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744</v>
      </c>
      <c r="C911" s="218" t="s">
        <v>38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745</v>
      </c>
      <c r="C912" s="218" t="s">
        <v>38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746</v>
      </c>
      <c r="C913" s="218" t="s">
        <v>38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747</v>
      </c>
      <c r="C914" s="218" t="s">
        <v>38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748</v>
      </c>
      <c r="C915" s="218" t="s">
        <v>38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749</v>
      </c>
      <c r="C916" s="218" t="s">
        <v>38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750</v>
      </c>
      <c r="C917" s="218" t="s">
        <v>38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751</v>
      </c>
      <c r="C918" s="218" t="s">
        <v>38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752</v>
      </c>
      <c r="C919" s="218" t="s">
        <v>38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753</v>
      </c>
      <c r="C920" s="218" t="s">
        <v>38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754</v>
      </c>
      <c r="C921" s="218" t="s">
        <v>38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755</v>
      </c>
      <c r="C922" s="218" t="s">
        <v>38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756</v>
      </c>
      <c r="C923" s="218" t="s">
        <v>38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757</v>
      </c>
      <c r="C924" s="218" t="s">
        <v>38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758</v>
      </c>
      <c r="C925" s="218" t="s">
        <v>38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759</v>
      </c>
      <c r="C926" s="218" t="s">
        <v>38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760</v>
      </c>
      <c r="C927" s="218" t="s">
        <v>38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761</v>
      </c>
      <c r="C928" s="218" t="s">
        <v>38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762</v>
      </c>
      <c r="C929" s="218" t="s">
        <v>38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763</v>
      </c>
      <c r="C930" s="218" t="s">
        <v>38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764</v>
      </c>
      <c r="C931" s="218" t="s">
        <v>38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765</v>
      </c>
      <c r="C932" s="218" t="s">
        <v>38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766</v>
      </c>
      <c r="C933" s="218" t="s">
        <v>38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767</v>
      </c>
      <c r="C934" s="218" t="s">
        <v>38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768</v>
      </c>
      <c r="C935" s="218" t="s">
        <v>38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769</v>
      </c>
      <c r="C936" s="218" t="s">
        <v>38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770</v>
      </c>
      <c r="C937" s="218" t="s">
        <v>38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771</v>
      </c>
      <c r="C938" s="218" t="s">
        <v>38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772</v>
      </c>
      <c r="C939" s="218" t="s">
        <v>38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773</v>
      </c>
      <c r="C940" s="218" t="s">
        <v>38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774</v>
      </c>
      <c r="C941" s="218" t="s">
        <v>38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775</v>
      </c>
      <c r="C942" s="218" t="s">
        <v>38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776</v>
      </c>
      <c r="C943" s="218" t="s">
        <v>38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777</v>
      </c>
      <c r="C944" s="218" t="s">
        <v>38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778</v>
      </c>
      <c r="C945" s="218" t="s">
        <v>38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779</v>
      </c>
      <c r="C946" s="218" t="s">
        <v>38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780</v>
      </c>
      <c r="C947" s="218" t="s">
        <v>38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781</v>
      </c>
      <c r="C948" s="218" t="s">
        <v>38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782</v>
      </c>
      <c r="C949" s="218" t="s">
        <v>38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783</v>
      </c>
      <c r="C950" s="218" t="s">
        <v>38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784</v>
      </c>
      <c r="C951" s="218" t="s">
        <v>38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785</v>
      </c>
      <c r="C952" s="218" t="s">
        <v>38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786</v>
      </c>
      <c r="C953" s="218" t="s">
        <v>38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787</v>
      </c>
      <c r="C954" s="218" t="s">
        <v>38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788</v>
      </c>
      <c r="C955" s="218" t="s">
        <v>38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789</v>
      </c>
      <c r="C956" s="218" t="s">
        <v>38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790</v>
      </c>
      <c r="C957" s="218" t="s">
        <v>38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791</v>
      </c>
      <c r="C958" s="218" t="s">
        <v>38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792</v>
      </c>
      <c r="C959" s="218" t="s">
        <v>38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793</v>
      </c>
      <c r="C960" s="218" t="s">
        <v>38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794</v>
      </c>
      <c r="C961" s="218" t="s">
        <v>38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795</v>
      </c>
      <c r="C962" s="218" t="s">
        <v>38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796</v>
      </c>
      <c r="C963" s="218" t="s">
        <v>38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797</v>
      </c>
      <c r="C964" s="218" t="s">
        <v>38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798</v>
      </c>
      <c r="C965" s="218" t="s">
        <v>38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799</v>
      </c>
      <c r="C966" s="218" t="s">
        <v>38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800</v>
      </c>
      <c r="C967" s="218" t="s">
        <v>38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801</v>
      </c>
      <c r="C968" s="218" t="s">
        <v>38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802</v>
      </c>
      <c r="C969" s="218" t="s">
        <v>38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803</v>
      </c>
      <c r="C970" s="218" t="s">
        <v>38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804</v>
      </c>
      <c r="C971" s="218" t="s">
        <v>38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805</v>
      </c>
      <c r="C972" s="218" t="s">
        <v>38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806</v>
      </c>
      <c r="C973" s="218" t="s">
        <v>38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807</v>
      </c>
      <c r="C974" s="218" t="s">
        <v>38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808</v>
      </c>
      <c r="C975" s="218" t="s">
        <v>38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809</v>
      </c>
      <c r="C976" s="218" t="s">
        <v>38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810</v>
      </c>
      <c r="C977" s="218" t="s">
        <v>38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811</v>
      </c>
      <c r="C978" s="218" t="s">
        <v>38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812</v>
      </c>
      <c r="C979" s="218" t="s">
        <v>38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813</v>
      </c>
      <c r="C980" s="218" t="s">
        <v>38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814</v>
      </c>
      <c r="C981" s="218" t="s">
        <v>38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815</v>
      </c>
      <c r="C982" s="218" t="s">
        <v>38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816</v>
      </c>
      <c r="C983" s="218" t="s">
        <v>38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97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6.9">
      <c r="A1010" s="118" t="s">
        <v>82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817</v>
      </c>
      <c r="C1011" s="160" t="s">
        <v>27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27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27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27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27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27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27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27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27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27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27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28</v>
      </c>
      <c r="C1022" s="160" t="s">
        <v>27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27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27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830</v>
      </c>
      <c r="C1025" s="160" t="s">
        <v>27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831</v>
      </c>
      <c r="C1026" s="160" t="s">
        <v>27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27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27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27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27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30</v>
      </c>
      <c r="C1031" s="160" t="s">
        <v>27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836</v>
      </c>
      <c r="C1032" s="160" t="s">
        <v>27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837</v>
      </c>
      <c r="C1033" s="160" t="s">
        <v>27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838</v>
      </c>
      <c r="C1034" s="160" t="s">
        <v>27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839</v>
      </c>
      <c r="C1035" s="160" t="s">
        <v>27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840</v>
      </c>
      <c r="C1036" s="160" t="s">
        <v>27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841</v>
      </c>
      <c r="C1037" s="160" t="s">
        <v>27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27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843</v>
      </c>
      <c r="C1039" s="160" t="s">
        <v>27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844</v>
      </c>
      <c r="C1040" s="160" t="s">
        <v>27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845</v>
      </c>
      <c r="C1041" s="160" t="s">
        <v>27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846</v>
      </c>
      <c r="C1042" s="160" t="s">
        <v>27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27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3"/>
      <c r="D1064" s="492"/>
      <c r="E1064"/>
      <c r="F1064" s="189"/>
      <c r="H1064"/>
      <c r="I1064"/>
    </row>
    <row r="1065" spans="1:10" ht="21.6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82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8.9">
      <c r="A1067" s="83">
        <v>1</v>
      </c>
      <c r="B1067" s="206" t="s">
        <v>848</v>
      </c>
      <c r="C1067" s="218" t="s">
        <v>65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849</v>
      </c>
      <c r="C1068" s="218" t="s">
        <v>65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8" t="s">
        <v>65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851</v>
      </c>
      <c r="C1070" s="218" t="s">
        <v>65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852</v>
      </c>
      <c r="C1071" s="218" t="s">
        <v>65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853</v>
      </c>
      <c r="C1072" s="218" t="s">
        <v>65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854</v>
      </c>
      <c r="C1073" s="218" t="s">
        <v>65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6.9">
      <c r="A1106" s="81" t="s">
        <v>82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8.9">
      <c r="A1107" s="83">
        <v>1</v>
      </c>
      <c r="B1107" s="206" t="s">
        <v>855</v>
      </c>
      <c r="C1107" s="37" t="s">
        <v>856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857</v>
      </c>
      <c r="C1108" s="37" t="s">
        <v>856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859</v>
      </c>
      <c r="C1110" s="37" t="s">
        <v>856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860</v>
      </c>
      <c r="C1111" s="37" t="s">
        <v>856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861</v>
      </c>
      <c r="C1112" s="37" t="s">
        <v>856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862</v>
      </c>
      <c r="C1113" s="37" t="s">
        <v>856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4" t="s">
        <v>856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882</v>
      </c>
      <c r="C1133" s="275" t="s">
        <v>856</v>
      </c>
      <c r="D1133" s="276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883</v>
      </c>
      <c r="C1134" s="275" t="s">
        <v>856</v>
      </c>
      <c r="D1134" s="276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884</v>
      </c>
      <c r="C1135" s="275" t="s">
        <v>856</v>
      </c>
      <c r="D1135" s="276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885</v>
      </c>
      <c r="C1136" s="275" t="s">
        <v>856</v>
      </c>
      <c r="D1136" s="276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886</v>
      </c>
      <c r="C1137" s="275" t="s">
        <v>856</v>
      </c>
      <c r="D1137" s="276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887</v>
      </c>
      <c r="C1138" s="275" t="s">
        <v>856</v>
      </c>
      <c r="D1138" s="276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888</v>
      </c>
      <c r="C1139" s="275" t="s">
        <v>856</v>
      </c>
      <c r="D1139" s="276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889</v>
      </c>
      <c r="C1140" s="275" t="s">
        <v>856</v>
      </c>
      <c r="D1140" s="276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890</v>
      </c>
      <c r="C1141" s="275" t="s">
        <v>856</v>
      </c>
      <c r="D1141" s="276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891</v>
      </c>
      <c r="C1142" s="275" t="s">
        <v>856</v>
      </c>
      <c r="D1142" s="276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892</v>
      </c>
      <c r="C1143" s="275" t="s">
        <v>856</v>
      </c>
      <c r="D1143" s="276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893</v>
      </c>
      <c r="C1144" s="275" t="s">
        <v>856</v>
      </c>
      <c r="D1144" s="276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894</v>
      </c>
      <c r="C1145" s="275" t="s">
        <v>856</v>
      </c>
      <c r="D1145" s="276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895</v>
      </c>
      <c r="C1146" s="275" t="s">
        <v>856</v>
      </c>
      <c r="D1146" s="276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896</v>
      </c>
      <c r="C1147" s="275" t="s">
        <v>856</v>
      </c>
      <c r="D1147" s="276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897</v>
      </c>
      <c r="C1148" s="275" t="s">
        <v>856</v>
      </c>
      <c r="D1148" s="276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898</v>
      </c>
      <c r="C1149" s="275" t="s">
        <v>856</v>
      </c>
      <c r="D1149" s="276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899</v>
      </c>
      <c r="C1150" s="275" t="s">
        <v>856</v>
      </c>
      <c r="D1150" s="276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900</v>
      </c>
      <c r="C1151" s="275" t="s">
        <v>856</v>
      </c>
      <c r="D1151" s="276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901</v>
      </c>
      <c r="C1152" s="275" t="s">
        <v>856</v>
      </c>
      <c r="D1152" s="276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902</v>
      </c>
      <c r="C1153" s="275" t="s">
        <v>856</v>
      </c>
      <c r="D1153" s="276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903</v>
      </c>
      <c r="C1154" s="275" t="s">
        <v>856</v>
      </c>
      <c r="D1154" s="276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904</v>
      </c>
      <c r="C1155" s="275" t="s">
        <v>856</v>
      </c>
      <c r="D1155" s="276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905</v>
      </c>
      <c r="C1156" s="275" t="s">
        <v>856</v>
      </c>
      <c r="D1156" s="276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906</v>
      </c>
      <c r="C1157" s="275" t="s">
        <v>856</v>
      </c>
      <c r="D1157" s="276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907</v>
      </c>
      <c r="C1158" s="275" t="s">
        <v>856</v>
      </c>
      <c r="D1158" s="276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908</v>
      </c>
      <c r="C1159" s="275" t="s">
        <v>856</v>
      </c>
      <c r="D1159" s="276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909</v>
      </c>
      <c r="C1160" s="275" t="s">
        <v>856</v>
      </c>
      <c r="D1160" s="276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910</v>
      </c>
      <c r="C1161" s="275" t="s">
        <v>856</v>
      </c>
      <c r="D1161" s="276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911</v>
      </c>
      <c r="C1162" s="275" t="s">
        <v>856</v>
      </c>
      <c r="D1162" s="276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912</v>
      </c>
      <c r="C1163" s="275" t="s">
        <v>856</v>
      </c>
      <c r="D1163" s="276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913</v>
      </c>
      <c r="C1164" s="275" t="s">
        <v>856</v>
      </c>
      <c r="D1164" s="276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914</v>
      </c>
      <c r="C1165" s="275" t="s">
        <v>856</v>
      </c>
      <c r="D1165" s="276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915</v>
      </c>
      <c r="C1166" s="275" t="s">
        <v>856</v>
      </c>
      <c r="D1166" s="276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916</v>
      </c>
      <c r="C1167" s="275" t="s">
        <v>856</v>
      </c>
      <c r="D1167" s="276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917</v>
      </c>
      <c r="C1168" s="275" t="s">
        <v>856</v>
      </c>
      <c r="D1168" s="276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918</v>
      </c>
      <c r="C1169" s="275" t="s">
        <v>856</v>
      </c>
      <c r="D1169" s="276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919</v>
      </c>
      <c r="C1170" s="275" t="s">
        <v>856</v>
      </c>
      <c r="D1170" s="276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920</v>
      </c>
      <c r="C1171" s="275" t="s">
        <v>856</v>
      </c>
      <c r="D1171" s="276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921</v>
      </c>
      <c r="C1172" s="275" t="s">
        <v>856</v>
      </c>
      <c r="D1172" s="276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922</v>
      </c>
      <c r="C1173" s="275" t="s">
        <v>856</v>
      </c>
      <c r="D1173" s="276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923</v>
      </c>
      <c r="C1174" s="275" t="s">
        <v>856</v>
      </c>
      <c r="D1174" s="276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924</v>
      </c>
      <c r="C1175" s="275" t="s">
        <v>856</v>
      </c>
      <c r="D1175" s="276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925</v>
      </c>
      <c r="C1176" s="275" t="s">
        <v>856</v>
      </c>
      <c r="D1176" s="276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926</v>
      </c>
      <c r="C1177" s="275" t="s">
        <v>856</v>
      </c>
      <c r="D1177" s="276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927</v>
      </c>
      <c r="C1178" s="275" t="s">
        <v>856</v>
      </c>
      <c r="D1178" s="276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928</v>
      </c>
      <c r="C1179" s="275" t="s">
        <v>856</v>
      </c>
      <c r="D1179" s="276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929</v>
      </c>
      <c r="C1180" s="275" t="s">
        <v>856</v>
      </c>
      <c r="D1180" s="276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930</v>
      </c>
      <c r="C1181" s="275" t="s">
        <v>856</v>
      </c>
      <c r="D1181" s="276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931</v>
      </c>
      <c r="C1182" s="275" t="s">
        <v>856</v>
      </c>
      <c r="D1182" s="276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932</v>
      </c>
      <c r="C1183" s="275" t="s">
        <v>856</v>
      </c>
      <c r="D1183" s="276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933</v>
      </c>
      <c r="C1184" s="275" t="s">
        <v>856</v>
      </c>
      <c r="D1184" s="276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934</v>
      </c>
      <c r="C1185" s="275" t="s">
        <v>856</v>
      </c>
      <c r="D1185" s="276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935</v>
      </c>
      <c r="C1186" s="275" t="s">
        <v>856</v>
      </c>
      <c r="D1186" s="276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936</v>
      </c>
      <c r="C1187" s="275" t="s">
        <v>856</v>
      </c>
      <c r="D1187" s="276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937</v>
      </c>
      <c r="C1188" s="275" t="s">
        <v>856</v>
      </c>
      <c r="D1188" s="276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938</v>
      </c>
      <c r="C1189" s="275" t="s">
        <v>856</v>
      </c>
      <c r="D1189" s="276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939</v>
      </c>
      <c r="C1190" s="275" t="s">
        <v>856</v>
      </c>
      <c r="D1190" s="276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940</v>
      </c>
      <c r="C1191" s="275" t="s">
        <v>856</v>
      </c>
      <c r="D1191" s="276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941</v>
      </c>
      <c r="C1192" s="275" t="s">
        <v>856</v>
      </c>
      <c r="D1192" s="276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942</v>
      </c>
      <c r="C1193" s="275" t="s">
        <v>856</v>
      </c>
      <c r="D1193" s="276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943</v>
      </c>
      <c r="C1194" s="275" t="s">
        <v>856</v>
      </c>
      <c r="D1194" s="276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944</v>
      </c>
      <c r="C1195" s="275" t="s">
        <v>856</v>
      </c>
      <c r="D1195" s="276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945</v>
      </c>
      <c r="C1196" s="275" t="s">
        <v>856</v>
      </c>
      <c r="D1196" s="276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946</v>
      </c>
      <c r="C1197" s="275" t="s">
        <v>856</v>
      </c>
      <c r="D1197" s="276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947</v>
      </c>
      <c r="C1198" s="275" t="s">
        <v>856</v>
      </c>
      <c r="D1198" s="276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948</v>
      </c>
      <c r="C1199" s="275" t="s">
        <v>856</v>
      </c>
      <c r="D1199" s="276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949</v>
      </c>
      <c r="C1200" s="275" t="s">
        <v>856</v>
      </c>
      <c r="D1200" s="276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950</v>
      </c>
      <c r="C1201" s="275" t="s">
        <v>856</v>
      </c>
      <c r="D1201" s="276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951</v>
      </c>
      <c r="C1202" s="275" t="s">
        <v>856</v>
      </c>
      <c r="D1202" s="276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952</v>
      </c>
      <c r="C1203" s="275" t="s">
        <v>856</v>
      </c>
      <c r="D1203" s="276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953</v>
      </c>
      <c r="C1204" s="275" t="s">
        <v>856</v>
      </c>
      <c r="D1204" s="276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954</v>
      </c>
      <c r="C1205" s="275" t="s">
        <v>856</v>
      </c>
      <c r="D1205" s="276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955</v>
      </c>
      <c r="C1206" s="275" t="s">
        <v>856</v>
      </c>
      <c r="D1206" s="276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956</v>
      </c>
      <c r="C1207" s="275" t="s">
        <v>856</v>
      </c>
      <c r="D1207" s="276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957</v>
      </c>
      <c r="C1208" s="275" t="s">
        <v>856</v>
      </c>
      <c r="D1208" s="276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958</v>
      </c>
      <c r="C1209" s="275" t="s">
        <v>856</v>
      </c>
      <c r="D1209" s="276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959</v>
      </c>
      <c r="C1210" s="275" t="s">
        <v>856</v>
      </c>
      <c r="D1210" s="276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960</v>
      </c>
      <c r="C1211" s="275" t="s">
        <v>856</v>
      </c>
      <c r="D1211" s="276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961</v>
      </c>
      <c r="C1212" s="275" t="s">
        <v>856</v>
      </c>
      <c r="D1212" s="276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962</v>
      </c>
      <c r="C1213" s="275" t="s">
        <v>856</v>
      </c>
      <c r="D1213" s="276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963</v>
      </c>
      <c r="C1214" s="275" t="s">
        <v>856</v>
      </c>
      <c r="D1214" s="276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964</v>
      </c>
      <c r="C1215" s="275" t="s">
        <v>856</v>
      </c>
      <c r="D1215" s="276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965</v>
      </c>
      <c r="C1216" s="275" t="s">
        <v>856</v>
      </c>
      <c r="D1216" s="276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966</v>
      </c>
      <c r="C1217" s="275" t="s">
        <v>856</v>
      </c>
      <c r="D1217" s="276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967</v>
      </c>
      <c r="C1218" s="275" t="s">
        <v>856</v>
      </c>
      <c r="D1218" s="276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968</v>
      </c>
      <c r="C1219" s="275" t="s">
        <v>856</v>
      </c>
      <c r="D1219" s="276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969</v>
      </c>
      <c r="C1220" s="275" t="s">
        <v>856</v>
      </c>
      <c r="D1220" s="276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970</v>
      </c>
      <c r="C1221" s="275" t="s">
        <v>856</v>
      </c>
      <c r="D1221" s="276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971</v>
      </c>
      <c r="C1222" s="275" t="s">
        <v>856</v>
      </c>
      <c r="D1222" s="276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972</v>
      </c>
      <c r="C1223" s="275" t="s">
        <v>856</v>
      </c>
      <c r="D1223" s="276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973</v>
      </c>
      <c r="C1224" s="275" t="s">
        <v>856</v>
      </c>
      <c r="D1224" s="276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974</v>
      </c>
      <c r="C1225" s="275" t="s">
        <v>856</v>
      </c>
      <c r="D1225" s="276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975</v>
      </c>
      <c r="C1226" s="275" t="s">
        <v>856</v>
      </c>
      <c r="D1226" s="276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976</v>
      </c>
      <c r="C1227" s="275" t="s">
        <v>856</v>
      </c>
      <c r="D1227" s="276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977</v>
      </c>
      <c r="C1228" s="275" t="s">
        <v>856</v>
      </c>
      <c r="D1228" s="276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978</v>
      </c>
      <c r="C1229" s="275" t="s">
        <v>856</v>
      </c>
      <c r="D1229" s="276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979</v>
      </c>
      <c r="C1230" s="275" t="s">
        <v>856</v>
      </c>
      <c r="D1230" s="276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980</v>
      </c>
      <c r="C1231" s="275" t="s">
        <v>856</v>
      </c>
      <c r="D1231" s="276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981</v>
      </c>
      <c r="C1232" s="275" t="s">
        <v>856</v>
      </c>
      <c r="D1232" s="276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982</v>
      </c>
      <c r="C1233" s="275" t="s">
        <v>856</v>
      </c>
      <c r="D1233" s="276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983</v>
      </c>
      <c r="C1234" s="275" t="s">
        <v>856</v>
      </c>
      <c r="D1234" s="276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984</v>
      </c>
      <c r="C1235" s="275" t="s">
        <v>856</v>
      </c>
      <c r="D1235" s="276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985</v>
      </c>
      <c r="C1236" s="275" t="s">
        <v>856</v>
      </c>
      <c r="D1236" s="276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986</v>
      </c>
      <c r="C1237" s="275" t="s">
        <v>856</v>
      </c>
      <c r="D1237" s="276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987</v>
      </c>
      <c r="C1238" s="275" t="s">
        <v>856</v>
      </c>
      <c r="D1238" s="276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988</v>
      </c>
      <c r="C1239" s="275" t="s">
        <v>856</v>
      </c>
      <c r="D1239" s="276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989</v>
      </c>
      <c r="C1240" s="275" t="s">
        <v>856</v>
      </c>
      <c r="D1240" s="276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990</v>
      </c>
      <c r="C1241" s="275" t="s">
        <v>856</v>
      </c>
      <c r="D1241" s="276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991</v>
      </c>
      <c r="C1242" s="275" t="s">
        <v>856</v>
      </c>
      <c r="D1242" s="276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992</v>
      </c>
      <c r="C1243" s="275" t="s">
        <v>856</v>
      </c>
      <c r="D1243" s="276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993</v>
      </c>
      <c r="C1244" s="275" t="s">
        <v>856</v>
      </c>
      <c r="D1244" s="276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994</v>
      </c>
      <c r="C1245" s="275" t="s">
        <v>856</v>
      </c>
      <c r="D1245" s="276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995</v>
      </c>
      <c r="C1246" s="275" t="s">
        <v>856</v>
      </c>
      <c r="D1246" s="276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996</v>
      </c>
      <c r="C1247" s="275" t="s">
        <v>856</v>
      </c>
      <c r="D1247" s="276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997</v>
      </c>
      <c r="C1248" s="275" t="s">
        <v>856</v>
      </c>
      <c r="D1248" s="276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998</v>
      </c>
      <c r="C1249" s="275" t="s">
        <v>856</v>
      </c>
      <c r="D1249" s="276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999</v>
      </c>
      <c r="C1250" s="275" t="s">
        <v>856</v>
      </c>
      <c r="D1250" s="276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1000</v>
      </c>
      <c r="C1251" s="275" t="s">
        <v>856</v>
      </c>
      <c r="D1251" s="276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1001</v>
      </c>
      <c r="C1252" s="275" t="s">
        <v>856</v>
      </c>
      <c r="D1252" s="276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1002</v>
      </c>
      <c r="C1253" s="275" t="s">
        <v>856</v>
      </c>
      <c r="D1253" s="276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1003</v>
      </c>
      <c r="C1254" s="275" t="s">
        <v>856</v>
      </c>
      <c r="D1254" s="276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1004</v>
      </c>
      <c r="C1255" s="275" t="s">
        <v>856</v>
      </c>
      <c r="D1255" s="276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1005</v>
      </c>
      <c r="C1256" s="275" t="s">
        <v>856</v>
      </c>
      <c r="D1256" s="276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1006</v>
      </c>
      <c r="C1257" s="275" t="s">
        <v>856</v>
      </c>
      <c r="D1257" s="276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1007</v>
      </c>
      <c r="C1258" s="275" t="s">
        <v>856</v>
      </c>
      <c r="D1258" s="276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1008</v>
      </c>
      <c r="C1259" s="275" t="s">
        <v>856</v>
      </c>
      <c r="D1259" s="276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1009</v>
      </c>
      <c r="C1260" s="275" t="s">
        <v>856</v>
      </c>
      <c r="D1260" s="276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1010</v>
      </c>
      <c r="C1261" s="275" t="s">
        <v>856</v>
      </c>
      <c r="D1261" s="276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1011</v>
      </c>
      <c r="C1262" s="275" t="s">
        <v>856</v>
      </c>
      <c r="D1262" s="276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1012</v>
      </c>
      <c r="C1263" s="275" t="s">
        <v>856</v>
      </c>
      <c r="D1263" s="276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1013</v>
      </c>
      <c r="C1264" s="275" t="s">
        <v>856</v>
      </c>
      <c r="D1264" s="276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1014</v>
      </c>
      <c r="C1265" s="275" t="s">
        <v>856</v>
      </c>
      <c r="D1265" s="276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1015</v>
      </c>
      <c r="C1266" s="275" t="s">
        <v>856</v>
      </c>
      <c r="D1266" s="276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1016</v>
      </c>
      <c r="C1267" s="275" t="s">
        <v>856</v>
      </c>
      <c r="D1267" s="276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1017</v>
      </c>
      <c r="C1268" s="275" t="s">
        <v>856</v>
      </c>
      <c r="D1268" s="276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1018</v>
      </c>
      <c r="C1269" s="275" t="s">
        <v>856</v>
      </c>
      <c r="D1269" s="276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1019</v>
      </c>
      <c r="C1270" s="275" t="s">
        <v>856</v>
      </c>
      <c r="D1270" s="276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1020</v>
      </c>
      <c r="C1271" s="275" t="s">
        <v>856</v>
      </c>
      <c r="D1271" s="276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1021</v>
      </c>
      <c r="C1272" s="275" t="s">
        <v>856</v>
      </c>
      <c r="D1272" s="276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1022</v>
      </c>
      <c r="C1273" s="275" t="s">
        <v>856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1023</v>
      </c>
      <c r="C1274" s="275" t="s">
        <v>856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1024</v>
      </c>
      <c r="C1275" s="275" t="s">
        <v>856</v>
      </c>
      <c r="D1275" s="276" t="s">
        <v>1025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1026</v>
      </c>
      <c r="C1276" s="275" t="s">
        <v>856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1027</v>
      </c>
      <c r="C1277" s="275" t="s">
        <v>856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1028</v>
      </c>
      <c r="C1278" s="275" t="s">
        <v>856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1029</v>
      </c>
      <c r="C1279" s="275" t="s">
        <v>856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1030</v>
      </c>
      <c r="C1280" s="275" t="s">
        <v>856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1031</v>
      </c>
      <c r="C1281" s="275" t="s">
        <v>856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1032</v>
      </c>
      <c r="C1282" s="275" t="s">
        <v>856</v>
      </c>
      <c r="D1282" s="276" t="s">
        <v>1025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1033</v>
      </c>
      <c r="C1283" s="275" t="s">
        <v>856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1033</v>
      </c>
      <c r="C1284" s="275" t="s">
        <v>856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1034</v>
      </c>
      <c r="C1285" s="275" t="s">
        <v>856</v>
      </c>
      <c r="D1285" s="276" t="s">
        <v>1035</v>
      </c>
      <c r="E1285" s="141">
        <v>10166.700000000001</v>
      </c>
      <c r="F1285" s="277" t="s">
        <v>1035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1036</v>
      </c>
      <c r="C1286" s="275" t="s">
        <v>856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1037</v>
      </c>
      <c r="C1287" s="275" t="s">
        <v>856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1038</v>
      </c>
      <c r="C1288" s="275" t="s">
        <v>856</v>
      </c>
      <c r="D1288" s="276" t="s">
        <v>209</v>
      </c>
      <c r="E1288" s="141">
        <v>62000</v>
      </c>
      <c r="F1288" s="277" t="s">
        <v>209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1039</v>
      </c>
      <c r="C1289" s="275" t="s">
        <v>856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1040</v>
      </c>
      <c r="C1290" s="275" t="s">
        <v>856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97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6.9">
      <c r="A1327" s="73" t="s">
        <v>82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1041</v>
      </c>
      <c r="C1328" s="37" t="s">
        <v>31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1042</v>
      </c>
      <c r="C1329" s="37" t="s">
        <v>31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1043</v>
      </c>
      <c r="C1330" s="37" t="s">
        <v>31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1044</v>
      </c>
      <c r="C1331" s="37" t="s">
        <v>31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1045</v>
      </c>
      <c r="C1332" s="37" t="s">
        <v>31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1046</v>
      </c>
      <c r="C1333" s="37" t="s">
        <v>31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32</v>
      </c>
      <c r="C1334" s="37" t="s">
        <v>31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31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31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31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31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31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31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31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31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31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31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31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31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31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1060</v>
      </c>
      <c r="C1348" s="37" t="s">
        <v>31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1061</v>
      </c>
      <c r="C1349" s="37" t="s">
        <v>31</v>
      </c>
      <c r="D1349" s="48" t="s">
        <v>1062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1063</v>
      </c>
      <c r="C1350" s="37" t="s">
        <v>31</v>
      </c>
      <c r="D1350" s="48" t="s">
        <v>1064</v>
      </c>
      <c r="E1350" s="43">
        <v>6081.3</v>
      </c>
      <c r="F1350" s="188" t="s">
        <v>1064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1065</v>
      </c>
      <c r="C1351" s="37" t="s">
        <v>31</v>
      </c>
      <c r="D1351" s="48" t="s">
        <v>1066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1067</v>
      </c>
      <c r="C1352" s="37" t="s">
        <v>31</v>
      </c>
      <c r="D1352" s="48" t="s">
        <v>1064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1068</v>
      </c>
      <c r="C1353" s="37" t="s">
        <v>31</v>
      </c>
      <c r="D1353" s="48" t="s">
        <v>1069</v>
      </c>
      <c r="E1353" s="43">
        <v>17300</v>
      </c>
      <c r="F1353" s="188" t="s">
        <v>1069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36</v>
      </c>
      <c r="C1354" s="37" t="s">
        <v>31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31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31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31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31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31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31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31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31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31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31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31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31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31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31</v>
      </c>
      <c r="D1368" s="48" t="s">
        <v>1085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31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31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31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31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31</v>
      </c>
      <c r="D1373" s="296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31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31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31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31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31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31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31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31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31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31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31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31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31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31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31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31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31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31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31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31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31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31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31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1114</v>
      </c>
      <c r="C1397" s="218" t="s">
        <v>31</v>
      </c>
      <c r="D1397" s="247" t="s">
        <v>1062</v>
      </c>
      <c r="E1397" s="166">
        <v>74866.666666666672</v>
      </c>
      <c r="F1397" s="193" t="s">
        <v>1062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31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31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1118</v>
      </c>
      <c r="C1400" s="218" t="s">
        <v>31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31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31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31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1122</v>
      </c>
      <c r="C1404" s="218" t="s">
        <v>31</v>
      </c>
      <c r="D1404" s="247" t="s">
        <v>177</v>
      </c>
      <c r="E1404" s="166">
        <v>3200</v>
      </c>
      <c r="F1404" s="193" t="s">
        <v>177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31</v>
      </c>
      <c r="D1405" s="247" t="s">
        <v>219</v>
      </c>
      <c r="E1405" s="166">
        <v>7200</v>
      </c>
      <c r="F1405" s="193" t="s">
        <v>1062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31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31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31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31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31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31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31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31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31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31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97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6.9">
      <c r="A1427" s="134" t="s">
        <v>82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1134</v>
      </c>
      <c r="C1428" s="218" t="s">
        <v>62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62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62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62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62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62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62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62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62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62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62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62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62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62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62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62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62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8" t="s">
        <v>62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8" t="s">
        <v>62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62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62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62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62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62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62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62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62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62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62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62</v>
      </c>
      <c r="D1457" s="48" t="s">
        <v>1070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62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62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62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62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62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62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62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62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62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62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62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62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62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62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62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62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62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62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62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62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62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62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62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8" t="s">
        <v>62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8" t="s">
        <v>62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62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62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62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62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62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62</v>
      </c>
      <c r="D1488" s="48" t="s">
        <v>1070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62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62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62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62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62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62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62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62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62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62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62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62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62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62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8" t="s">
        <v>62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8" t="s">
        <v>62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62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62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62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62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8" t="s">
        <v>62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31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97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6.9">
      <c r="A1521" s="92" t="s">
        <v>82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1271</v>
      </c>
      <c r="C1569" s="100" t="s">
        <v>1221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25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40</v>
      </c>
    </row>
    <row r="3" spans="1:13" outlineLevel="1">
      <c r="A3" s="3" t="s">
        <v>1321</v>
      </c>
      <c r="B3" s="5" t="s">
        <v>219</v>
      </c>
      <c r="D3" s="265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52</v>
      </c>
    </row>
    <row r="4" spans="1:13" ht="28.9" outlineLevel="1">
      <c r="A4" s="2" t="s">
        <v>1326</v>
      </c>
      <c r="B4" s="5" t="s">
        <v>310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38</v>
      </c>
    </row>
    <row r="5" spans="1:13" ht="28.9" outlineLevel="1">
      <c r="A5" s="3" t="s">
        <v>1331</v>
      </c>
      <c r="B5" s="5" t="s">
        <v>1332</v>
      </c>
      <c r="D5" s="268" t="s">
        <v>15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856</v>
      </c>
    </row>
    <row r="6" spans="1:13" outlineLevel="1">
      <c r="A6" s="2" t="s">
        <v>328</v>
      </c>
      <c r="B6" s="5" t="s">
        <v>328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31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35</v>
      </c>
      <c r="M7" s="79" t="s">
        <v>33</v>
      </c>
    </row>
    <row r="8" spans="1:13" ht="16.149999999999999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29</v>
      </c>
      <c r="M8" s="79" t="s">
        <v>27</v>
      </c>
    </row>
    <row r="9" spans="1:13" outlineLevel="1">
      <c r="A9" s="2" t="s">
        <v>1348</v>
      </c>
      <c r="B9" s="5" t="s">
        <v>1203</v>
      </c>
      <c r="F9" s="2" t="s">
        <v>1349</v>
      </c>
      <c r="H9" t="s">
        <v>1350</v>
      </c>
      <c r="I9">
        <v>70323724</v>
      </c>
      <c r="K9" t="s">
        <v>1351</v>
      </c>
      <c r="M9" s="79" t="s">
        <v>65</v>
      </c>
    </row>
    <row r="10" spans="1:13" outlineLevel="1">
      <c r="A10" s="2" t="s">
        <v>1352</v>
      </c>
      <c r="B10" s="5" t="s">
        <v>109</v>
      </c>
      <c r="F10" s="3" t="s">
        <v>9</v>
      </c>
      <c r="H10" s="24" t="s">
        <v>1353</v>
      </c>
      <c r="I10" s="20">
        <v>32142539</v>
      </c>
      <c r="K10" t="s">
        <v>1354</v>
      </c>
      <c r="M10" s="232" t="s">
        <v>125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62</v>
      </c>
    </row>
    <row r="12" spans="1:13" ht="28.9" outlineLevel="1">
      <c r="A12" s="3" t="s">
        <v>1360</v>
      </c>
      <c r="B12" s="5" t="s">
        <v>1035</v>
      </c>
      <c r="F12" s="301" t="s">
        <v>1361</v>
      </c>
      <c r="H12" s="27" t="s">
        <v>1362</v>
      </c>
      <c r="I12" s="28">
        <v>32184975</v>
      </c>
      <c r="M12" s="232" t="s">
        <v>1221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1231</v>
      </c>
      <c r="H14" s="24" t="s">
        <v>1366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241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363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1224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244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6</v>
      </c>
      <c r="I20" s="26">
        <v>1121878447</v>
      </c>
    </row>
    <row r="21" spans="1:9" outlineLevel="1">
      <c r="A21" t="s">
        <v>1379</v>
      </c>
      <c r="B21" s="6" t="s">
        <v>110</v>
      </c>
      <c r="H21" s="21" t="s">
        <v>1380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211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177</v>
      </c>
      <c r="H24" s="21" t="s">
        <v>1385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