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0" documentId="11_664541BCD491EBAD2773DC75DCC8D1F31614691A" xr6:coauthVersionLast="47" xr6:coauthVersionMax="47" xr10:uidLastSave="{00000000-0000-0000-0000-000000000000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0" i="59" a="1"/>
  <c r="O16" i="59" a="1"/>
  <c r="O14" i="59" a="1"/>
  <c r="O21" i="59" a="1"/>
  <c r="O17" i="59" a="1"/>
  <c r="O15" i="59" a="1"/>
  <c r="O22" i="59" a="1"/>
  <c r="O18" i="59" a="1"/>
  <c r="O12" i="59" a="1"/>
  <c r="O23" i="59" a="1"/>
  <c r="O19" i="59" a="1"/>
  <c r="O13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18" i="59" a="1"/>
  <c r="G17" i="59" a="1"/>
  <c r="G19" i="59" a="1"/>
  <c r="G20" i="59" a="1"/>
  <c r="G13" i="59" a="1"/>
  <c r="G30" i="59" a="1"/>
  <c r="G14" i="59" a="1"/>
  <c r="G24" i="59" a="1"/>
  <c r="G12" i="59" a="1"/>
  <c r="Q3" i="59" a="1"/>
  <c r="G22" i="59" a="1"/>
  <c r="G16" i="59" a="1"/>
  <c r="G26" i="59" a="1"/>
  <c r="G15" i="59" a="1"/>
  <c r="G25" i="59" a="1"/>
  <c r="G27" i="59" a="1"/>
  <c r="G21" i="59" a="1"/>
  <c r="G28" i="59" a="1"/>
  <c r="G23" i="59" a="1"/>
  <c r="G29" i="59" a="1"/>
  <c r="W18" i="43" l="1"/>
  <c r="W19" i="43"/>
  <c r="W20" i="43"/>
  <c r="W21" i="43"/>
  <c r="O16" i="43"/>
  <c r="F18" i="59" s="1"/>
  <c r="O18" i="43"/>
  <c r="F20" i="59" s="1"/>
  <c r="O19" i="43"/>
  <c r="F21" i="59" s="1"/>
  <c r="O20" i="43"/>
  <c r="F22" i="59" s="1"/>
  <c r="O21" i="43"/>
  <c r="F23" i="59" s="1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14" i="59" a="1"/>
  <c r="J15" i="59" a="1"/>
  <c r="J21" i="59" a="1"/>
  <c r="J27" i="59" a="1"/>
  <c r="J22" i="59" a="1"/>
  <c r="J23" i="59" a="1"/>
  <c r="J16" i="59" a="1"/>
  <c r="J26" i="59" a="1"/>
  <c r="J30" i="59" a="1"/>
  <c r="J13" i="59" a="1"/>
  <c r="J28" i="59" a="1"/>
  <c r="J19" i="59" a="1"/>
  <c r="J29" i="59" a="1"/>
  <c r="J25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2" i="59" a="1"/>
  <c r="J17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<sst xmlns="http://schemas.openxmlformats.org/spreadsheetml/2006/main" count="4126" uniqueCount="1156">
  <si>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</si>
  <si>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</si>
  <si>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</si>
  <si>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</si>
  <si>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</si>
  <si>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</si>
  <si>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</si>
  <si>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</si>
  <si>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</si>
  <si>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</si>
  <si>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</si>
  <si>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</si>
  <si>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Canguro estilo casual wear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</si>
  <si>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</si>
  <si>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</si>
  <si>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</si>
  <si>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</si>
  <si>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</si>
  <si>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</si>
  <si>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</si>
  <si>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</si>
  <si>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</si>
  <si>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</si>
  <si>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</si>
  <si>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</si>
  <si>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</si>
  <si>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</si>
  <si>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</si>
  <si>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</si>
  <si>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</si>
  <si>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</si>
  <si>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</si>
  <si>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</si>
  <si>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</si>
  <si>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</si>
  <si>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</si>
  <si>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</si>
  <si>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TRABILLA 1" PAVÓN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</si>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</sst>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33131</xdr:colOff>
      <xdr:row>0</xdr:row>
      <xdr:rowOff>0</xdr:rowOff>
    </xdr:from>
    <xdr:to>
      <xdr:col>24</xdr:col>
      <xdr:colOff>294033</xdr:colOff>
      <xdr:row>6</xdr:row>
      <xdr:rowOff>265044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7174" y="0"/>
          <a:ext cx="2381250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JH0210-1</v>
      </c>
      <c r="G1" s="302"/>
      <c r="H1" s="303"/>
      <c r="I1" s="304" t="s">
        <v>1</v>
      </c>
      <c r="J1" s="305"/>
      <c r="K1" s="263"/>
      <c r="L1" s="306" t="s">
        <v>2</v>
      </c>
      <c r="M1" s="307"/>
      <c r="N1" s="307"/>
      <c r="O1" s="308">
        <v>45201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2839583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11391.45285942316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341743.5857826948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3">
        <v>1</v>
      </c>
      <c r="R10" s="285"/>
      <c r="S10" s="286">
        <f>IFERROR(IF(Q10="Unidad","1",(Q10*$K$5)),"")</f>
        <v>30</v>
      </c>
      <c r="T10" s="287"/>
      <c r="U10" s="288"/>
      <c r="V10" s="295"/>
      <c r="W10" s="289">
        <f ca="1">IFERROR(IF(D10="","",INDEX(Tabla_Completa,MATCH('Soli_citud '!D10,Materiales,0),7)*S10),"")</f>
        <v>47494.600000000006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4500</v>
      </c>
      <c r="T11" s="287"/>
      <c r="U11" s="288"/>
      <c r="V11" s="288"/>
      <c r="W11" s="289">
        <f ca="1">IFERROR(IF(D11="","",INDEX(Tabla_Completa,MATCH('Soli_citud '!D11,Materiales,0),7)*S11),"")</f>
        <v>78596.036988110951</v>
      </c>
      <c r="X11" s="289"/>
      <c r="Y11" s="289"/>
    </row>
    <row r="12" spans="1:28" ht="15.75" customHeight="1">
      <c r="A12" s="276" t="s">
        <v>28</v>
      </c>
      <c r="B12" s="277"/>
      <c r="C12" s="278"/>
      <c r="D12" s="294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4500</v>
      </c>
      <c r="T12" s="287"/>
      <c r="U12" s="288"/>
      <c r="V12" s="288"/>
      <c r="W12" s="289">
        <f ca="1">IFERROR(IF(D12="","",INDEX(Tabla_Completa,MATCH('Soli_citud '!D12,Materiales,0),7)*S12),"")</f>
        <v>33764.861294583883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33</v>
      </c>
      <c r="R13" s="285"/>
      <c r="S13" s="286">
        <f t="shared" si="1"/>
        <v>990</v>
      </c>
      <c r="T13" s="287"/>
      <c r="U13" s="288"/>
      <c r="V13" s="288"/>
      <c r="W13" s="289">
        <f ca="1">IFERROR(IF(D13="","",INDEX(Tabla_Completa,MATCH('Soli_citud '!D13,Materiales,0),7)*S13),"")</f>
        <v>234.3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900</v>
      </c>
      <c r="T14" s="287"/>
      <c r="U14" s="288"/>
      <c r="V14" s="288"/>
      <c r="W14" s="289">
        <f ca="1">IFERROR(IF(D14="","",INDEX(Tabla_Completa,MATCH('Soli_citud '!D14,Materiales,0),7)*S14),"")</f>
        <v>8491.5</v>
      </c>
      <c r="X14" s="289"/>
      <c r="Y14" s="289"/>
    </row>
    <row r="15" spans="1:28" ht="15.75" customHeight="1">
      <c r="A15" s="276" t="s">
        <v>35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13669.987499999999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37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29952.3</v>
      </c>
      <c r="X16" s="289"/>
      <c r="Y16" s="289"/>
    </row>
    <row r="17" spans="1:25" ht="15.75" customHeight="1">
      <c r="A17" s="276" t="s">
        <v>33</v>
      </c>
      <c r="B17" s="277"/>
      <c r="C17" s="278"/>
      <c r="D17" s="290" t="s">
        <v>38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Cono</v>
      </c>
      <c r="P17" s="283"/>
      <c r="Q17" s="293">
        <v>0.5</v>
      </c>
      <c r="R17" s="285"/>
      <c r="S17" s="286">
        <f t="shared" si="1"/>
        <v>15</v>
      </c>
      <c r="T17" s="287"/>
      <c r="U17" s="288"/>
      <c r="V17" s="288"/>
      <c r="W17" s="289">
        <f ca="1">IFERROR(IF(D17="","",INDEX(Tabla_Completa,MATCH('Soli_citud '!D17,Materiales,0),7)*S17),"")</f>
        <v>75000</v>
      </c>
      <c r="X17" s="289"/>
      <c r="Y17" s="289"/>
    </row>
    <row r="18" spans="1:25" ht="15.75" customHeight="1">
      <c r="A18" s="276" t="s">
        <v>33</v>
      </c>
      <c r="B18" s="277"/>
      <c r="C18" s="278"/>
      <c r="D18" s="290" t="s">
        <v>39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6</v>
      </c>
      <c r="T18" s="287"/>
      <c r="U18" s="288"/>
      <c r="V18" s="288"/>
      <c r="W18" s="289">
        <f ca="1">IFERROR(IF(D18="","",INDEX(Tabla_Completa,MATCH('Soli_citud '!D18,Materiales,0),7)*S18),"")</f>
        <v>42000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3</v>
      </c>
      <c r="T19" s="287"/>
      <c r="U19" s="288"/>
      <c r="V19" s="288"/>
      <c r="W19" s="289">
        <f ca="1">IFERROR(IF(D19="","",INDEX(Tabla_Completa,MATCH('Soli_citud '!D19,Materiales,0),7)*S19),"")</f>
        <v>12540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30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30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44</v>
      </c>
      <c r="B39" s="371"/>
      <c r="C39" s="371"/>
      <c r="D39" s="372" t="s">
        <v>45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28</v>
      </c>
      <c r="O44" s="361"/>
      <c r="P44" s="361"/>
      <c r="Q44" s="361"/>
      <c r="R44" s="367" t="s">
        <v>49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50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51</v>
      </c>
      <c r="O45" s="361"/>
      <c r="P45" s="361"/>
      <c r="Q45" s="361"/>
      <c r="R45" s="368" t="s">
        <v>52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54</v>
      </c>
      <c r="O46" s="361"/>
      <c r="P46" s="361"/>
      <c r="Q46" s="361"/>
      <c r="R46" s="360" t="s">
        <v>55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56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35</v>
      </c>
      <c r="O47" s="361"/>
      <c r="P47" s="361"/>
      <c r="Q47" s="361"/>
      <c r="R47" s="360" t="s">
        <v>57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58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59</v>
      </c>
      <c r="O48" s="361"/>
      <c r="P48" s="361"/>
      <c r="Q48" s="361"/>
      <c r="R48" s="360" t="s">
        <v>60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61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62</v>
      </c>
      <c r="O49" s="362"/>
      <c r="P49" s="362"/>
      <c r="Q49" s="362"/>
      <c r="R49" s="368" t="s">
        <v>63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64</v>
      </c>
      <c r="O50" s="361"/>
      <c r="P50" s="361"/>
      <c r="Q50" s="361"/>
      <c r="R50" s="360" t="s">
        <v>65</v>
      </c>
      <c r="S50" s="360"/>
      <c r="T50" s="360"/>
      <c r="U50" s="360"/>
      <c r="V50" s="360"/>
      <c r="W50" s="360"/>
      <c r="X50" s="360"/>
    </row>
    <row r="51" spans="1:24" ht="15.75">
      <c r="N51" s="361" t="s">
        <v>31</v>
      </c>
      <c r="O51" s="361"/>
      <c r="P51" s="361"/>
      <c r="Q51" s="361"/>
      <c r="R51" s="360" t="s">
        <v>66</v>
      </c>
      <c r="S51" s="360"/>
      <c r="T51" s="360"/>
      <c r="U51" s="360"/>
      <c r="V51" s="360"/>
      <c r="W51" s="360"/>
      <c r="X51" s="360"/>
    </row>
    <row r="52" spans="1:24" ht="15.75">
      <c r="N52" s="361" t="s">
        <v>67</v>
      </c>
      <c r="O52" s="361"/>
      <c r="P52" s="361"/>
      <c r="Q52" s="361"/>
      <c r="R52" s="360" t="s">
        <v>57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A16" sqref="A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68</v>
      </c>
      <c r="D1" s="420"/>
      <c r="E1" s="420"/>
      <c r="F1" s="420"/>
      <c r="G1" s="420"/>
      <c r="H1" s="420"/>
      <c r="I1" s="425" t="s">
        <v>69</v>
      </c>
      <c r="J1" s="426"/>
      <c r="K1" s="426"/>
      <c r="L1" s="427"/>
      <c r="M1" s="421">
        <f>IF('Soli_citud '!O1="","",'Soli_citud '!O1)</f>
        <v>45201</v>
      </c>
      <c r="N1" s="422"/>
      <c r="O1" s="379" t="s">
        <v>70</v>
      </c>
      <c r="P1" s="380"/>
      <c r="Q1" s="375" t="str">
        <f>IF('Soli_citud '!D4="","",'Soli_citud '!D4)</f>
        <v>Canguro estilo casual wear</v>
      </c>
      <c r="R1" s="376"/>
      <c r="Z1" s="271" t="s">
        <v>71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72</v>
      </c>
      <c r="J2" s="429"/>
      <c r="K2" s="429"/>
      <c r="L2" s="430"/>
      <c r="M2" s="423" t="str">
        <f>'Soli_citud '!F1</f>
        <v>JH0210-1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73</v>
      </c>
      <c r="J3" s="424"/>
      <c r="K3" s="424"/>
      <c r="L3" s="424"/>
      <c r="M3" s="431">
        <f>IF('Soli_citud '!O3="","",'Soli_citud '!O3)</f>
        <v>2839583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74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75</v>
      </c>
      <c r="B6" s="417"/>
      <c r="C6" s="417"/>
      <c r="D6" s="434" t="s">
        <v>76</v>
      </c>
      <c r="E6" s="434"/>
      <c r="F6" s="434"/>
      <c r="G6" s="434"/>
      <c r="H6" s="435"/>
      <c r="I6" s="407" t="s">
        <v>77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11391.45285942316</v>
      </c>
      <c r="B8" s="418"/>
      <c r="C8" s="418"/>
      <c r="D8" s="436" t="s">
        <v>78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79</v>
      </c>
      <c r="B9" s="442"/>
      <c r="C9" s="410"/>
      <c r="D9" s="441" t="s">
        <v>80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81</v>
      </c>
      <c r="J10" s="394"/>
      <c r="K10" s="395"/>
      <c r="L10" s="259">
        <f>'Soli_citud '!K5</f>
        <v>30</v>
      </c>
      <c r="M10" s="390" t="s">
        <v>82</v>
      </c>
      <c r="N10" s="391"/>
      <c r="O10" s="383"/>
      <c r="P10" s="384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1" t="s">
        <v>85</v>
      </c>
      <c r="C11" s="412"/>
      <c r="D11" s="412"/>
      <c r="E11" s="413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2" t="s">
        <v>24</v>
      </c>
      <c r="L11" s="393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409" t="str">
        <f>IFERROR(IF('Soli_citud '!D10="","",'Soli_citud '!D10),"")</f>
        <v xml:space="preserve">CARTULINA PLANA </v>
      </c>
      <c r="C12" s="409"/>
      <c r="D12" s="409"/>
      <c r="E12" s="409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30</v>
      </c>
      <c r="H12" s="240"/>
      <c r="I12" s="241"/>
      <c r="J12" s="215" cm="1">
        <f t="array" ref="J12">IFERROR(_xlfn.IFS(G12="","",I12=G12,"Cumplido",I12&lt;G12,G12-I12,I12&gt;G12,"Revisar"),"")</f>
        <v>30</v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9" t="str">
        <f>IFERROR(IF('Soli_citud '!D11="","",'Soli_citud '!D11),"")</f>
        <v xml:space="preserve">PEGANTE CEMENTO DE CONTACTO BASE CLOROPRENO
</v>
      </c>
      <c r="C13" s="409"/>
      <c r="D13" s="409"/>
      <c r="E13" s="409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4500</v>
      </c>
      <c r="H13" s="240"/>
      <c r="I13" s="242"/>
      <c r="J13" s="215" cm="1">
        <f t="array" ref="J13">IFERROR(_xlfn.IFS(G13="","",I13=G13,"Cumplido",I13&lt;G13,G13-I13,I13&gt;G13,"Revisar"),"")</f>
        <v>4500</v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SOLUCIÓN DE CAUCHO</v>
      </c>
      <c r="C14" s="409"/>
      <c r="D14" s="409"/>
      <c r="E14" s="409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4500</v>
      </c>
      <c r="H14" s="243"/>
      <c r="I14" s="242"/>
      <c r="J14" s="215" cm="1">
        <f t="array" ref="J14">IFERROR(_xlfn.IFS(G14="","",I14=G14,"Cumplido",I14&lt;G14,G14-I14,I14&gt;G14,"Revisar"),"")</f>
        <v>4500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>POLITEX-KAMBREL 100 GR</v>
      </c>
      <c r="C15" s="409"/>
      <c r="D15" s="409"/>
      <c r="E15" s="409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990</v>
      </c>
      <c r="H15" s="243"/>
      <c r="I15" s="242"/>
      <c r="J15" s="215" cm="1">
        <f t="array" ref="J15">IFERROR(_xlfn.IFS(G15="","",I15=G15,"Cumplido",I15&lt;G15,G15-I15,I15&gt;G15,"Revisar"),"")</f>
        <v>990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>CREMALLERA POLIÉSTER #4</v>
      </c>
      <c r="C16" s="409"/>
      <c r="D16" s="409"/>
      <c r="E16" s="409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900</v>
      </c>
      <c r="H16" s="243"/>
      <c r="I16" s="242"/>
      <c r="J16" s="215" cm="1">
        <f t="array" ref="J16">IFERROR(_xlfn.IFS(G16="","",I16=G16,"Cumplido",I16&lt;G16,G16-I16,I16&gt;G16,"Revisar"),"")</f>
        <v>900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LLAVE METÁLICA DESLIZADOR   #4 PARA CREMALLERA -NEGRO</v>
      </c>
      <c r="C17" s="409"/>
      <c r="D17" s="409"/>
      <c r="E17" s="409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30</v>
      </c>
      <c r="H17" s="243"/>
      <c r="I17" s="242"/>
      <c r="J17" s="215" cm="1">
        <f t="array" ref="J17">IFERROR(_xlfn.IFS(G17="","",I17=G17,"Cumplido",I17&lt;G17,G17-I17,I17&gt;G17,"Revisar"),"")</f>
        <v>30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>TRABILLA 1" PAVÓN</v>
      </c>
      <c r="C18" s="409"/>
      <c r="D18" s="409"/>
      <c r="E18" s="409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30</v>
      </c>
      <c r="H18" s="243"/>
      <c r="I18" s="242"/>
      <c r="J18" s="215" cm="1">
        <f t="array" ref="J18">IFERROR(_xlfn.IFS(G18="","",I18=G18,"Cumplido",I18&lt;G18,G18-I18,I18&gt;G18,"Revisar"),"")</f>
        <v>30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>HILO TERLENKA</v>
      </c>
      <c r="C19" s="409"/>
      <c r="D19" s="409"/>
      <c r="E19" s="409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15</v>
      </c>
      <c r="H19" s="243"/>
      <c r="I19" s="242"/>
      <c r="J19" s="215" cm="1">
        <f t="array" ref="J19">IFERROR(_xlfn.IFS(G19="","",I19=G19,"Cumplido",I19&lt;G19,G19-I19,I19&gt;G19,"Revisar"),"")</f>
        <v>15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 xml:space="preserve">HILO ENCERADO </v>
      </c>
      <c r="C20" s="409"/>
      <c r="D20" s="409"/>
      <c r="E20" s="409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6</v>
      </c>
      <c r="H20" s="243"/>
      <c r="I20" s="242"/>
      <c r="J20" s="215" cm="1">
        <f t="array" ref="J20">IFERROR(_xlfn.IFS(G20="","",I20=G20,"Cumplido",I20&lt;G20,G20-I20,I20&gt;G20,"Revisar"),"")</f>
        <v>6</v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>CINTA  DE ENMASCARAR</v>
      </c>
      <c r="C21" s="409"/>
      <c r="D21" s="409"/>
      <c r="E21" s="409"/>
      <c r="F21" s="239" t="str">
        <f ca="1">IF('Soli_citud '!O19="","",'Soli_citud '!O19)</f>
        <v>Rollo</v>
      </c>
      <c r="G21" s="239" cm="1">
        <f t="array" ref="G21">_xlfn.IFS('Soli_citud '!S19="","",'Soli_citud '!S19&lt;=0,"",'Soli_citud '!S19&gt;0,'Soli_citud '!S19)</f>
        <v>3</v>
      </c>
      <c r="H21" s="243"/>
      <c r="I21" s="242"/>
      <c r="J21" s="215" cm="1">
        <f t="array" ref="J21">IFERROR(_xlfn.IFS(G21="","",I21=G21,"Cumplido",I21&lt;G21,G21-I21,I21&gt;G21,"Revisar"),"")</f>
        <v>3</v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Limpiador at20</v>
      </c>
      <c r="C22" s="409"/>
      <c r="D22" s="409"/>
      <c r="E22" s="409"/>
      <c r="F22" s="239" t="str">
        <f ca="1">IF('Soli_citud '!O20="","",'Soli_citud '!O20)</f>
        <v>gal</v>
      </c>
      <c r="G22" s="239" cm="1">
        <f t="array" ref="G22">_xlfn.IFS('Soli_citud '!S20="","",'Soli_citud '!S20&lt;=0,"",'Soli_citud '!S20&gt;0,'Soli_citud '!S20)</f>
        <v>30</v>
      </c>
      <c r="H22" s="243"/>
      <c r="I22" s="242"/>
      <c r="J22" s="215" cm="1">
        <f t="array" ref="J22">IFERROR(_xlfn.IFS(G22="","",I22=G22,"Cumplido",I22&lt;G22,G22-I22,I22&gt;G22,"Revisar"),"")</f>
        <v>30</v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Limpiador para acabados</v>
      </c>
      <c r="C23" s="409"/>
      <c r="D23" s="409"/>
      <c r="E23" s="409"/>
      <c r="F23" s="239" t="str">
        <f ca="1">IF('Soli_citud '!O21="","",'Soli_citud '!O21)</f>
        <v>gal</v>
      </c>
      <c r="G23" s="239" cm="1">
        <f t="array" ref="G23">_xlfn.IFS('Soli_citud '!S21="","",'Soli_citud '!S21&lt;=0,"",'Soli_citud '!S21&gt;0,'Soli_citud '!S21)</f>
        <v>30</v>
      </c>
      <c r="H23" s="243"/>
      <c r="I23" s="242"/>
      <c r="J23" s="215" cm="1">
        <f t="array" ref="J23">IFERROR(_xlfn.IFS(G23="","",I23=G23,"Cumplido",I23&lt;G23,G23-I23,I23&gt;G23,"Revisar"),"")</f>
        <v>30</v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97</v>
      </c>
      <c r="F1" s="449"/>
      <c r="Z1" s="271" t="s">
        <v>71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46"/>
      <c r="D6" s="447"/>
      <c r="H6" s="444" t="s">
        <v>99</v>
      </c>
      <c r="I6" s="444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39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54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54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54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54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54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54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54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54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54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54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54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54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54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54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54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54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54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54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54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54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54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54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54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37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769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40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218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982</v>
      </c>
      <c r="C1351" s="104" t="s">
        <v>41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41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41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41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41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41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41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41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41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41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41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41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41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41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41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41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41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41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41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41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41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41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41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41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41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41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41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41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41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41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41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41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41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43</v>
      </c>
      <c r="C1387" s="104" t="s">
        <v>41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41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41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41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41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41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41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41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41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41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41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41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41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41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41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41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41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41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41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41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41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41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41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41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41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41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41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41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41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41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41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41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41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41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41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41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41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41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41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41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41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41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41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41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41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41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41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41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41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41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35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33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67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64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41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243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111</v>
      </c>
      <c r="H21" s="24" t="s">
        <v>1140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210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116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2023-10-11T19:39:30Z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