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59" documentId="8_{688EFA37-0C35-49ED-8D86-E31201993C79}" xr6:coauthVersionLast="47" xr6:coauthVersionMax="47" xr10:uidLastSave="{2389DBB8-5481-401E-B171-EADBB778D8A5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59" l="1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S10" i="59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<sst xmlns="http://schemas.openxmlformats.org/spreadsheetml/2006/main" count="5108" uniqueCount="1395">
  <si>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</si>
  <si>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</si>
  <si>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</si>
  <si>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</si>
  <si>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</si>
  <si>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</si>
  <si>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</si>
  <si>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</si>
  <si>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</si>
  <si>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</si>
  <si>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CELDA DE PRODUCCION</t>
  </si>
  <si>
    <t>NOMBRE DEL PRODUCTO</t>
  </si>
  <si>
    <t>COSMETIQUERA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</si>
  <si>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</si>
  <si>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</si>
  <si>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</si>
  <si>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</si>
  <si>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</si>
  <si>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</si>
  <si>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</si>
  <si>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</si>
  <si>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</si>
  <si>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</si>
  <si>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</si>
  <si>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</si>
  <si>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</si>
  <si>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</si>
  <si>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SOFTY</t>
  </si>
  <si>
    <t>SECUNDARIO_MEDULAR</t>
  </si>
  <si>
    <t>SALPA 0.5mm</t>
  </si>
  <si>
    <t>SiNTETICOS_TEXTILES</t>
  </si>
  <si>
    <t>FORRO MARROQUINERO DE POLIÉSTER</t>
  </si>
  <si>
    <t>ODENA 1,1 mm</t>
  </si>
  <si>
    <t>CREMALLERA POLIÉSTER #6</t>
  </si>
  <si>
    <t>HERRAJES</t>
  </si>
  <si>
    <t>LLAVE METÁLICA DE LUJO DESLIZADOR   #6 PARA CREMALLERA - ORO</t>
  </si>
  <si>
    <t xml:space="preserve">HILO NYLON #20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</si>
  <si>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</si>
  <si>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</si>
  <si>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</si>
  <si>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</si>
  <si>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</si>
  <si>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</si>
  <si>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</si>
  <si>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</si>
  <si>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</si>
  <si>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</si>
  <si>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</si>
  <si>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</si>
  <si>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</si>
  <si>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</si>
  <si>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</si>
  <si>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</si>
  <si>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</si>
  <si>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</si>
  <si>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</si>
  <si>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</si>
  <si>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</si>
  <si>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</si>
  <si>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</si>
  <si>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</si>
  <si>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</si>
  <si>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</si>
  <si>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</si>
  <si>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</si>
  <si>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</si>
  <si>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</si>
  <si>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</si>
  <si>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</si>
  <si>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</si>
  <si>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</si>
  <si>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</si>
  <si>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</si>
  <si>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</si>
  <si>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</si>
  <si>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</si>
  <si>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</si>
  <si>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</si>
  <si>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</si>
  <si>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</si>
  <si>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</si>
  <si>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</si>
  <si>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</si>
  <si>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</si>
  <si>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</si>
  <si>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</si>
  <si>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</si>
  <si>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</si>
  <si>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</si>
  <si>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</si>
  <si>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</si>
  <si>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devolver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</si>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</sst>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333375</xdr:colOff>
      <xdr:row>0</xdr:row>
      <xdr:rowOff>0</xdr:rowOff>
    </xdr:from>
    <xdr:to>
      <xdr:col>23</xdr:col>
      <xdr:colOff>76200</xdr:colOff>
      <xdr:row>6</xdr:row>
      <xdr:rowOff>209550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6959D4-79D5-250A-B6FC-161C4EBA7032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0"/>
          <a:ext cx="1485900" cy="198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5" sqref="D15:N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ER0001-1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/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 t="s">
        <v>10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25287.004190476189</v>
      </c>
      <c r="E5" s="395"/>
      <c r="F5" s="396"/>
      <c r="G5" s="380" t="s">
        <v>16</v>
      </c>
      <c r="H5" s="397"/>
      <c r="I5" s="397"/>
      <c r="J5" s="381"/>
      <c r="K5" s="355">
        <v>59</v>
      </c>
      <c r="L5" s="355"/>
      <c r="M5" s="356" t="s">
        <v>17</v>
      </c>
      <c r="N5" s="356"/>
      <c r="O5" s="345">
        <f ca="1">IFERROR(IF(K5=0,"",D5*K5),"")</f>
        <v>1491933.2472380952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1.6949152542372881E-2</v>
      </c>
      <c r="W8" s="338"/>
      <c r="X8" s="107">
        <v>1</v>
      </c>
      <c r="Y8" s="108">
        <f>IFERROR((V8*X8)," ")</f>
        <v>1.6949152542372881E-2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26</v>
      </c>
      <c r="R10" s="316"/>
      <c r="S10" s="317">
        <f>IFERROR(IF(Q10="Unidad","1",(Q10*$K$5)),"")</f>
        <v>1534</v>
      </c>
      <c r="T10" s="318"/>
      <c r="U10" s="305"/>
      <c r="V10" s="401"/>
      <c r="W10" s="306">
        <f ca="1">IFERROR(IF(D10="","",INDEX(Tabla_Completa,MATCH('Soli_citud '!D10,Materiales,0),7)*S10),"")</f>
        <v>1376396.84</v>
      </c>
      <c r="X10" s="306"/>
      <c r="Y10" s="306"/>
      <c r="Z10" s="34"/>
    </row>
    <row r="11" spans="1:28" ht="17.25" customHeight="1">
      <c r="A11" s="307" t="s">
        <v>28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10</v>
      </c>
      <c r="R11" s="316"/>
      <c r="S11" s="317">
        <f t="shared" ref="S11:S31" si="1">IFERROR(IF(Q11="Unidad","1",(Q11*$K$5)),"")</f>
        <v>590</v>
      </c>
      <c r="T11" s="318"/>
      <c r="U11" s="305"/>
      <c r="V11" s="305"/>
      <c r="W11" s="306">
        <f ca="1">IFERROR(IF(D11="","",INDEX(Tabla_Completa,MATCH('Soli_citud '!D11,Materiales,0),7)*S11),"")</f>
        <v>463.57142857142856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12</v>
      </c>
      <c r="R12" s="316"/>
      <c r="S12" s="317">
        <f t="shared" si="1"/>
        <v>708</v>
      </c>
      <c r="T12" s="318"/>
      <c r="U12" s="305"/>
      <c r="V12" s="305"/>
      <c r="W12" s="306">
        <f ca="1">IFERROR(IF(D12="","",INDEX(Tabla_Completa,MATCH('Soli_citud '!D12,Materiales,0),7)*S12),"")</f>
        <v>1416.8091428571429</v>
      </c>
      <c r="X12" s="306"/>
      <c r="Y12" s="306"/>
    </row>
    <row r="13" spans="1:28" ht="15.75" customHeight="1">
      <c r="A13" s="307" t="s">
        <v>28</v>
      </c>
      <c r="B13" s="308" t="s">
        <v>28</v>
      </c>
      <c r="C13" s="309" t="s">
        <v>28</v>
      </c>
      <c r="D13" s="398" t="s">
        <v>32</v>
      </c>
      <c r="E13" s="399" t="s">
        <v>32</v>
      </c>
      <c r="F13" s="399" t="s">
        <v>32</v>
      </c>
      <c r="G13" s="399" t="s">
        <v>32</v>
      </c>
      <c r="H13" s="399" t="s">
        <v>32</v>
      </c>
      <c r="I13" s="399" t="s">
        <v>32</v>
      </c>
      <c r="J13" s="399" t="s">
        <v>32</v>
      </c>
      <c r="K13" s="399" t="s">
        <v>32</v>
      </c>
      <c r="L13" s="399" t="s">
        <v>32</v>
      </c>
      <c r="M13" s="399" t="s">
        <v>32</v>
      </c>
      <c r="N13" s="400" t="s">
        <v>32</v>
      </c>
      <c r="O13" s="313" t="str">
        <f t="shared" ca="1" si="0"/>
        <v>cm2</v>
      </c>
      <c r="P13" s="314"/>
      <c r="Q13" s="315">
        <v>0.03</v>
      </c>
      <c r="R13" s="316"/>
      <c r="S13" s="317">
        <f t="shared" si="1"/>
        <v>1.77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 t="s">
        <v>28</v>
      </c>
      <c r="B14" s="308" t="s">
        <v>28</v>
      </c>
      <c r="C14" s="309" t="s">
        <v>28</v>
      </c>
      <c r="D14" s="398" t="s">
        <v>33</v>
      </c>
      <c r="E14" s="399" t="s">
        <v>33</v>
      </c>
      <c r="F14" s="399" t="s">
        <v>33</v>
      </c>
      <c r="G14" s="399" t="s">
        <v>33</v>
      </c>
      <c r="H14" s="399" t="s">
        <v>33</v>
      </c>
      <c r="I14" s="399" t="s">
        <v>33</v>
      </c>
      <c r="J14" s="399" t="s">
        <v>33</v>
      </c>
      <c r="K14" s="399" t="s">
        <v>33</v>
      </c>
      <c r="L14" s="399" t="s">
        <v>33</v>
      </c>
      <c r="M14" s="399" t="s">
        <v>33</v>
      </c>
      <c r="N14" s="400" t="s">
        <v>33</v>
      </c>
      <c r="O14" s="313" t="str">
        <f t="shared" ca="1" si="0"/>
        <v>cm</v>
      </c>
      <c r="P14" s="314"/>
      <c r="Q14" s="315">
        <v>48</v>
      </c>
      <c r="R14" s="316"/>
      <c r="S14" s="317">
        <f t="shared" si="1"/>
        <v>2832</v>
      </c>
      <c r="T14" s="318"/>
      <c r="U14" s="305"/>
      <c r="V14" s="305"/>
      <c r="W14" s="306">
        <f ca="1">IFERROR(IF(D14="","",INDEX(Tabla_Completa,MATCH('Soli_citud '!D14,Materiales,0),7)*S14),"")</f>
        <v>34635.360000000001</v>
      </c>
      <c r="X14" s="306"/>
      <c r="Y14" s="306"/>
    </row>
    <row r="15" spans="1:28" ht="15.75" customHeight="1">
      <c r="A15" s="307" t="s">
        <v>34</v>
      </c>
      <c r="B15" s="308" t="s">
        <v>34</v>
      </c>
      <c r="C15" s="309" t="s">
        <v>34</v>
      </c>
      <c r="D15" s="398" t="s">
        <v>35</v>
      </c>
      <c r="E15" s="399" t="s">
        <v>35</v>
      </c>
      <c r="F15" s="399" t="s">
        <v>35</v>
      </c>
      <c r="G15" s="399" t="s">
        <v>35</v>
      </c>
      <c r="H15" s="399" t="s">
        <v>35</v>
      </c>
      <c r="I15" s="399" t="s">
        <v>35</v>
      </c>
      <c r="J15" s="399" t="s">
        <v>35</v>
      </c>
      <c r="K15" s="399" t="s">
        <v>35</v>
      </c>
      <c r="L15" s="399" t="s">
        <v>35</v>
      </c>
      <c r="M15" s="399" t="s">
        <v>35</v>
      </c>
      <c r="N15" s="400" t="s">
        <v>35</v>
      </c>
      <c r="O15" s="313" t="str">
        <f t="shared" ca="1" si="0"/>
        <v>U</v>
      </c>
      <c r="P15" s="314"/>
      <c r="Q15" s="315">
        <v>1</v>
      </c>
      <c r="R15" s="316"/>
      <c r="S15" s="317">
        <f t="shared" si="1"/>
        <v>59</v>
      </c>
      <c r="T15" s="318"/>
      <c r="U15" s="305"/>
      <c r="V15" s="305"/>
      <c r="W15" s="306">
        <f ca="1">IFERROR(IF(D15="","",INDEX(Tabla_Completa,MATCH('Soli_citud '!D15,Materiales,0),7)*S15),"")</f>
        <v>74733.333333333343</v>
      </c>
      <c r="X15" s="306"/>
      <c r="Y15" s="306"/>
    </row>
    <row r="16" spans="1:28" ht="15.75" customHeight="1">
      <c r="A16" s="307" t="s">
        <v>28</v>
      </c>
      <c r="B16" s="308" t="s">
        <v>28</v>
      </c>
      <c r="C16" s="309" t="s">
        <v>28</v>
      </c>
      <c r="D16" s="398" t="s">
        <v>36</v>
      </c>
      <c r="E16" s="399" t="s">
        <v>36</v>
      </c>
      <c r="F16" s="399" t="s">
        <v>36</v>
      </c>
      <c r="G16" s="399" t="s">
        <v>36</v>
      </c>
      <c r="H16" s="399" t="s">
        <v>36</v>
      </c>
      <c r="I16" s="399" t="s">
        <v>36</v>
      </c>
      <c r="J16" s="399" t="s">
        <v>36</v>
      </c>
      <c r="K16" s="399" t="s">
        <v>36</v>
      </c>
      <c r="L16" s="399" t="s">
        <v>36</v>
      </c>
      <c r="M16" s="399" t="s">
        <v>36</v>
      </c>
      <c r="N16" s="400" t="s">
        <v>36</v>
      </c>
      <c r="O16" s="313" t="str">
        <f t="shared" ca="1" si="0"/>
        <v>Cono</v>
      </c>
      <c r="P16" s="314"/>
      <c r="Q16" s="315">
        <v>0.01</v>
      </c>
      <c r="R16" s="316"/>
      <c r="S16" s="317">
        <f t="shared" si="1"/>
        <v>0.59</v>
      </c>
      <c r="T16" s="318"/>
      <c r="U16" s="305"/>
      <c r="V16" s="305"/>
      <c r="W16" s="306">
        <f ca="1">IFERROR(IF(D16="","",INDEX(Tabla_Completa,MATCH('Soli_citud '!D16,Materiales,0),7)*S16),"")</f>
        <v>4287.333333333333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37</v>
      </c>
      <c r="B39" s="319"/>
      <c r="C39" s="319"/>
      <c r="D39" s="320" t="s">
        <v>38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39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40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42</v>
      </c>
      <c r="O44" s="332"/>
      <c r="P44" s="332"/>
      <c r="Q44" s="332"/>
      <c r="R44" s="327" t="s">
        <v>43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44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45</v>
      </c>
      <c r="O45" s="332"/>
      <c r="P45" s="332"/>
      <c r="Q45" s="332"/>
      <c r="R45" s="328" t="s">
        <v>46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47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48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50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51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52</v>
      </c>
      <c r="O48" s="332"/>
      <c r="P48" s="332"/>
      <c r="Q48" s="332"/>
      <c r="R48" s="329" t="s">
        <v>53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54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55</v>
      </c>
      <c r="O49" s="333"/>
      <c r="P49" s="333"/>
      <c r="Q49" s="333"/>
      <c r="R49" s="328" t="s">
        <v>56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57</v>
      </c>
      <c r="O50" s="332"/>
      <c r="P50" s="332"/>
      <c r="Q50" s="332"/>
      <c r="R50" s="329" t="s">
        <v>58</v>
      </c>
      <c r="S50" s="329"/>
      <c r="T50" s="329"/>
      <c r="U50" s="329"/>
      <c r="V50" s="329"/>
      <c r="W50" s="329"/>
      <c r="X50" s="329"/>
    </row>
    <row r="51" spans="1:24" ht="15.75">
      <c r="N51" s="332" t="s">
        <v>30</v>
      </c>
      <c r="O51" s="332"/>
      <c r="P51" s="332"/>
      <c r="Q51" s="332"/>
      <c r="R51" s="329" t="s">
        <v>59</v>
      </c>
      <c r="S51" s="329"/>
      <c r="T51" s="329"/>
      <c r="U51" s="329"/>
      <c r="V51" s="329"/>
      <c r="W51" s="329"/>
      <c r="X51" s="329"/>
    </row>
    <row r="52" spans="1:24" ht="15.75">
      <c r="N52" s="332" t="s">
        <v>60</v>
      </c>
      <c r="O52" s="332"/>
      <c r="P52" s="332"/>
      <c r="Q52" s="332"/>
      <c r="R52" s="329" t="s">
        <v>50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61</v>
      </c>
      <c r="E1" s="415"/>
      <c r="F1" s="415"/>
      <c r="G1" s="415"/>
      <c r="H1" s="415"/>
      <c r="I1" s="415"/>
      <c r="J1" s="421" t="s">
        <v>62</v>
      </c>
      <c r="K1" s="422"/>
      <c r="L1" s="422"/>
      <c r="M1" s="423"/>
      <c r="N1" s="416" t="str">
        <f>IF('Soli_citud '!O1="","",'Soli_citud '!O1)</f>
        <v/>
      </c>
      <c r="O1" s="417"/>
      <c r="P1" s="467" t="s">
        <v>63</v>
      </c>
      <c r="Q1" s="468"/>
      <c r="R1" s="463" t="str">
        <f>IF('Soli_citud '!D4="","",'Soli_citud '!D4)</f>
        <v>COSMETIQUERA</v>
      </c>
      <c r="S1" s="46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65</v>
      </c>
      <c r="K2" s="425"/>
      <c r="L2" s="425"/>
      <c r="M2" s="426"/>
      <c r="N2" s="418" t="str">
        <f>'Soli_citud '!F1</f>
        <v>ER0001-1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66</v>
      </c>
      <c r="K3" s="420"/>
      <c r="L3" s="420"/>
      <c r="M3" s="420"/>
      <c r="N3" s="406" t="str">
        <f>IF('Soli_citud '!O3="","",'Soli_citud '!O3)</f>
        <v>CELDA DE PRODUCCION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67</v>
      </c>
      <c r="K4" s="411"/>
      <c r="L4" s="411"/>
      <c r="M4" s="412" t="str">
        <f>IF('Soli_citud '!O4="","",'Soli_citud '!O4)</f>
        <v>Marroquinería Producción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68</v>
      </c>
      <c r="C6" s="453"/>
      <c r="D6" s="454"/>
      <c r="E6" s="408" t="s">
        <v>69</v>
      </c>
      <c r="F6" s="408"/>
      <c r="G6" s="408"/>
      <c r="H6" s="408"/>
      <c r="I6" s="409"/>
      <c r="J6" s="443" t="s">
        <v>70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25287.004190476189</v>
      </c>
      <c r="C8" s="431"/>
      <c r="D8" s="432"/>
      <c r="E8" s="449" t="s">
        <v>71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72</v>
      </c>
      <c r="C9" s="434"/>
      <c r="D9" s="459"/>
      <c r="E9" s="458" t="s">
        <v>73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74</v>
      </c>
      <c r="K10" s="428"/>
      <c r="L10" s="429"/>
      <c r="M10" s="242">
        <f>'Soli_citud '!K5</f>
        <v>59</v>
      </c>
      <c r="N10" s="447" t="s">
        <v>75</v>
      </c>
      <c r="O10" s="448"/>
      <c r="P10" s="471"/>
      <c r="Q10" s="472"/>
      <c r="R10" s="243" t="s">
        <v>76</v>
      </c>
      <c r="S10" s="241" cm="1">
        <f t="array" ref="S10">IFERROR(_xlfn.IFS(M10=1,"",M10&gt;SUM(S12:S30),SUM(S12:S30),M10=SUM(S12:S30),"Cumplido",M10&lt;SUM(S12:S30),"Revisar"),"")</f>
        <v>20</v>
      </c>
    </row>
    <row r="11" spans="1:27" ht="45.75" customHeight="1">
      <c r="A11" s="89" t="s">
        <v>77</v>
      </c>
      <c r="B11" s="264" t="s">
        <v>78</v>
      </c>
      <c r="C11" s="460" t="s">
        <v>79</v>
      </c>
      <c r="D11" s="461"/>
      <c r="E11" s="461"/>
      <c r="F11" s="462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19" t="s">
        <v>24</v>
      </c>
      <c r="M11" s="427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ER0001-1</v>
      </c>
      <c r="C12" s="403" t="str">
        <f>IFERROR(IF('Soli_citud '!D10="","",'Soli_citud '!D10),"")</f>
        <v>CUERO SOFTY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1534</v>
      </c>
      <c r="I12" s="227"/>
      <c r="J12" s="228">
        <v>1040</v>
      </c>
      <c r="K12" s="207" cm="1">
        <f t="array" ref="K12">IFERROR(_xlfn.IFS(H12="","",J12=H12,"Cumplido",J12&lt;H12,H12-J12,J12&gt;H12,"Revisar"),"")</f>
        <v>494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>
        <v>45239</v>
      </c>
      <c r="S12" s="228">
        <v>20</v>
      </c>
    </row>
    <row r="13" spans="1:27" ht="21" customHeight="1">
      <c r="A13" s="77">
        <v>2</v>
      </c>
      <c r="B13" s="265" t="str">
        <f t="shared" ref="B13:B32" si="1">IF(H13="","",$N$2)</f>
        <v>ER0001-1</v>
      </c>
      <c r="C13" s="403" t="str">
        <f>IFERROR(IF('Soli_citud '!D11="","",'Soli_citud '!D11),"")</f>
        <v>SALPA 0.5mm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590</v>
      </c>
      <c r="I13" s="227"/>
      <c r="J13" s="229">
        <v>400</v>
      </c>
      <c r="K13" s="207" cm="1">
        <f t="array" ref="K13">IFERROR(_xlfn.IFS(H13="","",J13=H13,"Cumplido",J13&lt;H13,H13-J13,J13&gt;H13,"Revisar"),"")</f>
        <v>190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ER0001-1</v>
      </c>
      <c r="C14" s="403" t="str">
        <f>IFERROR(IF('Soli_citud '!D12="","",'Soli_citud '!D12),"")</f>
        <v>FORRO MARROQUINERO DE POLIÉSTER</v>
      </c>
      <c r="D14" s="403"/>
      <c r="E14" s="403"/>
      <c r="F14" s="403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708</v>
      </c>
      <c r="I14" s="230"/>
      <c r="J14" s="229">
        <v>480</v>
      </c>
      <c r="K14" s="207" cm="1">
        <f t="array" ref="K14">IFERROR(_xlfn.IFS(H14="","",J14=H14,"Cumplido",J14&lt;H14,H14-J14,J14&gt;H14,"Revisar"),"")</f>
        <v>228</v>
      </c>
      <c r="L14" s="404" t="s">
        <v>91</v>
      </c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ER0001-1</v>
      </c>
      <c r="C15" s="403" t="str">
        <f>IFERROR(IF('Soli_citud '!D13="","",'Soli_citud '!D13),"")</f>
        <v>ODENA 1,1 mm</v>
      </c>
      <c r="D15" s="403"/>
      <c r="E15" s="403"/>
      <c r="F15" s="403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1.77</v>
      </c>
      <c r="I15" s="230"/>
      <c r="J15" s="229">
        <v>1.2</v>
      </c>
      <c r="K15" s="207" cm="1">
        <f t="array" ref="K15">IFERROR(_xlfn.IFS(H15="","",J15=H15,"Cumplido",J15&lt;H15,H15-J15,J15&gt;H15,"Revisar"),"")</f>
        <v>0.57000000000000006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ER0001-1</v>
      </c>
      <c r="C16" s="403" t="str">
        <f>IFERROR(IF('Soli_citud '!D14="","",'Soli_citud '!D14),"")</f>
        <v>CREMALLERA POLIÉSTER #6</v>
      </c>
      <c r="D16" s="403"/>
      <c r="E16" s="403"/>
      <c r="F16" s="403"/>
      <c r="G16" s="226" t="str">
        <f ca="1">IF('Soli_citud '!O14="","",'Soli_citud '!O14)</f>
        <v>cm</v>
      </c>
      <c r="H16" s="226" cm="1">
        <f t="array" ref="H16">_xlfn.IFS('Soli_citud '!S14="","",'Soli_citud '!S14&lt;=0,"",'Soli_citud '!S14&gt;0,'Soli_citud '!S14)</f>
        <v>2832</v>
      </c>
      <c r="I16" s="230"/>
      <c r="J16" s="229">
        <v>2832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ER0001-1</v>
      </c>
      <c r="C17" s="403" t="str">
        <f>IFERROR(IF('Soli_citud '!D15="","",'Soli_citud '!D15),"")</f>
        <v>LLAVE METÁLICA DE LUJO DESLIZADOR   #6 PARA CREMALLERA - ORO</v>
      </c>
      <c r="D17" s="403"/>
      <c r="E17" s="403"/>
      <c r="F17" s="403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59</v>
      </c>
      <c r="I17" s="230"/>
      <c r="J17" s="229">
        <v>59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ER0001-1</v>
      </c>
      <c r="C18" s="403" t="str">
        <f>IFERROR(IF('Soli_citud '!D16="","",'Soli_citud '!D16),"")</f>
        <v xml:space="preserve">HILO NYLON #20
</v>
      </c>
      <c r="D18" s="403"/>
      <c r="E18" s="403"/>
      <c r="F18" s="403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0.59</v>
      </c>
      <c r="I18" s="230"/>
      <c r="J18" s="229">
        <v>0.59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92</v>
      </c>
      <c r="F1" s="490"/>
      <c r="Z1" s="252" t="s">
        <v>64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8"/>
      <c r="D6" s="489"/>
      <c r="H6" s="486" t="s">
        <v>94</v>
      </c>
      <c r="I6" s="486"/>
    </row>
    <row r="7" spans="1:26" ht="47.25">
      <c r="A7" s="73" t="s">
        <v>77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42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42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42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42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42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42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42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42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42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42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42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42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42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28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28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28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28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28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28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28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28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28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28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28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28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28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28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28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28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28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28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28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28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28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28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28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28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28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28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28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28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28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28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28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28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28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28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28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28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28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28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28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28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28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28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28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28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28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28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28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28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28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28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28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28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28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28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28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28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28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28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28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28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28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28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28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28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28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28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28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28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28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33</v>
      </c>
      <c r="C231" s="219" t="s">
        <v>28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310</v>
      </c>
      <c r="C232" s="219" t="s">
        <v>28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311</v>
      </c>
      <c r="C233" s="219" t="s">
        <v>28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312</v>
      </c>
      <c r="C234" s="219" t="s">
        <v>28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313</v>
      </c>
      <c r="C235" s="219" t="s">
        <v>28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314</v>
      </c>
      <c r="C236" s="219" t="s">
        <v>28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315</v>
      </c>
      <c r="C237" s="219" t="s">
        <v>28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316</v>
      </c>
      <c r="C238" s="219" t="s">
        <v>28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317</v>
      </c>
      <c r="C239" s="219" t="s">
        <v>28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318</v>
      </c>
      <c r="C240" s="219" t="s">
        <v>28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319</v>
      </c>
      <c r="C241" s="219" t="s">
        <v>28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28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28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28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28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324</v>
      </c>
      <c r="C246" s="276" t="s">
        <v>28</v>
      </c>
      <c r="D246" s="48" t="s">
        <v>241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28</v>
      </c>
      <c r="D247" s="48" t="s">
        <v>240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36</v>
      </c>
      <c r="C248" s="276" t="s">
        <v>28</v>
      </c>
      <c r="D248" s="48" t="s">
        <v>111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28</v>
      </c>
      <c r="D249" s="48" t="s">
        <v>111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28</v>
      </c>
      <c r="D250" s="277" t="s">
        <v>111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28</v>
      </c>
      <c r="D251" s="277" t="s">
        <v>240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28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28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28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28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28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28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</v>
      </c>
      <c r="C258" s="276" t="s">
        <v>28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6" t="s">
        <v>28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6" t="s">
        <v>28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6" t="s">
        <v>28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6" t="s">
        <v>28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6" t="s">
        <v>28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6" t="s">
        <v>28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6" t="s">
        <v>28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6" t="s">
        <v>28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6" t="s">
        <v>28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6" t="s">
        <v>28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6" t="s">
        <v>28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6" t="s">
        <v>28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6" t="s">
        <v>28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6" t="s">
        <v>28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6" t="s">
        <v>28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6" t="s">
        <v>28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29</v>
      </c>
      <c r="C275" s="276" t="s">
        <v>28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6" t="s">
        <v>28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6" t="s">
        <v>28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6" t="s">
        <v>28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6" t="s">
        <v>28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6" t="s">
        <v>28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6" t="s">
        <v>28</v>
      </c>
      <c r="D281" s="277" t="s">
        <v>358</v>
      </c>
      <c r="E281" s="141"/>
      <c r="F281" s="277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6" t="s">
        <v>28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6" t="s">
        <v>28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6" t="s">
        <v>28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6" t="s">
        <v>28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6" t="s">
        <v>28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6" t="s">
        <v>28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6" t="s">
        <v>28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6" t="s">
        <v>28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77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367</v>
      </c>
      <c r="C516" s="219" t="s">
        <v>26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9" t="s">
        <v>26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9" t="s">
        <v>26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9" t="s">
        <v>26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9" t="s">
        <v>26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9" t="s">
        <v>26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9" t="s">
        <v>26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9" t="s">
        <v>26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9" t="s">
        <v>26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368</v>
      </c>
      <c r="E525" s="217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368</v>
      </c>
      <c r="E526" s="216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27</v>
      </c>
      <c r="C527" s="219" t="s">
        <v>26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26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26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26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26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26</v>
      </c>
      <c r="D532" s="214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26</v>
      </c>
      <c r="D533" s="214" t="s">
        <v>368</v>
      </c>
      <c r="E533" s="218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26</v>
      </c>
      <c r="D534" s="214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26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26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26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26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77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390</v>
      </c>
      <c r="C562" s="219" t="s">
        <v>34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34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34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34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34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34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34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34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34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34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34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34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34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34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34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34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34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34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34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34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34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34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34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34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34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34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34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34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34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34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34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34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34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34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34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34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34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34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34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34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34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34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34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34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34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34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34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34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34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34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34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34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34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34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34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34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34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34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34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34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34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34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34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34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34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34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34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34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34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34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34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34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34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34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34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34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34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34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34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34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34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34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34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34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34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34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34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34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34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34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34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34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34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34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34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34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34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34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34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34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34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34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34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34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34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34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34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34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34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34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34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34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34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34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34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34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34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34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34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34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34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34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34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34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34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34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34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34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34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34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34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34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34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34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34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34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34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34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34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34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34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34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34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34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34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34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34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34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34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34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34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34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34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34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34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34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34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34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34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34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34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34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34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34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34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34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34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34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34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34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34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34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34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34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34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34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34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34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34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34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34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34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34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34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34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34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34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34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34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34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34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34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34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34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34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34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34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34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34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34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34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34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34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34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34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34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34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34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34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34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34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34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34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34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34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34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34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34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34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34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34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34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34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34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34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34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34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34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34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34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34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34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35</v>
      </c>
      <c r="C794" s="219" t="s">
        <v>34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622</v>
      </c>
      <c r="C795" s="219" t="s">
        <v>34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623</v>
      </c>
      <c r="C796" s="219" t="s">
        <v>34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624</v>
      </c>
      <c r="C797" s="219" t="s">
        <v>34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625</v>
      </c>
      <c r="C798" s="219" t="s">
        <v>34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626</v>
      </c>
      <c r="C799" s="219" t="s">
        <v>34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627</v>
      </c>
      <c r="C800" s="219" t="s">
        <v>34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628</v>
      </c>
      <c r="C801" s="219" t="s">
        <v>34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629</v>
      </c>
      <c r="C802" s="219" t="s">
        <v>34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630</v>
      </c>
      <c r="C803" s="219" t="s">
        <v>34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631</v>
      </c>
      <c r="C804" s="219" t="s">
        <v>34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632</v>
      </c>
      <c r="C805" s="219" t="s">
        <v>34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633</v>
      </c>
      <c r="C806" s="219" t="s">
        <v>34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634</v>
      </c>
      <c r="C807" s="219" t="s">
        <v>34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635</v>
      </c>
      <c r="C808" s="219" t="s">
        <v>34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636</v>
      </c>
      <c r="C809" s="219" t="s">
        <v>34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637</v>
      </c>
      <c r="C810" s="219" t="s">
        <v>34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638</v>
      </c>
      <c r="C811" s="219" t="s">
        <v>34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639</v>
      </c>
      <c r="C812" s="219" t="s">
        <v>34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640</v>
      </c>
      <c r="C813" s="219" t="s">
        <v>34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641</v>
      </c>
      <c r="C814" s="219" t="s">
        <v>34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642</v>
      </c>
      <c r="C815" s="219" t="s">
        <v>34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643</v>
      </c>
      <c r="C816" s="219" t="s">
        <v>34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644</v>
      </c>
      <c r="C817" s="219" t="s">
        <v>34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645</v>
      </c>
      <c r="C818" s="219" t="s">
        <v>34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646</v>
      </c>
      <c r="C819" s="219" t="s">
        <v>34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647</v>
      </c>
      <c r="C820" s="219" t="s">
        <v>34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648</v>
      </c>
      <c r="C821" s="219" t="s">
        <v>34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649</v>
      </c>
      <c r="C822" s="219" t="s">
        <v>34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9" t="s">
        <v>34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651</v>
      </c>
      <c r="C824" s="219" t="s">
        <v>34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652</v>
      </c>
      <c r="C825" s="219" t="s">
        <v>34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653</v>
      </c>
      <c r="C826" s="219" t="s">
        <v>34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654</v>
      </c>
      <c r="C827" s="219" t="s">
        <v>34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655</v>
      </c>
      <c r="C828" s="219" t="s">
        <v>34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656</v>
      </c>
      <c r="C829" s="219" t="s">
        <v>34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657</v>
      </c>
      <c r="C830" s="219" t="s">
        <v>34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658</v>
      </c>
      <c r="C831" s="219" t="s">
        <v>34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659</v>
      </c>
      <c r="C832" s="219" t="s">
        <v>34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660</v>
      </c>
      <c r="C833" s="219" t="s">
        <v>34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661</v>
      </c>
      <c r="C834" s="219" t="s">
        <v>34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662</v>
      </c>
      <c r="C835" s="219" t="s">
        <v>34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663</v>
      </c>
      <c r="C836" s="219" t="s">
        <v>34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664</v>
      </c>
      <c r="C837" s="219" t="s">
        <v>34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665</v>
      </c>
      <c r="C838" s="219" t="s">
        <v>34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666</v>
      </c>
      <c r="C839" s="219" t="s">
        <v>34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667</v>
      </c>
      <c r="C840" s="219" t="s">
        <v>34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668</v>
      </c>
      <c r="C841" s="219" t="s">
        <v>34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669</v>
      </c>
      <c r="C842" s="219" t="s">
        <v>34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670</v>
      </c>
      <c r="C843" s="219" t="s">
        <v>34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671</v>
      </c>
      <c r="C844" s="219" t="s">
        <v>34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672</v>
      </c>
      <c r="C845" s="219" t="s">
        <v>34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673</v>
      </c>
      <c r="C846" s="219" t="s">
        <v>34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674</v>
      </c>
      <c r="C847" s="219" t="s">
        <v>34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675</v>
      </c>
      <c r="C848" s="219" t="s">
        <v>34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9" t="s">
        <v>34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9" t="s">
        <v>34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9" t="s">
        <v>34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9" t="s">
        <v>34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9" t="s">
        <v>34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681</v>
      </c>
      <c r="C854" s="219" t="s">
        <v>34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9" t="s">
        <v>34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9" t="s">
        <v>34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9" t="s">
        <v>34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9" t="s">
        <v>34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9" t="s">
        <v>34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687</v>
      </c>
      <c r="C860" s="219" t="s">
        <v>34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688</v>
      </c>
      <c r="C861" s="219" t="s">
        <v>34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689</v>
      </c>
      <c r="C862" s="219" t="s">
        <v>34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690</v>
      </c>
      <c r="C863" s="219" t="s">
        <v>34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691</v>
      </c>
      <c r="C864" s="219" t="s">
        <v>34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692</v>
      </c>
      <c r="C865" s="219" t="s">
        <v>34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693</v>
      </c>
      <c r="C866" s="219" t="s">
        <v>34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694</v>
      </c>
      <c r="C867" s="219" t="s">
        <v>34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695</v>
      </c>
      <c r="C868" s="219" t="s">
        <v>34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696</v>
      </c>
      <c r="C869" s="219" t="s">
        <v>34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697</v>
      </c>
      <c r="C870" s="219" t="s">
        <v>34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698</v>
      </c>
      <c r="C871" s="219" t="s">
        <v>34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699</v>
      </c>
      <c r="C872" s="219" t="s">
        <v>34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700</v>
      </c>
      <c r="C873" s="219" t="s">
        <v>34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9" t="s">
        <v>34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702</v>
      </c>
      <c r="C875" s="219" t="s">
        <v>34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703</v>
      </c>
      <c r="C876" s="219" t="s">
        <v>34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9" t="s">
        <v>34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9" t="s">
        <v>34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706</v>
      </c>
      <c r="C879" s="219" t="s">
        <v>34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9" t="s">
        <v>34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9" t="s">
        <v>34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9" t="s">
        <v>34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9" t="s">
        <v>34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9" t="s">
        <v>34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9" t="s">
        <v>34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713</v>
      </c>
      <c r="C886" s="219" t="s">
        <v>34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714</v>
      </c>
      <c r="C887" s="219" t="s">
        <v>34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715</v>
      </c>
      <c r="C888" s="219" t="s">
        <v>34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716</v>
      </c>
      <c r="C889" s="219" t="s">
        <v>34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717</v>
      </c>
      <c r="C890" s="219" t="s">
        <v>34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718</v>
      </c>
      <c r="C891" s="219" t="s">
        <v>34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719</v>
      </c>
      <c r="C892" s="219" t="s">
        <v>34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720</v>
      </c>
      <c r="C893" s="219" t="s">
        <v>34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721</v>
      </c>
      <c r="C894" s="219" t="s">
        <v>34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722</v>
      </c>
      <c r="C895" s="219" t="s">
        <v>34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723</v>
      </c>
      <c r="C896" s="219" t="s">
        <v>34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724</v>
      </c>
      <c r="C897" s="219" t="s">
        <v>34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725</v>
      </c>
      <c r="C898" s="219" t="s">
        <v>34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726</v>
      </c>
      <c r="C899" s="219" t="s">
        <v>34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727</v>
      </c>
      <c r="C900" s="219" t="s">
        <v>34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728</v>
      </c>
      <c r="C901" s="219" t="s">
        <v>34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729</v>
      </c>
      <c r="C902" s="219" t="s">
        <v>34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730</v>
      </c>
      <c r="C903" s="219" t="s">
        <v>34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731</v>
      </c>
      <c r="C904" s="219" t="s">
        <v>34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732</v>
      </c>
      <c r="C905" s="219" t="s">
        <v>34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733</v>
      </c>
      <c r="C906" s="219" t="s">
        <v>34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734</v>
      </c>
      <c r="C907" s="219" t="s">
        <v>34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735</v>
      </c>
      <c r="C908" s="219" t="s">
        <v>34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736</v>
      </c>
      <c r="C909" s="219" t="s">
        <v>34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737</v>
      </c>
      <c r="C910" s="219" t="s">
        <v>34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738</v>
      </c>
      <c r="C911" s="219" t="s">
        <v>34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739</v>
      </c>
      <c r="C912" s="219" t="s">
        <v>34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740</v>
      </c>
      <c r="C913" s="219" t="s">
        <v>34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741</v>
      </c>
      <c r="C914" s="219" t="s">
        <v>34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742</v>
      </c>
      <c r="C915" s="219" t="s">
        <v>34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743</v>
      </c>
      <c r="C916" s="219" t="s">
        <v>34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744</v>
      </c>
      <c r="C917" s="219" t="s">
        <v>34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745</v>
      </c>
      <c r="C918" s="219" t="s">
        <v>34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746</v>
      </c>
      <c r="C919" s="219" t="s">
        <v>34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747</v>
      </c>
      <c r="C920" s="219" t="s">
        <v>34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748</v>
      </c>
      <c r="C921" s="219" t="s">
        <v>34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749</v>
      </c>
      <c r="C922" s="219" t="s">
        <v>34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750</v>
      </c>
      <c r="C923" s="219" t="s">
        <v>34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751</v>
      </c>
      <c r="C924" s="219" t="s">
        <v>34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752</v>
      </c>
      <c r="C925" s="219" t="s">
        <v>34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753</v>
      </c>
      <c r="C926" s="219" t="s">
        <v>34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754</v>
      </c>
      <c r="C927" s="219" t="s">
        <v>34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755</v>
      </c>
      <c r="C928" s="219" t="s">
        <v>34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756</v>
      </c>
      <c r="C929" s="219" t="s">
        <v>34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757</v>
      </c>
      <c r="C930" s="219" t="s">
        <v>34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758</v>
      </c>
      <c r="C931" s="219" t="s">
        <v>34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759</v>
      </c>
      <c r="C932" s="219" t="s">
        <v>34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760</v>
      </c>
      <c r="C933" s="219" t="s">
        <v>34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761</v>
      </c>
      <c r="C934" s="219" t="s">
        <v>34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762</v>
      </c>
      <c r="C935" s="219" t="s">
        <v>34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763</v>
      </c>
      <c r="C936" s="219" t="s">
        <v>34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764</v>
      </c>
      <c r="C937" s="219" t="s">
        <v>34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765</v>
      </c>
      <c r="C938" s="219" t="s">
        <v>34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766</v>
      </c>
      <c r="C939" s="219" t="s">
        <v>34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767</v>
      </c>
      <c r="C940" s="219" t="s">
        <v>34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768</v>
      </c>
      <c r="C941" s="219" t="s">
        <v>34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769</v>
      </c>
      <c r="C942" s="219" t="s">
        <v>34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770</v>
      </c>
      <c r="C943" s="219" t="s">
        <v>34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771</v>
      </c>
      <c r="C944" s="219" t="s">
        <v>34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772</v>
      </c>
      <c r="C945" s="219" t="s">
        <v>34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773</v>
      </c>
      <c r="C946" s="219" t="s">
        <v>34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774</v>
      </c>
      <c r="C947" s="219" t="s">
        <v>34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775</v>
      </c>
      <c r="C948" s="219" t="s">
        <v>34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776</v>
      </c>
      <c r="C949" s="219" t="s">
        <v>34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777</v>
      </c>
      <c r="C950" s="219" t="s">
        <v>34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778</v>
      </c>
      <c r="C951" s="219" t="s">
        <v>34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779</v>
      </c>
      <c r="C952" s="219" t="s">
        <v>34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780</v>
      </c>
      <c r="C953" s="219" t="s">
        <v>34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781</v>
      </c>
      <c r="C954" s="219" t="s">
        <v>34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782</v>
      </c>
      <c r="C955" s="219" t="s">
        <v>34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783</v>
      </c>
      <c r="C956" s="219" t="s">
        <v>34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784</v>
      </c>
      <c r="C957" s="219" t="s">
        <v>34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785</v>
      </c>
      <c r="C958" s="219" t="s">
        <v>34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786</v>
      </c>
      <c r="C959" s="219" t="s">
        <v>34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787</v>
      </c>
      <c r="C960" s="219" t="s">
        <v>34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788</v>
      </c>
      <c r="C961" s="219" t="s">
        <v>34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789</v>
      </c>
      <c r="C962" s="219" t="s">
        <v>34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790</v>
      </c>
      <c r="C963" s="219" t="s">
        <v>34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791</v>
      </c>
      <c r="C964" s="219" t="s">
        <v>34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792</v>
      </c>
      <c r="C965" s="219" t="s">
        <v>34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793</v>
      </c>
      <c r="C966" s="219" t="s">
        <v>34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794</v>
      </c>
      <c r="C967" s="219" t="s">
        <v>34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795</v>
      </c>
      <c r="C968" s="219" t="s">
        <v>34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796</v>
      </c>
      <c r="C969" s="219" t="s">
        <v>34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797</v>
      </c>
      <c r="C970" s="219" t="s">
        <v>34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798</v>
      </c>
      <c r="C971" s="219" t="s">
        <v>34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799</v>
      </c>
      <c r="C972" s="219" t="s">
        <v>34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800</v>
      </c>
      <c r="C973" s="219" t="s">
        <v>34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801</v>
      </c>
      <c r="C974" s="219" t="s">
        <v>34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802</v>
      </c>
      <c r="C975" s="219" t="s">
        <v>34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803</v>
      </c>
      <c r="C976" s="219" t="s">
        <v>34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804</v>
      </c>
      <c r="C977" s="219" t="s">
        <v>34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805</v>
      </c>
      <c r="C978" s="219" t="s">
        <v>34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806</v>
      </c>
      <c r="C979" s="219" t="s">
        <v>34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807</v>
      </c>
      <c r="C980" s="219" t="s">
        <v>34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808</v>
      </c>
      <c r="C981" s="219" t="s">
        <v>34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809</v>
      </c>
      <c r="C982" s="219" t="s">
        <v>34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77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810</v>
      </c>
      <c r="C1011" s="160" t="s">
        <v>30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30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30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30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31</v>
      </c>
      <c r="C1015" s="160" t="s">
        <v>30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814</v>
      </c>
      <c r="C1016" s="160" t="s">
        <v>30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815</v>
      </c>
      <c r="C1017" s="160" t="s">
        <v>30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816</v>
      </c>
      <c r="C1018" s="160" t="s">
        <v>30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817</v>
      </c>
      <c r="C1019" s="160" t="s">
        <v>30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818</v>
      </c>
      <c r="C1020" s="160" t="s">
        <v>30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819</v>
      </c>
      <c r="C1021" s="160" t="s">
        <v>30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820</v>
      </c>
      <c r="C1022" s="160" t="s">
        <v>30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821</v>
      </c>
      <c r="C1023" s="160" t="s">
        <v>30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822</v>
      </c>
      <c r="C1024" s="160" t="s">
        <v>30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823</v>
      </c>
      <c r="C1025" s="160" t="s">
        <v>30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824</v>
      </c>
      <c r="C1026" s="160" t="s">
        <v>30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30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30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30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30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829</v>
      </c>
      <c r="C1031" s="160" t="s">
        <v>30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30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30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30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30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30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30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30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30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30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30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30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30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842</v>
      </c>
      <c r="C1067" s="219" t="s">
        <v>60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60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60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60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60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60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848</v>
      </c>
      <c r="C1073" s="219" t="s">
        <v>60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77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1016</v>
      </c>
      <c r="C1273" s="276" t="s">
        <v>850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1022</v>
      </c>
      <c r="C1278" s="276" t="s">
        <v>850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1023</v>
      </c>
      <c r="C1279" s="276" t="s">
        <v>850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1024</v>
      </c>
      <c r="C1280" s="276" t="s">
        <v>850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1027</v>
      </c>
      <c r="C1283" s="276" t="s">
        <v>850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1027</v>
      </c>
      <c r="C1284" s="276" t="s">
        <v>850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850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850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850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77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1036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1036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1036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1036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1036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1036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1036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1036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1036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1036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1036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1036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1036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1036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1036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1036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1036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1036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1036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1036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1036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1036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1036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1036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1036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1036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1036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1036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1036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1036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1036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1036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1036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1036</v>
      </c>
      <c r="D1405" s="248" t="s">
        <v>216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1036</v>
      </c>
      <c r="D1406" s="10" t="s">
        <v>358</v>
      </c>
      <c r="E1406" s="222"/>
      <c r="F1406" s="293" t="s">
        <v>358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1036</v>
      </c>
      <c r="D1407" s="10" t="s">
        <v>358</v>
      </c>
      <c r="E1407" s="166"/>
      <c r="F1407" s="10" t="s">
        <v>358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1036</v>
      </c>
      <c r="D1408" s="10" t="s">
        <v>358</v>
      </c>
      <c r="E1408" s="166"/>
      <c r="F1408" s="10" t="s">
        <v>358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1036</v>
      </c>
      <c r="D1409" s="10" t="s">
        <v>358</v>
      </c>
      <c r="E1409" s="166"/>
      <c r="F1409" s="10" t="s">
        <v>358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1036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1036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1036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1036</v>
      </c>
      <c r="D1413" s="10" t="s">
        <v>358</v>
      </c>
      <c r="E1413" s="166"/>
      <c r="F1413" s="10" t="s">
        <v>358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1036</v>
      </c>
      <c r="D1414" s="10" t="s">
        <v>358</v>
      </c>
      <c r="E1414" s="166"/>
      <c r="F1414" s="10" t="s">
        <v>358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1036</v>
      </c>
      <c r="D1415" s="10" t="s">
        <v>358</v>
      </c>
      <c r="E1415" s="222"/>
      <c r="F1415" s="10" t="s">
        <v>358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77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1131</v>
      </c>
      <c r="C1428" s="219" t="s">
        <v>57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57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57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57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57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57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57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57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57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57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57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57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57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57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57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57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57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57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57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57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57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57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57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57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57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57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57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57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57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57</v>
      </c>
      <c r="D1457" s="48" t="s">
        <v>1067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57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57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57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57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57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57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57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57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57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57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57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57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57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57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57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57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57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57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57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57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57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57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57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57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57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57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57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57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57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57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57</v>
      </c>
      <c r="D1488" s="48" t="s">
        <v>1067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57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57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57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57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57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57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57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57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57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57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57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57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57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57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57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57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57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57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57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57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57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77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42</v>
      </c>
    </row>
    <row r="3" spans="1:13" outlineLevel="1">
      <c r="A3" s="3" t="s">
        <v>1318</v>
      </c>
      <c r="B3" s="5" t="s">
        <v>216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26</v>
      </c>
    </row>
    <row r="4" spans="1:13" ht="30" outlineLevel="1">
      <c r="A4" s="2" t="s">
        <v>1323</v>
      </c>
      <c r="B4" s="5" t="s">
        <v>307</v>
      </c>
      <c r="D4" s="267" t="s">
        <v>14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34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850</v>
      </c>
    </row>
    <row r="6" spans="1:13" outlineLevel="1">
      <c r="A6" s="2" t="s">
        <v>325</v>
      </c>
      <c r="B6" s="5" t="s">
        <v>325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28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30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60</v>
      </c>
    </row>
    <row r="10" spans="1:13" outlineLevel="1">
      <c r="A10" s="2" t="s">
        <v>1351</v>
      </c>
      <c r="B10" s="5" t="s">
        <v>105</v>
      </c>
      <c r="F10" s="3" t="s">
        <v>1352</v>
      </c>
      <c r="H10" s="24" t="s">
        <v>6</v>
      </c>
      <c r="I10" s="20">
        <v>32142539</v>
      </c>
      <c r="K10" t="s">
        <v>1353</v>
      </c>
      <c r="M10" s="233" t="s">
        <v>122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57</v>
      </c>
    </row>
    <row r="12" spans="1:13" ht="30" outlineLevel="1">
      <c r="A12" s="3" t="s">
        <v>1359</v>
      </c>
      <c r="B12" s="5" t="s">
        <v>1029</v>
      </c>
      <c r="F12" s="302" t="s">
        <v>1360</v>
      </c>
      <c r="H12" s="27" t="s">
        <v>1361</v>
      </c>
      <c r="I12" s="28">
        <v>32184975</v>
      </c>
      <c r="M12" s="233" t="s">
        <v>1218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1228</v>
      </c>
      <c r="H14" s="24" t="s">
        <v>1365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238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358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1221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241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106</v>
      </c>
      <c r="H21" s="21" t="s">
        <v>1380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208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174</v>
      </c>
      <c r="H24" s="21" t="s">
        <v>1385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1386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1387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111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2024-05-02T13:56:26Z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