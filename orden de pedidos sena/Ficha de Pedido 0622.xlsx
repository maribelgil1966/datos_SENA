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SEBASTIAN TABARES\SOUVENIR EN CUERO\"/>
    </mc:Choice>
  </mc:AlternateContent>
  <xr:revisionPtr revIDLastSave="0" documentId="13_ncr:1_{4B18F505-A5E7-405D-A1F6-C4227384B169}" xr6:coauthVersionLast="36" xr6:coauthVersionMax="47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/>
  <c r="O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/>
  <c r="O11" i="43"/>
  <c r="G13" i="61" s="1"/>
  <c r="O19" i="43"/>
  <c r="G21" i="61"/>
  <c r="O18" i="43"/>
  <c r="G20" i="61" s="1"/>
  <c r="O16" i="43"/>
  <c r="G18" i="6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4" i="43" l="1"/>
  <c r="D5" i="43" s="1"/>
  <c r="B8" i="61" s="1"/>
  <c r="B31" i="61"/>
  <c r="O14" i="61"/>
  <c r="K14" i="61" a="1"/>
  <c r="K14" i="61" s="1"/>
  <c r="B14" i="61"/>
  <c r="B29" i="61"/>
  <c r="K29" i="61" a="1"/>
  <c r="K29" i="61" s="1"/>
  <c r="O29" i="61"/>
  <c r="O22" i="61"/>
  <c r="K22" i="61" a="1"/>
  <c r="K22" i="61" s="1"/>
  <c r="B22" i="61"/>
  <c r="B19" i="61"/>
  <c r="O19" i="61"/>
  <c r="K19" i="61" a="1"/>
  <c r="K19" i="61" s="1"/>
  <c r="B13" i="61"/>
  <c r="K13" i="61" a="1"/>
  <c r="K13" i="61" s="1"/>
  <c r="O13" i="61"/>
  <c r="O23" i="61"/>
  <c r="K23" i="61" a="1"/>
  <c r="K23" i="61" s="1"/>
  <c r="B23" i="61"/>
  <c r="B17" i="61"/>
  <c r="K17" i="61" a="1"/>
  <c r="K17" i="61" s="1"/>
  <c r="O17" i="61"/>
  <c r="O28" i="61"/>
  <c r="K28" i="61" a="1"/>
  <c r="K28" i="61" s="1"/>
  <c r="B28" i="61"/>
  <c r="B25" i="61"/>
  <c r="K25" i="61" a="1"/>
  <c r="K25" i="61" s="1"/>
  <c r="O25" i="61"/>
  <c r="O18" i="61"/>
  <c r="K18" i="61" a="1"/>
  <c r="K18" i="61" s="1"/>
  <c r="B18" i="61"/>
  <c r="O16" i="61"/>
  <c r="K16" i="61" a="1"/>
  <c r="K16" i="61" s="1"/>
  <c r="B16" i="61"/>
  <c r="O26" i="61"/>
  <c r="K26" i="61" a="1"/>
  <c r="K26" i="61" s="1"/>
  <c r="B26" i="61"/>
  <c r="O20" i="61"/>
  <c r="K20" i="61" a="1"/>
  <c r="K20" i="61" s="1"/>
  <c r="B20" i="61"/>
  <c r="O32" i="61"/>
  <c r="K32" i="61" a="1"/>
  <c r="K32" i="61" s="1"/>
  <c r="B32" i="61"/>
  <c r="B30" i="61"/>
  <c r="K30" i="61" a="1"/>
  <c r="K30" i="61" s="1"/>
  <c r="O30" i="61"/>
  <c r="O27" i="61"/>
  <c r="K27" i="61" a="1"/>
  <c r="K27" i="61" s="1"/>
  <c r="B27" i="61"/>
  <c r="O24" i="61"/>
  <c r="K24" i="61" a="1"/>
  <c r="K24" i="61" s="1"/>
  <c r="B24" i="61"/>
  <c r="B21" i="61"/>
  <c r="K21" i="61" a="1"/>
  <c r="K21" i="61" s="1"/>
  <c r="O21" i="61"/>
  <c r="O15" i="61"/>
  <c r="K15" i="61" a="1"/>
  <c r="K15" i="61" s="1"/>
  <c r="B15" i="61"/>
  <c r="O12" i="61"/>
  <c r="K12" i="61" a="1"/>
  <c r="K12" i="61" s="1"/>
  <c r="B12" i="61"/>
  <c r="K31" i="61" a="1"/>
  <c r="K31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<sst xmlns="http://schemas.openxmlformats.org/spreadsheetml/2006/main" count="5015" uniqueCount="1394">
  <si>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</si>
  <si>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</si>
  <si>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</si>
  <si>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</si>
  <si>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</si>
  <si>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</si>
  <si>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</si>
  <si>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</si>
  <si>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</si>
  <si>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</si>
  <si>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</si>
  <si>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</si>
  <si>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</si>
  <si>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</si>
  <si>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</si>
  <si>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</si>
  <si>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</si>
  <si>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</si>
  <si>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</si>
  <si>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</si>
  <si>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</si>
  <si>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</si>
  <si>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</si>
  <si>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</si>
  <si>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</si>
  <si>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</si>
  <si>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</si>
  <si>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</si>
  <si>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</si>
  <si>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</si>
  <si>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</si>
  <si>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</si>
  <si>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</si>
  <si>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</si>
  <si>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</si>
  <si>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</si>
  <si>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</si>
  <si>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</si>
  <si>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</si>
  <si>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</si>
  <si>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</si>
  <si>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</si>
  <si>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</si>
  <si>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</si>
  <si>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</si>
  <si>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</si>
  <si>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</si>
  <si>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</si>
  <si>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</si>
  <si>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</si>
  <si>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</si>
  <si>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</si>
  <si>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</si>
  <si>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</si>
  <si>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</si>
  <si>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</si>
  <si>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</si>
  <si>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</si>
  <si>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</si>
  <si>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</si>
  <si>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</si>
  <si>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</si>
  <si>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</si>
  <si>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</si>
  <si>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</si>
  <si>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</si>
  <si>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</si>
  <si>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</si>
  <si>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</si>
  <si>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</si>
  <si>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</si>
  <si>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</si>
  <si>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</si>
  <si>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</si>
  <si>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</si>
  <si>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</si>
  <si>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</si>
  <si>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</si>
  <si>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</si>
  <si>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</si>
  <si>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</si>
  <si>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</si>
  <si>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</si>
  <si>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</si>
  <si>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</si>
  <si>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</si>
  <si>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</si>
  <si>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</si>
  <si>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</si>
  <si>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</si>
  <si>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</si>
  <si>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</si>
  <si>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</si>
  <si>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</si>
  <si>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</si>
  <si>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</si>
  <si>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</si>
  <si>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</si>
  <si>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</si>
  <si>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</si>
  <si>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</si>
  <si>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</si>
  <si>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</si>
  <si>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</si>
  <si>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</si>
  <si>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</si>
  <si>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</si>
  <si>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</si>
  <si>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</si>
  <si>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</si>
  <si>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</si>
  <si>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</si>
  <si>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</si>
  <si>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</si>
  <si>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</si>
  <si>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</si>
  <si>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</si>
  <si>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</si>
  <si>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</si>
  <si>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</si>
  <si>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</si>
  <si>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</si>
  <si>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</si>
  <si>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</si>
  <si>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</si>
  <si>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</si>
  <si>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</si>
  <si>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</si>
  <si>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</si>
  <si>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</si>
  <si>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</si>
  <si>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</si>
  <si>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</si>
  <si>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</si>
  <si>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</si>
  <si>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</si>
  <si>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</si>
  <si>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</si>
  <si>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</si>
  <si>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</si>
  <si>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</si>
  <si>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</si>
  <si>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</si>
  <si>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</si>
  <si>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</si>
  <si>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</si>
  <si>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</si>
  <si>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</si>
  <si>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</si>
  <si>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</si>
  <si>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</si>
  <si>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</si>
  <si>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</si>
  <si>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</si>
  <si>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</si>
  <si>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</si>
  <si>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</si>
  <si>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</si>
  <si>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</si>
  <si>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</si>
  <si>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</si>
  <si>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</si>
  <si>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</si>
  <si>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</si>
  <si>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</si>
  <si>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</si>
  <si>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</si>
  <si>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</si>
  <si>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</si>
  <si>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</si>
  <si>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</si>
  <si>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</si>
  <si>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</si>
  <si>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</si>
  <si>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</si>
  <si>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</si>
  <si>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</si>
  <si>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</si>
  <si>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</si>
  <si>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</si>
  <si>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</si>
  <si>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</si>
  <si>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</si>
  <si>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</si>
  <si>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</si>
  <si>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</si>
  <si>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</si>
  <si>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</si>
  <si>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</si>
  <si>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</si>
  <si>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</si>
  <si>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</si>
  <si>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</si>
  <si>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</si>
  <si>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</si>
  <si>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</si>
  <si>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</si>
  <si>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</si>
  <si>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</si>
  <si>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</si>
  <si>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</si>
  <si>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</si>
  <si>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</si>
  <si>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</si>
  <si>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</si>
  <si>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</si>
  <si>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</si>
  <si>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</si>
  <si>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</si>
  <si>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</si>
  <si>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</si>
  <si>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</si>
  <si>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</si>
  <si>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</si>
  <si>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</si>
  <si>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</si>
  <si>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</si>
  <si>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</si>
  <si>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</si>
  <si>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</si>
  <si>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</si>
  <si>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</si>
  <si>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</si>
  <si>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</si>
  <si>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</si>
  <si>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</si>
  <si>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</si>
  <si>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</si>
  <si>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</si>
  <si>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</si>
  <si>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</si>
  <si>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</si>
  <si>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</si>
  <si>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</si>
  <si>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</si>
  <si>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</si>
  <si>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</si>
  <si>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</si>
  <si>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</si>
  <si>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</si>
  <si>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</si>
  <si>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</si>
  <si>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</si>
  <si>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</si>
  <si>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</si>
  <si>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</si>
  <si>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</si>
  <si>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</si>
  <si>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</si>
  <si>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</si>
  <si>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</si>
  <si>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</si>
  <si>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</si>
  <si>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</si>
  <si>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</si>
  <si>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</si>
  <si>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</si>
  <si>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</si>
  <si>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</si>
  <si>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</si>
  <si>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</si>
  <si>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</si>
  <si>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</si>
  <si>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</si>
  <si>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</si>
  <si>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</si>
  <si>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</si>
  <si>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</si>
  <si>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</si>
  <si>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</si>
  <si>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</si>
  <si>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</si>
  <si>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</si>
  <si>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</si>
  <si>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</si>
  <si>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</si>
  <si>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</si>
  <si>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</si>
  <si>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</si>
  <si>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</si>
  <si>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</si>
  <si>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</si>
  <si>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</si>
  <si>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</si>
  <si>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</si>
  <si>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</si>
  <si>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</si>
  <si>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</si>
  <si>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</si>
  <si>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</si>
  <si>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</si>
  <si>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</si>
  <si>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</si>
  <si>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</si>
  <si>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</si>
  <si>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</si>
  <si>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</si>
  <si>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</si>
  <si>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</si>
  <si>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</si>
  <si>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</si>
  <si>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</si>
  <si>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</si>
  <si>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</si>
  <si>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</si>
  <si>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</si>
  <si>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</si>
  <si>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</si>
  <si>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</si>
  <si>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</si>
  <si>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</si>
  <si>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</si>
  <si>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</si>
  <si>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</si>
  <si>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</si>
  <si>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</si>
  <si>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</si>
  <si>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</si>
  <si>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</si>
  <si>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</si>
  <si>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</si>
  <si>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</si>
  <si>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</si>
  <si>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</si>
  <si>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</si>
  <si>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</si>
  <si>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</si>
  <si>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</si>
  <si>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</si>
  <si>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</si>
  <si>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</si>
  <si>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</si>
  <si>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</si>
  <si>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</si>
  <si>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</si>
  <si>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</si>
  <si>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</si>
  <si>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</si>
  <si>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</si>
  <si>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</si>
  <si>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</si>
  <si>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</si>
  <si>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</si>
  <si>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</si>
  <si>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</si>
  <si>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</si>
  <si>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</si>
  <si>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</si>
  <si>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</si>
  <si>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</si>
  <si>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</si>
  <si>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</si>
  <si>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</si>
  <si>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</si>
  <si>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</si>
  <si>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</si>
  <si>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</si>
  <si>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</si>
  <si>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</si>
  <si>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</si>
  <si>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</si>
  <si>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</si>
  <si>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</si>
  <si>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</si>
  <si>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</si>
  <si>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</si>
  <si>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</si>
  <si>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</si>
  <si>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</si>
  <si>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</si>
  <si>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</si>
  <si>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</si>
  <si>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</si>
  <si>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</si>
  <si>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</si>
  <si>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</si>
  <si>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</si>
  <si>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</si>
  <si>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</si>
  <si>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</si>
  <si>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</si>
  <si>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</si>
  <si>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</si>
  <si>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</si>
  <si>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</si>
  <si>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</si>
  <si>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</si>
  <si>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</si>
  <si>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</si>
  <si>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</si>
  <si>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</si>
  <si>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</si>
  <si>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</si>
  <si>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</si>
  <si>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</si>
  <si>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</si>
  <si>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</si>
  <si>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</si>
  <si>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</si>
  <si>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</si>
  <si>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</si>
  <si>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</si>
  <si>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</si>
  <si>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</si>
  <si>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</si>
  <si>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</si>
  <si>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</si>
  <si>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</si>
  <si>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</si>
  <si>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</si>
  <si>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</si>
  <si>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</si>
  <si>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</si>
  <si>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</si>
  <si>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</si>
  <si>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</si>
  <si>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</si>
  <si>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</si>
  <si>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</si>
  <si>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</si>
  <si>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</si>
  <si>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</si>
  <si>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</si>
  <si>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</si>
  <si>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</si>
  <si>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</si>
  <si>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</si>
  <si>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</si>
  <si>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</si>
  <si>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</si>
  <si>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</si>
  <si>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</si>
  <si>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</si>
  <si>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</si>
  <si>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</si>
  <si>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</si>
  <si>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</si>
  <si>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</si>
  <si>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</si>
  <si>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</si>
  <si>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</si>
  <si>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</si>
  <si>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</si>
  <si>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</si>
  <si>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</si>
  <si>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</si>
  <si>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</si>
  <si>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</si>
  <si>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</si>
  <si>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</si>
  <si>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</si>
  <si>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</si>
  <si>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</si>
  <si>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</si>
  <si>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</si>
  <si>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</si>
  <si>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</si>
  <si>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</si>
  <si>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</si>
  <si>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</si>
  <si>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</si>
  <si>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</si>
  <si>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</si>
  <si>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</si>
  <si>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</si>
  <si>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</si>
  <si>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</si>
  <si>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</si>
  <si>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</si>
  <si>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</si>
  <si>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</si>
  <si>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</si>
  <si>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</si>
  <si>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</si>
  <si>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</si>
  <si>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</si>
  <si>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</si>
  <si>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</si>
  <si>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</si>
  <si>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</si>
  <si>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</si>
  <si>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</si>
  <si>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</si>
  <si>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</si>
  <si>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</si>
  <si>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</si>
  <si>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</si>
  <si>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</si>
  <si>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</si>
  <si>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</si>
  <si>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</si>
  <si>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</si>
  <si>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</si>
  <si>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</si>
  <si>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</si>
  <si>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</si>
  <si>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</si>
  <si>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</si>
  <si>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</si>
  <si>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</si>
  <si>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</si>
  <si>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</si>
  <si>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</si>
  <si>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</si>
  <si>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</si>
  <si>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</si>
  <si>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</si>
  <si>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</si>
  <si>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</si>
  <si>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</si>
  <si>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</si>
  <si>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</si>
  <si>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</si>
  <si>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</si>
  <si>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</si>
  <si>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</si>
  <si>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</si>
  <si>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</si>
  <si>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</si>
  <si>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</si>
  <si>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</si>
  <si>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</si>
  <si>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</si>
  <si>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</si>
  <si>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</si>
  <si>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</si>
  <si>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</si>
  <si>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</si>
  <si>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</si>
  <si>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</si>
  <si>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</si>
  <si>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</si>
  <si>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</si>
  <si>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</si>
  <si>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</si>
  <si>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</si>
  <si>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</si>
  <si>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</si>
  <si>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</si>
  <si>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</si>
  <si>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</si>
  <si>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</si>
  <si>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</si>
  <si>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</si>
  <si>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</si>
  <si>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</si>
  <si>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</si>
  <si>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</si>
  <si>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</si>
  <si>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</si>
  <si>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</si>
  <si>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</si>
  <si>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</si>
  <si>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</si>
  <si>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</si>
  <si>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</si>
  <si>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</si>
  <si>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</si>
  <si>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</si>
  <si>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</si>
  <si>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</si>
  <si>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</si>
  <si>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</si>
  <si>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</si>
  <si>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</si>
  <si>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</si>
  <si>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</si>
  <si>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</si>
  <si>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</si>
  <si>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</si>
  <si>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</si>
  <si>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</si>
  <si>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</si>
  <si>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</si>
  <si>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</si>
  <si>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</si>
  <si>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</si>
  <si>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</si>
  <si>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</si>
  <si>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</si>
  <si>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</si>
  <si>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</si>
  <si>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</si>
  <si>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</si>
  <si>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</si>
  <si>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</si>
  <si>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</si>
  <si>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</si>
  <si>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</si>
  <si>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</si>
  <si>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</si>
  <si>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</si>
  <si>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</si>
  <si>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</si>
  <si>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</si>
  <si>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</si>
  <si>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</si>
  <si>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</si>
  <si>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</si>
  <si>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</si>
  <si>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</si>
  <si>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</si>
  <si>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</si>
  <si>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</si>
  <si>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</si>
  <si>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</si>
  <si>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</si>
  <si>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</si>
  <si>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</si>
  <si>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</si>
  <si>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</si>
  <si>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</si>
  <si>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</si>
  <si>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</si>
  <si>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</si>
  <si>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</si>
  <si>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</si>
  <si>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</si>
  <si>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</si>
  <si>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</si>
  <si>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</si>
  <si>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</si>
  <si>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</si>
  <si>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</si>
  <si>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</si>
  <si>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</si>
  <si>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</si>
  <si>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</si>
  <si>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</si>
  <si>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</si>
  <si>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</si>
  <si>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</si>
  <si>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</si>
  <si>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</si>
  <si>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</si>
  <si>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</si>
  <si>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</si>
  <si>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</si>
  <si>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</si>
  <si>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</si>
  <si>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</si>
  <si>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</si>
  <si>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</si>
  <si>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</si>
  <si>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</si>
  <si>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</si>
  <si>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</si>
  <si>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</si>
  <si>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</si>
  <si>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</si>
  <si>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</si>
  <si>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</si>
  <si>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</si>
  <si>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</si>
  <si>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</si>
  <si>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</si>
  <si>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</si>
  <si>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</si>
  <si>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</si>
  <si>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</si>
  <si>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</si>
  <si>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</si>
  <si>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</si>
  <si>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</si>
  <si>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</si>
  <si>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</si>
  <si>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</si>
  <si>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</si>
  <si>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</si>
  <si>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</si>
  <si>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</si>
  <si>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</si>
  <si>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</si>
  <si>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</si>
  <si>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</si>
  <si>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</si>
  <si>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</si>
  <si>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</si>
  <si>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</si>
  <si>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</si>
  <si>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</si>
  <si>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</si>
  <si>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</si>
  <si>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</si>
  <si>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</si>
  <si>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</si>
  <si>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</si>
  <si>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</si>
  <si>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</si>
  <si>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</si>
  <si>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</si>
  <si>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</si>
  <si>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</si>
  <si>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</si>
  <si>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</si>
  <si>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</si>
  <si>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</si>
  <si>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</si>
  <si>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</si>
  <si>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</si>
  <si>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</si>
  <si>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</si>
  <si>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</si>
  <si>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</si>
  <si>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</si>
  <si>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</si>
  <si>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</si>
  <si>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</si>
  <si>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</si>
  <si>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</si>
  <si>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</si>
  <si>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</si>
  <si>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</si>
  <si>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</si>
  <si>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</si>
  <si>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</si>
  <si>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</si>
  <si>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</si>
  <si>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</si>
  <si>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</si>
  <si>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</si>
  <si>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</si>
  <si>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</si>
  <si>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</si>
  <si>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</si>
  <si>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</si>
  <si>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</si>
  <si>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</si>
  <si>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</si>
  <si>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</si>
  <si>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</si>
  <si>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</si>
  <si>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</si>
  <si>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</si>
  <si>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</si>
  <si>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</si>
  <si>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</si>
  <si>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</si>
  <si>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</si>
  <si>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</si>
  <si>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</si>
  <si>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</si>
  <si>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</si>
  <si>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</si>
  <si>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</si>
  <si>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</si>
  <si>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</si>
  <si>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</si>
  <si>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</si>
  <si>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</si>
  <si>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</si>
  <si>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</si>
  <si>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</si>
  <si>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</si>
  <si>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</si>
  <si>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</si>
  <si>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</si>
  <si>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</si>
  <si>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</si>
  <si>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</si>
  <si>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</si>
  <si>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</si>
  <si>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</si>
  <si>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</si>
  <si>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</si>
  <si>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</si>
  <si>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</si>
  <si>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</si>
  <si>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</si>
  <si>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</si>
  <si>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</si>
  <si>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</si>
  <si>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</si>
  <si>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</si>
  <si>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</si>
  <si>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</si>
  <si>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</si>
  <si>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</si>
  <si>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</si>
  <si>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</si>
  <si>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</si>
  <si>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</si>
  <si>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</si>
  <si>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</si>
  <si>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</si>
  <si>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</si>
  <si>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</si>
  <si>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</si>
  <si>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</si>
  <si>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</si>
  <si>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</si>
  <si>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</si>
  <si>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</si>
  <si>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</si>
  <si>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</si>
  <si>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</si>
  <si>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</si>
  <si>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</si>
  <si>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</si>
  <si>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</si>
  <si>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</si>
  <si>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</si>
  <si>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</si>
  <si>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</si>
  <si>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</si>
  <si>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</si>
  <si>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</si>
  <si>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</si>
  <si>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</si>
  <si>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</si>
  <si>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</si>
  <si>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</si>
  <si>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</si>
  <si>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</si>
  <si>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</si>
  <si>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</si>
  <si>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</si>
  <si>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</si>
  <si>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</si>
  <si>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</si>
  <si>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</si>
  <si>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</si>
  <si>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</si>
  <si>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</si>
  <si>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</si>
  <si>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</si>
  <si>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</si>
  <si>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</si>
  <si>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</si>
  <si>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</si>
  <si>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</si>
  <si>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</si>
  <si>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</si>
  <si>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</si>
  <si>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</si>
  <si>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</si>
  <si>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</si>
  <si>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</si>
  <si>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</si>
  <si>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</si>
  <si>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</si>
  <si>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</si>
  <si>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</si>
  <si>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</si>
  <si>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</si>
  <si>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</si>
  <si>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</si>
  <si>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</si>
  <si>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</si>
  <si>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</si>
  <si>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</si>
  <si>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</si>
  <si>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</si>
  <si>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</si>
  <si>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</si>
  <si>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</si>
  <si>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</si>
  <si>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</si>
  <si>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</si>
  <si>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</si>
  <si>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</si>
  <si>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</si>
  <si>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</si>
  <si>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</si>
  <si>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</si>
  <si>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</si>
  <si>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</si>
  <si>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</si>
  <si>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</si>
  <si>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</si>
  <si>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</si>
  <si>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</si>
  <si>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</si>
  <si>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</si>
  <si>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</si>
  <si>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</si>
  <si>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</si>
  <si>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</si>
  <si>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</si>
  <si>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</si>
  <si>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</si>
  <si>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</si>
  <si>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</si>
  <si>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</si>
  <si>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</si>
  <si>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</si>
  <si>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</si>
  <si>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</si>
  <si>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</si>
  <si>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</si>
  <si>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</si>
  <si>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</si>
  <si>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</si>
  <si>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</si>
  <si>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</si>
  <si>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</si>
  <si>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</si>
  <si>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</si>
  <si>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</si>
  <si>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</si>
  <si>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</si>
  <si>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</si>
  <si>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</si>
  <si>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</si>
  <si>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</si>
  <si>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</si>
  <si>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</si>
  <si>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</si>
  <si>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</si>
  <si>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</si>
  <si>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</si>
  <si>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</si>
  <si>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</si>
  <si>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</si>
  <si>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</si>
  <si>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</si>
  <si>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</si>
  <si>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</si>
  <si>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</si>
  <si>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</si>
  <si>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</si>
  <si>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</si>
  <si>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</si>
  <si>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</si>
  <si>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</si>
  <si>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</si>
  <si>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</si>
  <si>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</si>
  <si>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</si>
  <si>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</si>
  <si>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</si>
  <si>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</si>
  <si>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</si>
  <si>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</si>
  <si>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</si>
  <si>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</si>
  <si>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</si>
  <si>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</si>
  <si>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</si>
  <si>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</si>
  <si>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</si>
  <si>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</si>
  <si>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</si>
  <si>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</si>
  <si>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</si>
  <si>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</si>
  <si>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</si>
  <si>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</si>
  <si>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</si>
  <si>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</si>
  <si>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</si>
  <si>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</si>
  <si>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</si>
  <si>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</si>
  <si>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</si>
  <si>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</si>
  <si>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</si>
  <si>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</si>
  <si>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</si>
  <si>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</si>
  <si>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</si>
  <si>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</si>
  <si>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</si>
  <si>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</si>
  <si>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</si>
  <si>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</si>
  <si>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</si>
  <si>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</si>
  <si>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</si>
  <si>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</si>
  <si>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</si>
  <si>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</si>
  <si>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</si>
  <si>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</si>
  <si>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</si>
  <si>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</si>
  <si>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</si>
  <si>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</si>
  <si>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</si>
  <si>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</si>
  <si>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</si>
  <si>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</si>
  <si>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</si>
  <si>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</si>
  <si>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</si>
  <si>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</si>
  <si>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</si>
  <si>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</si>
  <si>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</si>
  <si>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</si>
  <si>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</si>
  <si>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</si>
  <si>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</si>
  <si>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</si>
  <si>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</si>
  <si>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</si>
  <si>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</si>
  <si>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</si>
  <si>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</si>
  <si>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</si>
  <si>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</si>
  <si>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</si>
  <si>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</si>
  <si>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</si>
  <si>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</si>
  <si>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</si>
  <si>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</si>
  <si>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</si>
  <si>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</si>
  <si>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</si>
  <si>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</si>
  <si>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</si>
  <si>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</si>
  <si>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</si>
  <si>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</si>
  <si>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</si>
  <si>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</si>
  <si>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</si>
  <si>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</si>
  <si>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</si>
  <si>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</si>
  <si>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</si>
  <si>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</si>
  <si>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</si>
  <si>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</si>
  <si>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</si>
  <si>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</si>
  <si>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</si>
  <si>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</si>
  <si>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</si>
  <si>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</si>
  <si>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</si>
  <si>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</si>
  <si>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</si>
  <si>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</si>
  <si>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</si>
  <si>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</si>
  <si>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</si>
  <si>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</si>
  <si>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</si>
  <si>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</si>
  <si>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</si>
  <si>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</si>
  <si>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</si>
  <si>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</si>
  <si>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</si>
  <si>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</si>
  <si>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</si>
  <si>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</si>
  <si>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</si>
  <si>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</si>
  <si>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</si>
  <si>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</si>
  <si>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</si>
  <si>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</si>
  <si>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</si>
  <si>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</si>
  <si>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</si>
  <si>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</si>
  <si>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</si>
  <si>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</si>
  <si>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</si>
  <si>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</si>
  <si>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</si>
  <si>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</si>
  <si>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</si>
  <si>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</si>
  <si>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</si>
  <si>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</si>
  <si>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</si>
  <si>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</si>
  <si>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</si>
  <si>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</si>
  <si>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</si>
  <si>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</si>
  <si>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</si>
  <si>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</si>
  <si>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</si>
  <si>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</si>
  <si>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</si>
  <si>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</si>
  <si>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</si>
  <si>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</si>
  <si>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</si>
  <si>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</si>
  <si>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</si>
  <si>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</si>
  <si>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</si>
  <si>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</si>
  <si>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</si>
  <si>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</si>
  <si>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</si>
  <si>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</si>
  <si>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</si>
  <si>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</si>
  <si>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</si>
  <si>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</si>
  <si>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</si>
  <si>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</si>
  <si>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</si>
  <si>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</si>
  <si>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</si>
  <si>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</si>
  <si>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</si>
  <si>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</si>
  <si>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</si>
  <si>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</si>
  <si>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</si>
  <si>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</si>
  <si>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</si>
  <si>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</si>
  <si>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</si>
  <si>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</si>
  <si>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</si>
  <si>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</si>
  <si>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</si>
  <si>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</si>
  <si>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</si>
  <si>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</si>
  <si>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</si>
  <si>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</si>
  <si>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</si>
  <si>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</si>
  <si>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</si>
  <si>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</si>
  <si>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</si>
  <si>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</si>
  <si>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</si>
  <si>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</si>
  <si>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</si>
  <si>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</si>
  <si>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</si>
  <si>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</si>
  <si>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</si>
  <si>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</si>
  <si>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</si>
  <si>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</si>
  <si>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</si>
  <si>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</si>
  <si>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</si>
  <si>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</si>
  <si>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</si>
  <si>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</si>
  <si>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</si>
  <si>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</si>
  <si>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</si>
  <si>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</si>
  <si>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</si>
  <si>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</si>
  <si>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</si>
  <si>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</si>
  <si>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</si>
  <si>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</si>
  <si>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</si>
  <si>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</si>
  <si>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</si>
  <si>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</si>
  <si>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</si>
  <si>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</si>
  <si>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</si>
  <si>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</si>
  <si>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</si>
  <si>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</si>
  <si>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</si>
  <si>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</si>
  <si>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</si>
  <si>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</si>
  <si>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</si>
  <si>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</si>
  <si>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</si>
  <si>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</si>
  <si>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</si>
  <si>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</si>
  <si>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</si>
  <si>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</si>
  <si>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</si>
  <si>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</si>
  <si>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</si>
  <si>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</si>
  <si>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</si>
  <si>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</si>
  <si>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</si>
  <si>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</si>
  <si>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</si>
  <si>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</si>
  <si>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</si>
  <si>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</si>
  <si>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</si>
  <si>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</si>
  <si>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</si>
  <si>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</si>
  <si>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</si>
  <si>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</si>
  <si>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</si>
  <si>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</si>
  <si>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</si>
  <si>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</si>
  <si>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</si>
  <si>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</si>
  <si>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</si>
  <si>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</si>
  <si>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</si>
  <si>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</si>
  <si>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</si>
  <si>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</si>
  <si>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</si>
  <si>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</si>
  <si>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</si>
  <si>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</si>
  <si>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</si>
  <si>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</si>
  <si>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</si>
  <si>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</si>
  <si>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</si>
  <si>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</si>
  <si>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</si>
  <si>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</si>
  <si>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</si>
  <si>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</si>
  <si>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</si>
  <si>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</si>
  <si>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</si>
  <si>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</si>
  <si>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</si>
  <si>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</si>
  <si>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</si>
  <si>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</si>
  <si>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</si>
  <si>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</si>
  <si>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</si>
  <si>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</si>
  <si>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</si>
  <si>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</si>
  <si>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</si>
  <si>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</si>
  <si>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</si>
  <si>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</si>
  <si>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</si>
  <si>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</si>
  <si>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</si>
  <si>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</si>
  <si>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</si>
  <si>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</si>
  <si>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</si>
  <si>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</si>
  <si>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</si>
  <si>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</si>
  <si>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</si>
  <si>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</si>
  <si>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</si>
  <si>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</si>
  <si>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</si>
  <si>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</si>
  <si>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</si>
  <si>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</si>
  <si>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</si>
  <si>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</si>
  <si>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</si>
  <si>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</si>
  <si>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</si>
  <si>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</si>
  <si>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</si>
  <si>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</si>
  <si>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</si>
  <si>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</si>
  <si>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</si>
  <si>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</si>
  <si>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</si>
  <si>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</si>
  <si>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</si>
  <si>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</si>
  <si>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</si>
  <si>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</si>
  <si>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</si>
  <si>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</si>
  <si>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</si>
  <si>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</si>
  <si>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</si>
  <si>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</si>
  <si>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</si>
  <si>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</si>
  <si>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</si>
  <si>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</si>
  <si>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</si>
  <si>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</si>
  <si>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</si>
  <si>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</si>
  <si>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</si>
  <si>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</si>
  <si>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</si>
  <si>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</si>
  <si>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</si>
  <si>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</si>
  <si>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</si>
  <si>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</si>
  <si>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</si>
  <si>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</si>
  <si>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</si>
  <si>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</si>
  <si>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</si>
  <si>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</si>
  <si>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</si>
  <si>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</si>
  <si>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</si>
  <si>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</si>
  <si>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</si>
  <si>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</si>
  <si>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</si>
  <si>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</si>
  <si>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</si>
  <si>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</si>
  <si>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</si>
  <si>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</si>
  <si>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</si>
  <si>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</si>
  <si>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</si>
  <si>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</si>
  <si>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</si>
  <si>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</si>
  <si>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</si>
  <si>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</si>
  <si>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</si>
  <si>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</si>
  <si>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</si>
  <si>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</si>
  <si>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</si>
  <si>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</si>
  <si>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</si>
  <si>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</si>
  <si>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</si>
  <si>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</si>
  <si>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</si>
  <si>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</si>
  <si>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</si>
  <si>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</si>
  <si>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</si>
  <si>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</si>
  <si>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</si>
  <si>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</si>
  <si>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</si>
  <si>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</si>
  <si>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</si>
  <si>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</si>
  <si>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</si>
  <si>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</si>
  <si>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</si>
  <si>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</si>
  <si>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</si>
  <si>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</si>
  <si>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</si>
  <si>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</si>
  <si>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</si>
  <si>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</si>
  <si>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</si>
  <si>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</si>
  <si>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</si>
  <si>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</si>
  <si>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</si>
  <si>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</si>
  <si>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</si>
  <si>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</si>
  <si>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</si>
  <si>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</si>
  <si>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</si>
  <si>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</si>
  <si>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</si>
  <si>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</si>
  <si>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</si>
  <si>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</si>
  <si>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</si>
  <si>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</si>
  <si>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</si>
  <si>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</si>
  <si>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</si>
  <si>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</si>
  <si>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</si>
  <si>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</si>
  <si>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</si>
  <si>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</si>
  <si>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</si>
  <si>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</si>
  <si>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</si>
  <si>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</si>
  <si>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</si>
  <si>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</si>
  <si>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</si>
  <si>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</si>
  <si>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</si>
  <si>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</si>
  <si>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6 bultos</t>
  </si>
  <si>
    <t>1 galon</t>
  </si>
  <si>
    <t>frasco 500ml</t>
  </si>
  <si>
    <t>5 hojas</t>
  </si>
  <si>
    <t>souvenirs en cuero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</si>
</sst>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7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0</xdr:row>
      <xdr:rowOff>47625</xdr:rowOff>
    </xdr:from>
    <xdr:to>
      <xdr:col>23</xdr:col>
      <xdr:colOff>66674</xdr:colOff>
      <xdr:row>3</xdr:row>
      <xdr:rowOff>85724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76F0CEB-16E5-95B4-8497-5D5CCCA59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47625"/>
          <a:ext cx="1371599" cy="1028699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95250</xdr:colOff>
      <xdr:row>3</xdr:row>
      <xdr:rowOff>114299</xdr:rowOff>
    </xdr:from>
    <xdr:to>
      <xdr:col>22</xdr:col>
      <xdr:colOff>241300</xdr:colOff>
      <xdr:row>6</xdr:row>
      <xdr:rowOff>257174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0F4C211-4972-9C48-F9EB-D322FFE95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2425" y="1104899"/>
          <a:ext cx="1231900" cy="923925"/>
        </a:xfrm>
        <a:prstGeom prst="rect">
          <a:avLst/>
        </a:prstGeom>
      </xdr:spPr>
    </xdr:pic>
    <xdr:clientData/>
  </xdr:twoCellAnchor>
  <xdr:twoCellAnchor editAs="oneCell">
    <xdr:from>
      <xdr:col>23</xdr:col>
      <xdr:colOff>40480</xdr:colOff>
      <xdr:row>1</xdr:row>
      <xdr:rowOff>200024</xdr:rowOff>
    </xdr:from>
    <xdr:to>
      <xdr:col>24</xdr:col>
      <xdr:colOff>466724</xdr:colOff>
      <xdr:row>4</xdr:row>
      <xdr:rowOff>276224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20BEA14-D127-1518-92C2-F96906629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279730" y="581024"/>
          <a:ext cx="807244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5" sqref="D15:N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ST0207-1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45840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1386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1040733121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/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1393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0</v>
      </c>
      <c r="E5" s="387"/>
      <c r="F5" s="388"/>
      <c r="G5" s="364" t="s">
        <v>16</v>
      </c>
      <c r="H5" s="389"/>
      <c r="I5" s="389"/>
      <c r="J5" s="365"/>
      <c r="K5" s="328">
        <v>160</v>
      </c>
      <c r="L5" s="328"/>
      <c r="M5" s="329" t="s">
        <v>17</v>
      </c>
      <c r="N5" s="329"/>
      <c r="O5" s="325">
        <f>IFERROR(IF(K5=0,"",D5*K5),"")</f>
        <v>0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6.2500000000000003E-3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27</v>
      </c>
      <c r="B10" s="299"/>
      <c r="C10" s="300"/>
      <c r="D10" s="390" t="s">
        <v>28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kg</v>
      </c>
      <c r="P10" s="305"/>
      <c r="Q10" s="306">
        <v>2.5</v>
      </c>
      <c r="R10" s="307"/>
      <c r="S10" s="308">
        <f>IFERROR(IF(Q10="Unidad","1",(Q10*$K$5)),"")</f>
        <v>400</v>
      </c>
      <c r="T10" s="309"/>
      <c r="U10" s="310" t="s">
        <v>1389</v>
      </c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1215</v>
      </c>
      <c r="B11" s="299"/>
      <c r="C11" s="300"/>
      <c r="D11" s="390" t="s">
        <v>1233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19</v>
      </c>
      <c r="R11" s="307"/>
      <c r="S11" s="308">
        <f t="shared" ref="S11:S31" si="1">IFERROR(IF(Q11="Unidad","1",(Q11*$K$5)),"")</f>
        <v>3040</v>
      </c>
      <c r="T11" s="309"/>
      <c r="U11" s="310" t="s">
        <v>1390</v>
      </c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1215</v>
      </c>
      <c r="B12" s="299"/>
      <c r="C12" s="300"/>
      <c r="D12" s="394" t="s">
        <v>1278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gal</v>
      </c>
      <c r="P12" s="305"/>
      <c r="Q12" s="306">
        <v>19</v>
      </c>
      <c r="R12" s="307"/>
      <c r="S12" s="308">
        <f t="shared" si="1"/>
        <v>3040</v>
      </c>
      <c r="T12" s="309"/>
      <c r="U12" s="310" t="s">
        <v>1390</v>
      </c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233</v>
      </c>
      <c r="B13" s="299"/>
      <c r="C13" s="300"/>
      <c r="D13" s="390" t="s">
        <v>382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cm2</v>
      </c>
      <c r="P13" s="305"/>
      <c r="Q13" s="306">
        <v>5</v>
      </c>
      <c r="R13" s="307"/>
      <c r="S13" s="308">
        <f t="shared" si="1"/>
        <v>800</v>
      </c>
      <c r="T13" s="309"/>
      <c r="U13" s="310" t="s">
        <v>1392</v>
      </c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 t="s">
        <v>1215</v>
      </c>
      <c r="B14" s="299"/>
      <c r="C14" s="300"/>
      <c r="D14" s="390" t="s">
        <v>1289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ml</v>
      </c>
      <c r="P14" s="305"/>
      <c r="Q14" s="306">
        <v>0.2</v>
      </c>
      <c r="R14" s="307"/>
      <c r="S14" s="308">
        <f t="shared" si="1"/>
        <v>32</v>
      </c>
      <c r="T14" s="309"/>
      <c r="U14" s="310" t="s">
        <v>1391</v>
      </c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29</v>
      </c>
      <c r="B39" s="336"/>
      <c r="C39" s="336"/>
      <c r="D39" s="337" t="s">
        <v>30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32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33</v>
      </c>
      <c r="O44" s="345"/>
      <c r="P44" s="345"/>
      <c r="Q44" s="345"/>
      <c r="R44" s="342" t="s">
        <v>34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35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36</v>
      </c>
      <c r="O45" s="345"/>
      <c r="P45" s="345"/>
      <c r="Q45" s="345"/>
      <c r="R45" s="343" t="s">
        <v>37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38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27</v>
      </c>
      <c r="O46" s="345"/>
      <c r="P46" s="345"/>
      <c r="Q46" s="345"/>
      <c r="R46" s="344" t="s">
        <v>39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40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41</v>
      </c>
      <c r="O47" s="345"/>
      <c r="P47" s="345"/>
      <c r="Q47" s="345"/>
      <c r="R47" s="344" t="s">
        <v>42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43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44</v>
      </c>
      <c r="O48" s="345"/>
      <c r="P48" s="345"/>
      <c r="Q48" s="345"/>
      <c r="R48" s="344" t="s">
        <v>45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46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47</v>
      </c>
      <c r="O49" s="346"/>
      <c r="P49" s="346"/>
      <c r="Q49" s="346"/>
      <c r="R49" s="343" t="s">
        <v>48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49</v>
      </c>
      <c r="O50" s="345"/>
      <c r="P50" s="345"/>
      <c r="Q50" s="345"/>
      <c r="R50" s="344" t="s">
        <v>50</v>
      </c>
      <c r="S50" s="344"/>
      <c r="T50" s="344"/>
      <c r="U50" s="344"/>
      <c r="V50" s="344"/>
      <c r="W50" s="344"/>
      <c r="X50" s="344"/>
    </row>
    <row r="51" spans="1:24" ht="15.75">
      <c r="N51" s="345" t="s">
        <v>51</v>
      </c>
      <c r="O51" s="345"/>
      <c r="P51" s="345"/>
      <c r="Q51" s="345"/>
      <c r="R51" s="344" t="s">
        <v>52</v>
      </c>
      <c r="S51" s="344"/>
      <c r="T51" s="344"/>
      <c r="U51" s="344"/>
      <c r="V51" s="344"/>
      <c r="W51" s="344"/>
      <c r="X51" s="344"/>
    </row>
    <row r="52" spans="1:24" ht="15.75">
      <c r="N52" s="345" t="s">
        <v>53</v>
      </c>
      <c r="O52" s="345"/>
      <c r="P52" s="345"/>
      <c r="Q52" s="345"/>
      <c r="R52" s="344" t="s">
        <v>42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J17" sqref="J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54</v>
      </c>
      <c r="E1" s="457"/>
      <c r="F1" s="457"/>
      <c r="G1" s="457"/>
      <c r="H1" s="457"/>
      <c r="I1" s="458"/>
      <c r="J1" s="485" t="s">
        <v>55</v>
      </c>
      <c r="K1" s="486"/>
      <c r="L1" s="486"/>
      <c r="M1" s="487"/>
      <c r="N1" s="488">
        <f>IF('Soli_citud '!O1="","",'Soli_citud '!O1)</f>
        <v>45840</v>
      </c>
      <c r="O1" s="489"/>
      <c r="P1" s="427" t="s">
        <v>56</v>
      </c>
      <c r="Q1" s="428"/>
      <c r="R1" s="433" t="str">
        <f>IF('Soli_citud '!D4="","",'Soli_citud '!D4)</f>
        <v>souvenirs en cuero</v>
      </c>
      <c r="S1" s="434"/>
      <c r="Z1" t="s">
        <v>57</v>
      </c>
      <c r="AA1" s="241" t="s">
        <v>57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58</v>
      </c>
      <c r="K2" s="491"/>
      <c r="L2" s="491"/>
      <c r="M2" s="492"/>
      <c r="N2" s="493" t="str">
        <f>'Soli_citud '!F1</f>
        <v>ST0207-1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59</v>
      </c>
      <c r="K3" s="494"/>
      <c r="L3" s="494"/>
      <c r="M3" s="494"/>
      <c r="N3" s="495" t="str">
        <f>IF('Soli_citud '!O3="","",'Soli_citud '!O3)</f>
        <v/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60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61</v>
      </c>
      <c r="C6" s="446"/>
      <c r="D6" s="447"/>
      <c r="E6" s="451" t="s">
        <v>62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 t="str">
        <f>IF('Soli_citud '!D5&lt;= 0,"",'Soli_citud '!D5)</f>
        <v/>
      </c>
      <c r="C8" s="420"/>
      <c r="D8" s="421"/>
      <c r="E8" s="422" t="s">
        <v>63</v>
      </c>
      <c r="F8" s="423"/>
      <c r="G8" s="423"/>
      <c r="H8" s="423"/>
      <c r="I8" s="424"/>
      <c r="J8" s="425" t="str">
        <f>IF('Soli_citud '!E2="","",'Soli_citud '!E2)</f>
        <v>Sebastian Tabares Osuna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64</v>
      </c>
      <c r="C9" s="466"/>
      <c r="D9" s="469"/>
      <c r="E9" s="470" t="s">
        <v>65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66</v>
      </c>
      <c r="K10" s="477"/>
      <c r="L10" s="478"/>
      <c r="M10" s="250">
        <f>'[1]Soli_citud '!K5</f>
        <v>1</v>
      </c>
      <c r="N10" s="440" t="s">
        <v>67</v>
      </c>
      <c r="O10" s="441"/>
      <c r="P10" s="431"/>
      <c r="Q10" s="432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10" t="s">
        <v>71</v>
      </c>
      <c r="D11" s="411"/>
      <c r="E11" s="411"/>
      <c r="F11" s="41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13" t="s">
        <v>25</v>
      </c>
      <c r="M11" s="414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ST0207-1</v>
      </c>
      <c r="C12" s="407" t="str">
        <f>IFERROR(IF('Soli_citud '!D10="","",'Soli_citud '!D10),"")</f>
        <v>Retal</v>
      </c>
      <c r="D12" s="407"/>
      <c r="E12" s="407"/>
      <c r="F12" s="407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400</v>
      </c>
      <c r="I12" s="214">
        <v>45842</v>
      </c>
      <c r="J12" s="215">
        <v>400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ST0207-1</v>
      </c>
      <c r="C13" s="407" t="str">
        <f>IFERROR(IF('Soli_citud '!D11="","",'Soli_citud '!D11),"")</f>
        <v>Cemento de contacto</v>
      </c>
      <c r="D13" s="407"/>
      <c r="E13" s="407"/>
      <c r="F13" s="407"/>
      <c r="G13" s="213" t="str">
        <f>IF('Soli_citud '!O11="","",'Soli_citud '!O11)</f>
        <v>gal</v>
      </c>
      <c r="H13" s="213" cm="1">
        <f t="array" ref="H13">_xlfn.IFS('Soli_citud '!S11="","",'Soli_citud '!S11&lt;=0,"",'Soli_citud '!S11&gt;0,'Soli_citud '!S11)</f>
        <v>3040</v>
      </c>
      <c r="I13" s="214">
        <v>45842</v>
      </c>
      <c r="J13" s="216">
        <v>3040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ST0207-1</v>
      </c>
      <c r="C14" s="407" t="str">
        <f>IFERROR(IF('Soli_citud '!D12="","",'Soli_citud '!D12),"")</f>
        <v>Solución de caucho INDUPEG</v>
      </c>
      <c r="D14" s="407"/>
      <c r="E14" s="407"/>
      <c r="F14" s="407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3040</v>
      </c>
      <c r="I14" s="214">
        <v>45842</v>
      </c>
      <c r="J14" s="216">
        <v>3040</v>
      </c>
      <c r="K14" s="197" t="str" cm="1">
        <f t="array" ref="K14">IFERROR(_xlfn.IFS(H14="","",J14=H14,"Cumplido",J14&lt;H14,H14-J14,J14&gt;H14,"Revisar"),"")</f>
        <v>Cumplido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ST0207-1</v>
      </c>
      <c r="C15" s="407" t="str">
        <f>IFERROR(IF('Soli_citud '!D13="","",'Soli_citud '!D13),"")</f>
        <v>ODENA 1,1 mm</v>
      </c>
      <c r="D15" s="407"/>
      <c r="E15" s="407"/>
      <c r="F15" s="407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800</v>
      </c>
      <c r="I15" s="214">
        <v>45842</v>
      </c>
      <c r="J15" s="216">
        <v>800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ST0207-1</v>
      </c>
      <c r="C16" s="407" t="str">
        <f>IFERROR(IF('Soli_citud '!D14="","",'Soli_citud '!D14),"")</f>
        <v>Tinta marroquinera café</v>
      </c>
      <c r="D16" s="407"/>
      <c r="E16" s="407"/>
      <c r="F16" s="407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32</v>
      </c>
      <c r="I16" s="214">
        <v>45842</v>
      </c>
      <c r="J16" s="216">
        <v>32</v>
      </c>
      <c r="K16" s="197" t="str" cm="1">
        <f t="array" ref="K16">IFERROR(_xlfn.IFS(H16="","",J16=H16,"Cumplido",J16&lt;H16,H16-J16,J16&gt;H16,"Revisar"),"")</f>
        <v>Cumplido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/>
      </c>
      <c r="D17" s="407"/>
      <c r="E17" s="407"/>
      <c r="F17" s="407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83</v>
      </c>
      <c r="F1" s="505"/>
      <c r="H1" s="278" t="s">
        <v>84</v>
      </c>
      <c r="Z1" s="241" t="s">
        <v>85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503"/>
      <c r="D6" s="504"/>
      <c r="H6" s="501" t="s">
        <v>87</v>
      </c>
      <c r="I6" s="501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2025-07-04T15:03:16Z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