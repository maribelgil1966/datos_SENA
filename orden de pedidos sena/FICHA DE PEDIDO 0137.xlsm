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MAYO/"/>
    </mc:Choice>
  </mc:AlternateContent>
  <xr:revisionPtr revIDLastSave="30" documentId="8_{66F6988E-CC2A-4FB8-A9AC-78B3E60B35FD}" xr6:coauthVersionLast="47" xr6:coauthVersionMax="47" xr10:uidLastSave="{BC7B82AF-215C-40E6-BA2C-E037BF61282A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<sst xmlns="http://schemas.openxmlformats.org/spreadsheetml/2006/main" count="4120" uniqueCount="1156">
  <si>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</si>
  <si>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</si>
  <si>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</si>
  <si>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</si>
  <si>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</si>
  <si>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</si>
  <si>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</si>
  <si>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</si>
  <si>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</si>
  <si>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</si>
  <si>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</si>
  <si>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</si>
  <si>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>Bolso Pinza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</si>
  <si>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</si>
  <si>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</si>
  <si>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</si>
  <si>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</si>
  <si>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</si>
  <si>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</si>
  <si>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</si>
  <si>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</si>
  <si>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</si>
  <si>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</si>
  <si>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</si>
  <si>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</si>
  <si>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</si>
  <si>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</si>
  <si>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</si>
  <si>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SEDA 30-100 O SEDA TIFON</t>
  </si>
  <si>
    <t>SECUNDARIO_MEDULAR</t>
  </si>
  <si>
    <t>ODENA 0,5 mm</t>
  </si>
  <si>
    <t>HERRAJES</t>
  </si>
  <si>
    <t>CUADRANTE DE LUJO 1 1/4"  X 1/2"ORO CUADRADO 5MM</t>
  </si>
  <si>
    <t xml:space="preserve">DESLIZADORES (ZAPATOS PARA BOLSOS)REDONDO  LATÓN ORO  25 MM </t>
  </si>
  <si>
    <t>CREMALLERA POLIÉSTER #6</t>
  </si>
  <si>
    <t>LLAVE METÁLICA DE LUJO DESLIZADOR   #6 PARA CREMALLERA - ORO</t>
  </si>
  <si>
    <t>REMACHES  CABEZA PLANA ORO 12 MM</t>
  </si>
  <si>
    <t>MOSQUETÓN PAVONADO 3/8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</si>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</sst>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207066</xdr:colOff>
      <xdr:row>0</xdr:row>
      <xdr:rowOff>74545</xdr:rowOff>
    </xdr:from>
    <xdr:to>
      <xdr:col>24</xdr:col>
      <xdr:colOff>207066</xdr:colOff>
      <xdr:row>6</xdr:row>
      <xdr:rowOff>270207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41E9A01-3EEE-F34D-651A-C4933A720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0109" y="74545"/>
          <a:ext cx="2501348" cy="1968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AM2604-1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45042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71765586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2689307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38246.234716666673</v>
      </c>
      <c r="E5" s="366"/>
      <c r="F5" s="367"/>
      <c r="G5" s="351" t="s">
        <v>16</v>
      </c>
      <c r="H5" s="368"/>
      <c r="I5" s="368"/>
      <c r="J5" s="352"/>
      <c r="K5" s="326">
        <v>14</v>
      </c>
      <c r="L5" s="326"/>
      <c r="M5" s="327" t="s">
        <v>17</v>
      </c>
      <c r="N5" s="327"/>
      <c r="O5" s="316">
        <f ca="1">IFERROR(IF(K5=0,"",D5*K5),"")</f>
        <v>535447.2860333334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7.1428571428571425E-2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cm2</v>
      </c>
      <c r="P10" s="285"/>
      <c r="Q10" s="286">
        <v>6989.88</v>
      </c>
      <c r="R10" s="287"/>
      <c r="S10" s="288">
        <f>IFERROR(IF(Q10="Unidad","1",(Q10*$K$5)),"")</f>
        <v>97858.32</v>
      </c>
      <c r="T10" s="289"/>
      <c r="U10" s="276"/>
      <c r="V10" s="372"/>
      <c r="W10" s="277">
        <f ca="1">IFERROR(IF(D10="","",INDEX(Tabla_Completa,MATCH('Soli_citud '!D10,Materiales,0),7)*S10),"")</f>
        <v>273304.30800000002</v>
      </c>
      <c r="X10" s="277"/>
      <c r="Y10" s="277"/>
      <c r="Z10" s="37"/>
    </row>
    <row r="11" spans="1:28" ht="17.25" customHeight="1">
      <c r="A11" s="278" t="s">
        <v>26</v>
      </c>
      <c r="B11" s="279"/>
      <c r="C11" s="280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6181.11</v>
      </c>
      <c r="R11" s="287"/>
      <c r="S11" s="288">
        <f t="shared" ref="S11:S31" si="1">IFERROR(IF(Q11="Unidad","1",(Q11*$K$5)),"")</f>
        <v>86535.54</v>
      </c>
      <c r="T11" s="289"/>
      <c r="U11" s="276"/>
      <c r="V11" s="276"/>
      <c r="W11" s="277">
        <f ca="1">IFERROR(IF(D11="","",INDEX(Tabla_Completa,MATCH('Soli_citud '!D11,Materiales,0),7)*S11),"")</f>
        <v>43082.336699999993</v>
      </c>
      <c r="X11" s="277"/>
      <c r="Y11" s="277"/>
    </row>
    <row r="12" spans="1:28" ht="15.75" customHeight="1">
      <c r="A12" s="278" t="s">
        <v>29</v>
      </c>
      <c r="B12" s="279"/>
      <c r="C12" s="280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772.86</v>
      </c>
      <c r="R12" s="287"/>
      <c r="S12" s="288">
        <f t="shared" si="1"/>
        <v>10820.04</v>
      </c>
      <c r="T12" s="289"/>
      <c r="U12" s="276"/>
      <c r="V12" s="276"/>
      <c r="W12" s="277">
        <f ca="1">IFERROR(IF(D12="","",INDEX(Tabla_Completa,MATCH('Soli_citud '!D12,Materiales,0),7)*S12),"")</f>
        <v>5770.6880000000001</v>
      </c>
      <c r="X12" s="277"/>
      <c r="Y12" s="277"/>
    </row>
    <row r="13" spans="1:28" ht="15.75" customHeight="1">
      <c r="A13" s="278" t="s">
        <v>31</v>
      </c>
      <c r="B13" s="279"/>
      <c r="C13" s="280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U</v>
      </c>
      <c r="P13" s="285"/>
      <c r="Q13" s="286">
        <v>0</v>
      </c>
      <c r="R13" s="287"/>
      <c r="S13" s="288">
        <f t="shared" si="1"/>
        <v>0</v>
      </c>
      <c r="T13" s="289"/>
      <c r="U13" s="276"/>
      <c r="V13" s="276"/>
      <c r="W13" s="277">
        <f ca="1">IFERROR(IF(D13="","",INDEX(Tabla_Completa,MATCH('Soli_citud '!D13,Materiales,0),7)*S13),"")</f>
        <v>0</v>
      </c>
      <c r="X13" s="277"/>
      <c r="Y13" s="277"/>
    </row>
    <row r="14" spans="1:28" ht="17.25" customHeight="1">
      <c r="A14" s="278" t="s">
        <v>31</v>
      </c>
      <c r="B14" s="279"/>
      <c r="C14" s="280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U</v>
      </c>
      <c r="P14" s="285"/>
      <c r="Q14" s="286">
        <v>5</v>
      </c>
      <c r="R14" s="287"/>
      <c r="S14" s="288">
        <f t="shared" si="1"/>
        <v>70</v>
      </c>
      <c r="T14" s="289"/>
      <c r="U14" s="276"/>
      <c r="V14" s="276"/>
      <c r="W14" s="277">
        <f ca="1">IFERROR(IF(D14="","",INDEX(Tabla_Completa,MATCH('Soli_citud '!D14,Materiales,0),7)*S14),"")</f>
        <v>170848.30000000002</v>
      </c>
      <c r="X14" s="277"/>
      <c r="Y14" s="277"/>
    </row>
    <row r="15" spans="1:28" ht="15.75" customHeight="1">
      <c r="A15" s="278" t="s">
        <v>29</v>
      </c>
      <c r="B15" s="279"/>
      <c r="C15" s="280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cm</v>
      </c>
      <c r="P15" s="285"/>
      <c r="Q15" s="286">
        <v>40</v>
      </c>
      <c r="R15" s="287"/>
      <c r="S15" s="288">
        <f t="shared" si="1"/>
        <v>560</v>
      </c>
      <c r="T15" s="289"/>
      <c r="U15" s="276"/>
      <c r="V15" s="276"/>
      <c r="W15" s="277">
        <f ca="1">IFERROR(IF(D15="","",INDEX(Tabla_Completa,MATCH('Soli_citud '!D15,Materiales,0),7)*S15),"")</f>
        <v>6848.8</v>
      </c>
      <c r="X15" s="277"/>
      <c r="Y15" s="277"/>
    </row>
    <row r="16" spans="1:28" ht="15.75" customHeight="1">
      <c r="A16" s="278" t="s">
        <v>31</v>
      </c>
      <c r="B16" s="279"/>
      <c r="C16" s="280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U</v>
      </c>
      <c r="P16" s="285"/>
      <c r="Q16" s="286">
        <v>1</v>
      </c>
      <c r="R16" s="287"/>
      <c r="S16" s="288">
        <f t="shared" si="1"/>
        <v>14</v>
      </c>
      <c r="T16" s="289"/>
      <c r="U16" s="276"/>
      <c r="V16" s="276"/>
      <c r="W16" s="277">
        <f ca="1">IFERROR(IF(D16="","",INDEX(Tabla_Completa,MATCH('Soli_citud '!D16,Materiales,0),7)*S16),"")</f>
        <v>17733.333333333336</v>
      </c>
      <c r="X16" s="277"/>
      <c r="Y16" s="277"/>
    </row>
    <row r="17" spans="1:25" ht="15.75" customHeight="1">
      <c r="A17" s="278" t="s">
        <v>31</v>
      </c>
      <c r="B17" s="279"/>
      <c r="C17" s="280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>U</v>
      </c>
      <c r="P17" s="285"/>
      <c r="Q17" s="286">
        <v>0</v>
      </c>
      <c r="R17" s="287"/>
      <c r="S17" s="288">
        <f t="shared" si="1"/>
        <v>0</v>
      </c>
      <c r="T17" s="289"/>
      <c r="U17" s="276"/>
      <c r="V17" s="276"/>
      <c r="W17" s="277">
        <f ca="1">IFERROR(IF(D17="","",INDEX(Tabla_Completa,MATCH('Soli_citud '!D17,Materiales,0),7)*S17),"")</f>
        <v>0</v>
      </c>
      <c r="X17" s="277"/>
      <c r="Y17" s="277"/>
    </row>
    <row r="18" spans="1:25" ht="15.75" customHeight="1">
      <c r="A18" s="278" t="s">
        <v>31</v>
      </c>
      <c r="B18" s="279"/>
      <c r="C18" s="280"/>
      <c r="D18" s="369" t="s">
        <v>37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>U</v>
      </c>
      <c r="P18" s="285"/>
      <c r="Q18" s="286">
        <v>1</v>
      </c>
      <c r="R18" s="287"/>
      <c r="S18" s="288">
        <f t="shared" si="1"/>
        <v>14</v>
      </c>
      <c r="T18" s="289"/>
      <c r="U18" s="276"/>
      <c r="V18" s="276"/>
      <c r="W18" s="277">
        <f ca="1">IFERROR(IF(D18="","",INDEX(Tabla_Completa,MATCH('Soli_citud '!D18,Materiales,0),7)*S18),"")</f>
        <v>17859.52</v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38</v>
      </c>
      <c r="B39" s="290"/>
      <c r="C39" s="290"/>
      <c r="D39" s="291" t="s">
        <v>39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41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42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43</v>
      </c>
      <c r="O44" s="303"/>
      <c r="P44" s="303"/>
      <c r="Q44" s="303"/>
      <c r="R44" s="298" t="s">
        <v>44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45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46</v>
      </c>
      <c r="O45" s="303"/>
      <c r="P45" s="303"/>
      <c r="Q45" s="303"/>
      <c r="R45" s="299" t="s">
        <v>47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48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49</v>
      </c>
      <c r="O46" s="303"/>
      <c r="P46" s="303"/>
      <c r="Q46" s="303"/>
      <c r="R46" s="300" t="s">
        <v>50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51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31</v>
      </c>
      <c r="O47" s="303"/>
      <c r="P47" s="303"/>
      <c r="Q47" s="303"/>
      <c r="R47" s="300" t="s">
        <v>52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53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54</v>
      </c>
      <c r="O48" s="303"/>
      <c r="P48" s="303"/>
      <c r="Q48" s="303"/>
      <c r="R48" s="300" t="s">
        <v>55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56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57</v>
      </c>
      <c r="O49" s="304"/>
      <c r="P49" s="304"/>
      <c r="Q49" s="304"/>
      <c r="R49" s="299" t="s">
        <v>58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59</v>
      </c>
      <c r="O50" s="303"/>
      <c r="P50" s="303"/>
      <c r="Q50" s="303"/>
      <c r="R50" s="300" t="s">
        <v>60</v>
      </c>
      <c r="S50" s="300"/>
      <c r="T50" s="300"/>
      <c r="U50" s="300"/>
      <c r="V50" s="300"/>
      <c r="W50" s="300"/>
      <c r="X50" s="300"/>
    </row>
    <row r="51" spans="1:24" ht="15.75">
      <c r="N51" s="303" t="s">
        <v>26</v>
      </c>
      <c r="O51" s="303"/>
      <c r="P51" s="303"/>
      <c r="Q51" s="303"/>
      <c r="R51" s="300" t="s">
        <v>61</v>
      </c>
      <c r="S51" s="300"/>
      <c r="T51" s="300"/>
      <c r="U51" s="300"/>
      <c r="V51" s="300"/>
      <c r="W51" s="300"/>
      <c r="X51" s="300"/>
    </row>
    <row r="52" spans="1:24" ht="15.75">
      <c r="N52" s="303" t="s">
        <v>62</v>
      </c>
      <c r="O52" s="303"/>
      <c r="P52" s="303"/>
      <c r="Q52" s="303"/>
      <c r="R52" s="300" t="s">
        <v>52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J18" sqref="J18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63</v>
      </c>
      <c r="D1" s="383"/>
      <c r="E1" s="383"/>
      <c r="F1" s="383"/>
      <c r="G1" s="383"/>
      <c r="H1" s="383"/>
      <c r="I1" s="389" t="s">
        <v>64</v>
      </c>
      <c r="J1" s="390"/>
      <c r="K1" s="390"/>
      <c r="L1" s="391"/>
      <c r="M1" s="384">
        <f>IF('Soli_citud '!O1="","",'Soli_citud '!O1)</f>
        <v>45042</v>
      </c>
      <c r="N1" s="385"/>
      <c r="O1" s="428" t="s">
        <v>65</v>
      </c>
      <c r="P1" s="429"/>
      <c r="Q1" s="424" t="str">
        <f>IF('Soli_citud '!D4="","",'Soli_citud '!D4)</f>
        <v>Bolso Pinza</v>
      </c>
      <c r="R1" s="425"/>
      <c r="Z1" s="271" t="s">
        <v>66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67</v>
      </c>
      <c r="J2" s="393"/>
      <c r="K2" s="393"/>
      <c r="L2" s="394"/>
      <c r="M2" s="386" t="str">
        <f>'Soli_citud '!F1</f>
        <v>AM2604-1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68</v>
      </c>
      <c r="J3" s="388"/>
      <c r="K3" s="388"/>
      <c r="L3" s="388"/>
      <c r="M3" s="395">
        <f>IF('Soli_citud '!O3="","",'Soli_citud '!O3)</f>
        <v>2689307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69</v>
      </c>
      <c r="J4" s="377"/>
      <c r="K4" s="377"/>
      <c r="L4" s="378" t="str">
        <f>IF('Soli_citud '!O4="","",'Soli_citud '!O4)</f>
        <v>Marroquinería Producción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70</v>
      </c>
      <c r="B6" s="380"/>
      <c r="C6" s="380"/>
      <c r="D6" s="397" t="s">
        <v>71</v>
      </c>
      <c r="E6" s="397"/>
      <c r="F6" s="397"/>
      <c r="G6" s="397"/>
      <c r="H6" s="398"/>
      <c r="I6" s="420" t="s">
        <v>72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38246.234716666673</v>
      </c>
      <c r="B8" s="381"/>
      <c r="C8" s="381"/>
      <c r="D8" s="399" t="s">
        <v>73</v>
      </c>
      <c r="E8" s="400"/>
      <c r="F8" s="400"/>
      <c r="G8" s="400"/>
      <c r="H8" s="401"/>
      <c r="I8" s="422" t="str">
        <f>IF('Soli_citud '!E2="","",'Soli_citud '!E2)</f>
        <v>Alexander Marulanda Bedoya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74</v>
      </c>
      <c r="B9" s="406"/>
      <c r="C9" s="402"/>
      <c r="D9" s="408" t="s">
        <v>75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76</v>
      </c>
      <c r="J10" s="440"/>
      <c r="K10" s="441"/>
      <c r="L10" s="259">
        <f>'Soli_citud '!K5</f>
        <v>14</v>
      </c>
      <c r="M10" s="437" t="s">
        <v>77</v>
      </c>
      <c r="N10" s="438"/>
      <c r="O10" s="432"/>
      <c r="P10" s="43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03" t="s">
        <v>80</v>
      </c>
      <c r="C11" s="404"/>
      <c r="D11" s="404"/>
      <c r="E11" s="405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87" t="s">
        <v>24</v>
      </c>
      <c r="L11" s="439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376" t="str">
        <f>IFERROR(IF('Soli_citud '!D10="","",'Soli_citud '!D10),"")</f>
        <v>SINTETICO PVC</v>
      </c>
      <c r="C12" s="376"/>
      <c r="D12" s="376"/>
      <c r="E12" s="376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97858.32</v>
      </c>
      <c r="H12" s="240"/>
      <c r="I12" s="242">
        <v>6989.88</v>
      </c>
      <c r="J12" s="215"/>
      <c r="K12" s="374"/>
      <c r="L12" s="375"/>
      <c r="M12" s="241">
        <v>140</v>
      </c>
      <c r="N12" s="216">
        <f t="shared" ref="N12:N30" si="0">IFERROR(G12/M12,"")</f>
        <v>698.98800000000006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SEDA 30-100 O SEDA TIFON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86535.54</v>
      </c>
      <c r="H13" s="240"/>
      <c r="I13" s="242">
        <v>6181.11</v>
      </c>
      <c r="J13" s="215"/>
      <c r="K13" s="374"/>
      <c r="L13" s="375"/>
      <c r="M13" s="241">
        <v>140</v>
      </c>
      <c r="N13" s="216">
        <f t="shared" si="0"/>
        <v>618.11099999999999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ODENA 0,5 mm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10820.04</v>
      </c>
      <c r="H14" s="243"/>
      <c r="I14" s="242">
        <v>772.86</v>
      </c>
      <c r="J14" s="215"/>
      <c r="K14" s="374"/>
      <c r="L14" s="375"/>
      <c r="M14" s="241">
        <v>140</v>
      </c>
      <c r="N14" s="216">
        <f t="shared" si="0"/>
        <v>77.286000000000001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CUADRANTE DE LUJO 1 1/4"  X 1/2"ORO CUADRADO 5MM</v>
      </c>
      <c r="C15" s="376"/>
      <c r="D15" s="376"/>
      <c r="E15" s="376"/>
      <c r="F15" s="239" t="str">
        <f ca="1">IF('Soli_citud '!O13="","",'Soli_citud '!O13)</f>
        <v>U</v>
      </c>
      <c r="G15" s="239" t="str" cm="1">
        <f t="array" ref="G15">_xlfn.IFS('Soli_citud '!S13="","",'Soli_citud '!S13&lt;=0,"",'Soli_citud '!S13&gt;0,'Soli_citud '!S13)</f>
        <v/>
      </c>
      <c r="H15" s="243"/>
      <c r="I15" s="242">
        <v>0</v>
      </c>
      <c r="J15" s="215"/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 xml:space="preserve">DESLIZADORES (ZAPATOS PARA BOLSOS)REDONDO  LATÓN ORO  25 MM </v>
      </c>
      <c r="C16" s="376"/>
      <c r="D16" s="376"/>
      <c r="E16" s="376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70</v>
      </c>
      <c r="H16" s="243"/>
      <c r="I16" s="242">
        <v>5</v>
      </c>
      <c r="J16" s="215"/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CREMALLERA POLIÉSTER #6</v>
      </c>
      <c r="C17" s="376"/>
      <c r="D17" s="376"/>
      <c r="E17" s="376"/>
      <c r="F17" s="239" t="str">
        <f ca="1">IF('Soli_citud '!O15="","",'Soli_citud '!O15)</f>
        <v>cm</v>
      </c>
      <c r="G17" s="239" cm="1">
        <f t="array" ref="G17">_xlfn.IFS('Soli_citud '!S15="","",'Soli_citud '!S15&lt;=0,"",'Soli_citud '!S15&gt;0,'Soli_citud '!S15)</f>
        <v>560</v>
      </c>
      <c r="H17" s="243"/>
      <c r="I17" s="242">
        <v>40</v>
      </c>
      <c r="J17" s="215"/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LLAVE METÁLICA DE LUJO DESLIZADOR   #6 PARA CREMALLERA - ORO</v>
      </c>
      <c r="C18" s="376"/>
      <c r="D18" s="376"/>
      <c r="E18" s="376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14</v>
      </c>
      <c r="H18" s="243"/>
      <c r="I18" s="242">
        <v>1</v>
      </c>
      <c r="J18" s="215"/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REMACHES  CABEZA PLANA ORO 12 MM</v>
      </c>
      <c r="C19" s="376"/>
      <c r="D19" s="376"/>
      <c r="E19" s="376"/>
      <c r="F19" s="239" t="str">
        <f ca="1">IF('Soli_citud '!O17="","",'Soli_citud '!O17)</f>
        <v>U</v>
      </c>
      <c r="G19" s="239" t="str" cm="1">
        <f t="array" ref="G19">_xlfn.IFS('Soli_citud '!S17="","",'Soli_citud '!S17&lt;=0,"",'Soli_citud '!S17&gt;0,'Soli_citud '!S17)</f>
        <v/>
      </c>
      <c r="H19" s="243"/>
      <c r="I19" s="242">
        <v>0</v>
      </c>
      <c r="J19" s="215"/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MOSQUETÓN PAVONADO 3/8</v>
      </c>
      <c r="C20" s="376"/>
      <c r="D20" s="376"/>
      <c r="E20" s="376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14</v>
      </c>
      <c r="H20" s="243"/>
      <c r="I20" s="242">
        <v>1</v>
      </c>
      <c r="J20" s="215"/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92</v>
      </c>
      <c r="F1" s="450"/>
      <c r="Z1" s="271" t="s">
        <v>66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8"/>
      <c r="D6" s="449"/>
      <c r="H6" s="446" t="s">
        <v>94</v>
      </c>
      <c r="I6" s="446"/>
    </row>
    <row r="7" spans="1:26" ht="47.25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43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43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43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43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43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43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43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43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43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43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43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43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29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29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29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29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29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29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29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29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29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29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29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29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29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29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29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29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29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29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29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29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29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29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29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29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29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29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29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29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29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29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29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29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29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34</v>
      </c>
      <c r="C195" s="229" t="s">
        <v>29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29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29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29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29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29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29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29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29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29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29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29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29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29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29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287</v>
      </c>
      <c r="C210" s="229" t="s">
        <v>29</v>
      </c>
      <c r="D210" s="155" t="s">
        <v>240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29</v>
      </c>
      <c r="D211" s="51" t="s">
        <v>239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29</v>
      </c>
      <c r="D212" s="155" t="s">
        <v>111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291</v>
      </c>
      <c r="C213" s="229" t="s">
        <v>29</v>
      </c>
      <c r="D213" s="155" t="s">
        <v>111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292</v>
      </c>
      <c r="C214" s="229" t="s">
        <v>29</v>
      </c>
      <c r="D214" s="155" t="s">
        <v>111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293</v>
      </c>
      <c r="C215" s="229" t="s">
        <v>29</v>
      </c>
      <c r="D215" s="155" t="s">
        <v>239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29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29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</v>
      </c>
      <c r="C218" s="229" t="s">
        <v>29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296</v>
      </c>
      <c r="C219" s="229" t="s">
        <v>29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297</v>
      </c>
      <c r="C220" s="229" t="s">
        <v>29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298</v>
      </c>
      <c r="C221" s="229" t="s">
        <v>29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299</v>
      </c>
      <c r="C222" s="229" t="s">
        <v>29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300</v>
      </c>
      <c r="C223" s="229" t="s">
        <v>29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301</v>
      </c>
      <c r="C224" s="229" t="s">
        <v>29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302</v>
      </c>
      <c r="C225" s="229" t="s">
        <v>29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303</v>
      </c>
      <c r="C226" s="229" t="s">
        <v>29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304</v>
      </c>
      <c r="C227" s="229" t="s">
        <v>29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305</v>
      </c>
      <c r="C228" s="229" t="s">
        <v>29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306</v>
      </c>
      <c r="C229" s="229" t="s">
        <v>29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307</v>
      </c>
      <c r="C230" s="229" t="s">
        <v>29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29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29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29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29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29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29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29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29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29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29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29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29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29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29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29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29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324</v>
      </c>
      <c r="C519" s="229" t="s">
        <v>49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49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49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49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49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49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49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49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49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49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49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49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49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49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49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49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49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49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49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49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49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49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49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348</v>
      </c>
      <c r="C565" s="229" t="s">
        <v>31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31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31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31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31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31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31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31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31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31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31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31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31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31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31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31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31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31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31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31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31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31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31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31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31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31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31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31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31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31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31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31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31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31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31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31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31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31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31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31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31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31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31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31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31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31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31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31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31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31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31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31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31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31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31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31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31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31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31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31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31</v>
      </c>
      <c r="D625" s="51" t="s">
        <v>111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31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31</v>
      </c>
      <c r="D627" s="51" t="s">
        <v>111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31</v>
      </c>
      <c r="D628" s="51" t="s">
        <v>111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31</v>
      </c>
      <c r="D629" s="51" t="s">
        <v>111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31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31</v>
      </c>
      <c r="D631" s="51" t="s">
        <v>111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31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31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31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31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31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31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31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31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31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31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31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31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31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31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31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31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31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31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31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31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31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31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31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31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31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31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31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31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31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31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31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31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31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31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31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31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31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31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31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31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31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31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31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31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31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31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32</v>
      </c>
      <c r="C678" s="229" t="s">
        <v>31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31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31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31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31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31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31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31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31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31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31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31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31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31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33</v>
      </c>
      <c r="C692" s="229" t="s">
        <v>31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9" t="s">
        <v>31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475</v>
      </c>
      <c r="C694" s="229" t="s">
        <v>31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476</v>
      </c>
      <c r="C695" s="229" t="s">
        <v>31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477</v>
      </c>
      <c r="C696" s="229" t="s">
        <v>31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478</v>
      </c>
      <c r="C697" s="229" t="s">
        <v>31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479</v>
      </c>
      <c r="C698" s="229" t="s">
        <v>31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480</v>
      </c>
      <c r="C699" s="229" t="s">
        <v>31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481</v>
      </c>
      <c r="C700" s="229" t="s">
        <v>31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31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31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31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31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31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31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31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31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31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31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31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31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31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31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31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31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31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31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31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31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31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31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31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31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31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31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31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31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31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31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31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31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31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31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31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31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31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31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31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31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31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31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31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31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31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31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31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31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31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31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31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31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31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31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31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31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31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31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31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31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31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31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31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31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31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31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31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549</v>
      </c>
      <c r="C768" s="229" t="s">
        <v>31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31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31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31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31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31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31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31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31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31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31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31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31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31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31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31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31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31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31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31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31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31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31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572</v>
      </c>
      <c r="C791" s="229" t="s">
        <v>31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573</v>
      </c>
      <c r="C792" s="229" t="s">
        <v>31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574</v>
      </c>
      <c r="C793" s="229" t="s">
        <v>31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575</v>
      </c>
      <c r="C794" s="229" t="s">
        <v>31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576</v>
      </c>
      <c r="C795" s="229" t="s">
        <v>31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577</v>
      </c>
      <c r="C796" s="229" t="s">
        <v>31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35</v>
      </c>
      <c r="C797" s="229" t="s">
        <v>31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578</v>
      </c>
      <c r="C798" s="229" t="s">
        <v>31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579</v>
      </c>
      <c r="C799" s="229" t="s">
        <v>31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580</v>
      </c>
      <c r="C800" s="229" t="s">
        <v>31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581</v>
      </c>
      <c r="C801" s="229" t="s">
        <v>31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582</v>
      </c>
      <c r="C802" s="229" t="s">
        <v>31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583</v>
      </c>
      <c r="C803" s="229" t="s">
        <v>31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584</v>
      </c>
      <c r="C804" s="229" t="s">
        <v>31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31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31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31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31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589</v>
      </c>
      <c r="C809" s="229" t="s">
        <v>31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590</v>
      </c>
      <c r="C810" s="229" t="s">
        <v>31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591</v>
      </c>
      <c r="C811" s="229" t="s">
        <v>31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592</v>
      </c>
      <c r="C812" s="229" t="s">
        <v>31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593</v>
      </c>
      <c r="C813" s="229" t="s">
        <v>31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594</v>
      </c>
      <c r="C814" s="229" t="s">
        <v>31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595</v>
      </c>
      <c r="C815" s="229" t="s">
        <v>31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9" t="s">
        <v>31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597</v>
      </c>
      <c r="C817" s="229" t="s">
        <v>31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598</v>
      </c>
      <c r="C818" s="229" t="s">
        <v>31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599</v>
      </c>
      <c r="C819" s="229" t="s">
        <v>31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9" t="s">
        <v>31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601</v>
      </c>
      <c r="C821" s="229" t="s">
        <v>31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602</v>
      </c>
      <c r="C822" s="229" t="s">
        <v>31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9" t="s">
        <v>31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9" t="s">
        <v>31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9" t="s">
        <v>31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9" t="s">
        <v>31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9" t="s">
        <v>31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9" t="s">
        <v>31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9" t="s">
        <v>31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9" t="s">
        <v>31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9" t="s">
        <v>31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9" t="s">
        <v>31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9" t="s">
        <v>31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9" t="s">
        <v>31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9" t="s">
        <v>31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9" t="s">
        <v>31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9" t="s">
        <v>31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9" t="s">
        <v>31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9" t="s">
        <v>31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9" t="s">
        <v>31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9" t="s">
        <v>31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622</v>
      </c>
      <c r="C842" s="229" t="s">
        <v>31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623</v>
      </c>
      <c r="C843" s="229" t="s">
        <v>31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624</v>
      </c>
      <c r="C844" s="229" t="s">
        <v>31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9" t="s">
        <v>31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626</v>
      </c>
      <c r="C846" s="229" t="s">
        <v>31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9" t="s">
        <v>31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628</v>
      </c>
      <c r="C848" s="229" t="s">
        <v>31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9" t="s">
        <v>31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630</v>
      </c>
      <c r="C850" s="229" t="s">
        <v>31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9" t="s">
        <v>31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9" t="s">
        <v>31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9" t="s">
        <v>31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9" t="s">
        <v>31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9" t="s">
        <v>31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9" t="s">
        <v>31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9" t="s">
        <v>31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9" t="s">
        <v>31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9" t="s">
        <v>31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9" t="s">
        <v>31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37</v>
      </c>
      <c r="C861" s="229" t="s">
        <v>31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641</v>
      </c>
      <c r="C862" s="229" t="s">
        <v>31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642</v>
      </c>
      <c r="C863" s="229" t="s">
        <v>31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643</v>
      </c>
      <c r="C864" s="229" t="s">
        <v>31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644</v>
      </c>
      <c r="C865" s="229" t="s">
        <v>31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645</v>
      </c>
      <c r="C866" s="229" t="s">
        <v>31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646</v>
      </c>
      <c r="C867" s="229" t="s">
        <v>31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647</v>
      </c>
      <c r="C868" s="229" t="s">
        <v>31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648</v>
      </c>
      <c r="C869" s="229" t="s">
        <v>31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649</v>
      </c>
      <c r="C870" s="229" t="s">
        <v>31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650</v>
      </c>
      <c r="C871" s="229" t="s">
        <v>31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651</v>
      </c>
      <c r="C872" s="229" t="s">
        <v>31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652</v>
      </c>
      <c r="C873" s="229" t="s">
        <v>31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653</v>
      </c>
      <c r="C874" s="229" t="s">
        <v>31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654</v>
      </c>
      <c r="C875" s="229" t="s">
        <v>31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655</v>
      </c>
      <c r="C876" s="229" t="s">
        <v>31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656</v>
      </c>
      <c r="C877" s="229" t="s">
        <v>31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657</v>
      </c>
      <c r="C878" s="229" t="s">
        <v>31</v>
      </c>
      <c r="D878" s="51" t="s">
        <v>111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658</v>
      </c>
      <c r="C879" s="229" t="s">
        <v>31</v>
      </c>
      <c r="D879" s="51" t="s">
        <v>111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659</v>
      </c>
      <c r="C880" s="229" t="s">
        <v>31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660</v>
      </c>
      <c r="C881" s="229" t="s">
        <v>31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661</v>
      </c>
      <c r="C882" s="229" t="s">
        <v>31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662</v>
      </c>
      <c r="C883" s="229" t="s">
        <v>31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663</v>
      </c>
      <c r="C884" s="229" t="s">
        <v>31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664</v>
      </c>
      <c r="C885" s="229" t="s">
        <v>31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665</v>
      </c>
      <c r="C886" s="229" t="s">
        <v>31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666</v>
      </c>
      <c r="C887" s="229" t="s">
        <v>31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667</v>
      </c>
      <c r="C888" s="229" t="s">
        <v>31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668</v>
      </c>
      <c r="C889" s="229" t="s">
        <v>31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669</v>
      </c>
      <c r="C890" s="229" t="s">
        <v>31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670</v>
      </c>
      <c r="C891" s="229" t="s">
        <v>31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671</v>
      </c>
      <c r="C892" s="229" t="s">
        <v>31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672</v>
      </c>
      <c r="C893" s="229" t="s">
        <v>31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673</v>
      </c>
      <c r="C894" s="229" t="s">
        <v>31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674</v>
      </c>
      <c r="C895" s="229" t="s">
        <v>31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675</v>
      </c>
      <c r="C896" s="229" t="s">
        <v>31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676</v>
      </c>
      <c r="C897" s="229" t="s">
        <v>31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677</v>
      </c>
      <c r="C898" s="229" t="s">
        <v>31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678</v>
      </c>
      <c r="C899" s="229" t="s">
        <v>31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679</v>
      </c>
      <c r="C900" s="229" t="s">
        <v>31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680</v>
      </c>
      <c r="C901" s="229" t="s">
        <v>31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681</v>
      </c>
      <c r="C902" s="229" t="s">
        <v>31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682</v>
      </c>
      <c r="C903" s="229" t="s">
        <v>31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683</v>
      </c>
      <c r="C904" s="229" t="s">
        <v>31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684</v>
      </c>
      <c r="C905" s="229" t="s">
        <v>31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685</v>
      </c>
      <c r="C906" s="229" t="s">
        <v>31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686</v>
      </c>
      <c r="C907" s="229" t="s">
        <v>31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687</v>
      </c>
      <c r="C908" s="229" t="s">
        <v>31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688</v>
      </c>
      <c r="C909" s="229" t="s">
        <v>31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689</v>
      </c>
      <c r="C910" s="229" t="s">
        <v>31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690</v>
      </c>
      <c r="C911" s="229" t="s">
        <v>31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691</v>
      </c>
      <c r="C912" s="229" t="s">
        <v>31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692</v>
      </c>
      <c r="C913" s="229" t="s">
        <v>31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693</v>
      </c>
      <c r="C914" s="229" t="s">
        <v>31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694</v>
      </c>
      <c r="C915" s="229" t="s">
        <v>31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695</v>
      </c>
      <c r="C916" s="229" t="s">
        <v>31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696</v>
      </c>
      <c r="C917" s="229" t="s">
        <v>31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697</v>
      </c>
      <c r="C918" s="229" t="s">
        <v>31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698</v>
      </c>
      <c r="C919" s="229" t="s">
        <v>31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699</v>
      </c>
      <c r="C920" s="229" t="s">
        <v>31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700</v>
      </c>
      <c r="C921" s="229" t="s">
        <v>31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701</v>
      </c>
      <c r="C922" s="229" t="s">
        <v>31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702</v>
      </c>
      <c r="C923" s="229" t="s">
        <v>31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703</v>
      </c>
      <c r="C924" s="229" t="s">
        <v>31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704</v>
      </c>
      <c r="C925" s="229" t="s">
        <v>31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705</v>
      </c>
      <c r="C926" s="229" t="s">
        <v>31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706</v>
      </c>
      <c r="C927" s="229" t="s">
        <v>31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707</v>
      </c>
      <c r="C928" s="229" t="s">
        <v>31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708</v>
      </c>
      <c r="C929" s="229" t="s">
        <v>31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709</v>
      </c>
      <c r="C930" s="229" t="s">
        <v>31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710</v>
      </c>
      <c r="C931" s="229" t="s">
        <v>31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711</v>
      </c>
      <c r="C932" s="229" t="s">
        <v>31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712</v>
      </c>
      <c r="C933" s="229" t="s">
        <v>31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713</v>
      </c>
      <c r="C934" s="229" t="s">
        <v>31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714</v>
      </c>
      <c r="C935" s="229" t="s">
        <v>31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715</v>
      </c>
      <c r="C936" s="229" t="s">
        <v>31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716</v>
      </c>
      <c r="C937" s="229" t="s">
        <v>31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717</v>
      </c>
      <c r="C938" s="229" t="s">
        <v>31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718</v>
      </c>
      <c r="C939" s="229" t="s">
        <v>31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719</v>
      </c>
      <c r="C940" s="229" t="s">
        <v>31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720</v>
      </c>
      <c r="C941" s="229" t="s">
        <v>31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721</v>
      </c>
      <c r="C942" s="229" t="s">
        <v>31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722</v>
      </c>
      <c r="C943" s="229" t="s">
        <v>31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723</v>
      </c>
      <c r="C944" s="229" t="s">
        <v>31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724</v>
      </c>
      <c r="C945" s="229" t="s">
        <v>31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725</v>
      </c>
      <c r="C946" s="229" t="s">
        <v>31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726</v>
      </c>
      <c r="C947" s="229" t="s">
        <v>31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727</v>
      </c>
      <c r="C948" s="229" t="s">
        <v>31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728</v>
      </c>
      <c r="C949" s="229" t="s">
        <v>31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729</v>
      </c>
      <c r="C950" s="229" t="s">
        <v>31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730</v>
      </c>
      <c r="C951" s="229" t="s">
        <v>31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731</v>
      </c>
      <c r="C952" s="229" t="s">
        <v>31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36</v>
      </c>
      <c r="C953" s="229" t="s">
        <v>31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732</v>
      </c>
      <c r="C954" s="229" t="s">
        <v>31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733</v>
      </c>
      <c r="C955" s="229" t="s">
        <v>31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734</v>
      </c>
      <c r="C956" s="229" t="s">
        <v>31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735</v>
      </c>
      <c r="C957" s="229" t="s">
        <v>31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736</v>
      </c>
      <c r="C958" s="229" t="s">
        <v>31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737</v>
      </c>
      <c r="C959" s="229" t="s">
        <v>31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738</v>
      </c>
      <c r="C960" s="229" t="s">
        <v>31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739</v>
      </c>
      <c r="C961" s="229" t="s">
        <v>31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740</v>
      </c>
      <c r="C962" s="229" t="s">
        <v>31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741</v>
      </c>
      <c r="C963" s="229" t="s">
        <v>31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742</v>
      </c>
      <c r="C964" s="229" t="s">
        <v>31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743</v>
      </c>
      <c r="C965" s="229" t="s">
        <v>31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744</v>
      </c>
      <c r="C966" s="229" t="s">
        <v>31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745</v>
      </c>
      <c r="C967" s="229" t="s">
        <v>31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746</v>
      </c>
      <c r="C968" s="229" t="s">
        <v>31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747</v>
      </c>
      <c r="C969" s="229" t="s">
        <v>31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748</v>
      </c>
      <c r="C970" s="229" t="s">
        <v>31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749</v>
      </c>
      <c r="C971" s="229" t="s">
        <v>31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750</v>
      </c>
      <c r="C972" s="229" t="s">
        <v>31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751</v>
      </c>
      <c r="C973" s="229" t="s">
        <v>31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752</v>
      </c>
      <c r="C974" s="229" t="s">
        <v>31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753</v>
      </c>
      <c r="C975" s="229" t="s">
        <v>31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754</v>
      </c>
      <c r="C976" s="229" t="s">
        <v>31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755</v>
      </c>
      <c r="C977" s="229" t="s">
        <v>31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756</v>
      </c>
      <c r="C978" s="229" t="s">
        <v>31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757</v>
      </c>
      <c r="C979" s="229" t="s">
        <v>31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758</v>
      </c>
      <c r="C980" s="229" t="s">
        <v>31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759</v>
      </c>
      <c r="C981" s="229" t="s">
        <v>31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760</v>
      </c>
      <c r="C982" s="229" t="s">
        <v>31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761</v>
      </c>
      <c r="C983" s="229" t="s">
        <v>31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762</v>
      </c>
      <c r="C984" s="229" t="s">
        <v>31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763</v>
      </c>
      <c r="C985" s="229" t="s">
        <v>31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93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764</v>
      </c>
      <c r="C1014" s="164" t="s">
        <v>26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765</v>
      </c>
      <c r="C1015" s="164" t="s">
        <v>26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766</v>
      </c>
      <c r="C1016" s="164" t="s">
        <v>26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767</v>
      </c>
      <c r="C1017" s="164" t="s">
        <v>26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768</v>
      </c>
      <c r="C1018" s="164" t="s">
        <v>26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769</v>
      </c>
      <c r="C1019" s="164" t="s">
        <v>26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770</v>
      </c>
      <c r="C1020" s="164" t="s">
        <v>26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771</v>
      </c>
      <c r="C1021" s="164" t="s">
        <v>26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772</v>
      </c>
      <c r="C1022" s="164" t="s">
        <v>26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773</v>
      </c>
      <c r="C1023" s="164" t="s">
        <v>26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774</v>
      </c>
      <c r="C1024" s="164" t="s">
        <v>26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775</v>
      </c>
      <c r="C1025" s="164" t="s">
        <v>26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776</v>
      </c>
      <c r="C1026" s="164" t="s">
        <v>26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777</v>
      </c>
      <c r="C1027" s="164" t="s">
        <v>26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778</v>
      </c>
      <c r="C1028" s="164" t="s">
        <v>26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779</v>
      </c>
      <c r="C1029" s="164" t="s">
        <v>26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780</v>
      </c>
      <c r="C1030" s="164" t="s">
        <v>26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781</v>
      </c>
      <c r="C1031" s="164" t="s">
        <v>26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782</v>
      </c>
      <c r="C1032" s="164" t="s">
        <v>26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783</v>
      </c>
      <c r="C1033" s="164" t="s">
        <v>26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28</v>
      </c>
      <c r="C1034" s="164" t="s">
        <v>26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784</v>
      </c>
      <c r="C1035" s="164" t="s">
        <v>26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785</v>
      </c>
      <c r="C1036" s="164" t="s">
        <v>26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786</v>
      </c>
      <c r="C1037" s="164" t="s">
        <v>26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787</v>
      </c>
      <c r="C1038" s="164" t="s">
        <v>26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788</v>
      </c>
      <c r="C1039" s="164" t="s">
        <v>26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27</v>
      </c>
      <c r="C1040" s="164" t="s">
        <v>26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789</v>
      </c>
      <c r="C1041" s="164" t="s">
        <v>26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790</v>
      </c>
      <c r="C1042" s="164" t="s">
        <v>26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791</v>
      </c>
      <c r="C1043" s="164" t="s">
        <v>26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792</v>
      </c>
      <c r="C1044" s="164" t="s">
        <v>26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793</v>
      </c>
      <c r="C1045" s="164" t="s">
        <v>26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794</v>
      </c>
      <c r="C1046" s="164" t="s">
        <v>26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3" t="s">
        <v>795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796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797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798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799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800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801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3" t="s">
        <v>802</v>
      </c>
      <c r="C1110" s="40" t="s">
        <v>803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804</v>
      </c>
      <c r="C1111" s="40" t="s">
        <v>803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805</v>
      </c>
      <c r="C1112" s="40" t="s">
        <v>803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806</v>
      </c>
      <c r="C1113" s="40" t="s">
        <v>803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807</v>
      </c>
      <c r="C1114" s="40" t="s">
        <v>803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808</v>
      </c>
      <c r="C1115" s="40" t="s">
        <v>803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809</v>
      </c>
      <c r="C1116" s="40" t="s">
        <v>803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810</v>
      </c>
      <c r="C1117" s="40" t="s">
        <v>803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811</v>
      </c>
      <c r="C1118" s="40" t="s">
        <v>803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812</v>
      </c>
      <c r="C1119" s="40" t="s">
        <v>803</v>
      </c>
      <c r="D1119" s="51" t="s">
        <v>813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814</v>
      </c>
      <c r="C1120" s="40" t="s">
        <v>803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815</v>
      </c>
      <c r="C1121" s="40" t="s">
        <v>803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816</v>
      </c>
      <c r="C1122" s="40" t="s">
        <v>803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817</v>
      </c>
      <c r="C1123" s="40" t="s">
        <v>803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818</v>
      </c>
      <c r="C1124" s="40" t="s">
        <v>803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819</v>
      </c>
      <c r="C1125" s="40" t="s">
        <v>803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820</v>
      </c>
      <c r="C1126" s="40" t="s">
        <v>803</v>
      </c>
      <c r="D1126" s="51" t="s">
        <v>813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821</v>
      </c>
      <c r="C1127" s="40" t="s">
        <v>803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821</v>
      </c>
      <c r="C1128" s="40" t="s">
        <v>803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822</v>
      </c>
      <c r="C1129" s="40" t="s">
        <v>803</v>
      </c>
      <c r="D1129" s="51" t="s">
        <v>823</v>
      </c>
      <c r="E1129" s="46">
        <v>10166.700000000001</v>
      </c>
      <c r="F1129" s="193" t="s">
        <v>823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824</v>
      </c>
      <c r="C1130" s="40" t="s">
        <v>803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825</v>
      </c>
      <c r="C1131" s="40" t="s">
        <v>803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826</v>
      </c>
      <c r="C1132" s="40" t="s">
        <v>803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827</v>
      </c>
      <c r="C1133" s="40" t="s">
        <v>803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828</v>
      </c>
      <c r="C1134" s="40" t="s">
        <v>803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93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829</v>
      </c>
      <c r="C1157" s="40" t="s">
        <v>830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831</v>
      </c>
      <c r="C1158" s="40" t="s">
        <v>830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832</v>
      </c>
      <c r="C1159" s="40" t="s">
        <v>830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833</v>
      </c>
      <c r="C1160" s="40" t="s">
        <v>830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834</v>
      </c>
      <c r="C1161" s="40" t="s">
        <v>830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835</v>
      </c>
      <c r="C1162" s="40" t="s">
        <v>830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836</v>
      </c>
      <c r="C1163" s="40" t="s">
        <v>830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837</v>
      </c>
      <c r="C1164" s="40" t="s">
        <v>830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838</v>
      </c>
      <c r="C1165" s="40" t="s">
        <v>830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839</v>
      </c>
      <c r="C1166" s="40" t="s">
        <v>830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840</v>
      </c>
      <c r="C1167" s="40" t="s">
        <v>830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841</v>
      </c>
      <c r="C1168" s="40" t="s">
        <v>830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842</v>
      </c>
      <c r="C1169" s="40" t="s">
        <v>830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843</v>
      </c>
      <c r="C1170" s="40" t="s">
        <v>830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844</v>
      </c>
      <c r="C1171" s="40" t="s">
        <v>830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845</v>
      </c>
      <c r="C1172" s="40" t="s">
        <v>830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846</v>
      </c>
      <c r="C1173" s="40" t="s">
        <v>830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847</v>
      </c>
      <c r="C1174" s="40" t="s">
        <v>830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848</v>
      </c>
      <c r="C1175" s="40" t="s">
        <v>830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849</v>
      </c>
      <c r="C1176" s="40" t="s">
        <v>830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850</v>
      </c>
      <c r="C1177" s="40" t="s">
        <v>830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851</v>
      </c>
      <c r="C1178" s="40" t="s">
        <v>830</v>
      </c>
      <c r="D1178" s="51" t="s">
        <v>852</v>
      </c>
      <c r="E1178" s="46">
        <v>42631</v>
      </c>
      <c r="F1178" s="193" t="s">
        <v>852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853</v>
      </c>
      <c r="C1179" s="40" t="s">
        <v>830</v>
      </c>
      <c r="D1179" s="51" t="s">
        <v>854</v>
      </c>
      <c r="E1179" s="46">
        <v>6081.3</v>
      </c>
      <c r="F1179" s="193" t="s">
        <v>854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855</v>
      </c>
      <c r="C1180" s="40" t="s">
        <v>830</v>
      </c>
      <c r="D1180" s="51" t="s">
        <v>856</v>
      </c>
      <c r="E1180" s="46">
        <v>19776</v>
      </c>
      <c r="F1180" s="193" t="s">
        <v>856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857</v>
      </c>
      <c r="C1181" s="40" t="s">
        <v>830</v>
      </c>
      <c r="D1181" s="51" t="s">
        <v>854</v>
      </c>
      <c r="E1181" s="46">
        <v>16133.3</v>
      </c>
      <c r="F1181" s="193" t="s">
        <v>854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858</v>
      </c>
      <c r="C1182" s="40" t="s">
        <v>830</v>
      </c>
      <c r="D1182" s="51" t="s">
        <v>859</v>
      </c>
      <c r="E1182" s="46">
        <v>17300</v>
      </c>
      <c r="F1182" s="193" t="s">
        <v>859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860</v>
      </c>
      <c r="C1183" s="40" t="s">
        <v>830</v>
      </c>
      <c r="D1183" s="51" t="s">
        <v>861</v>
      </c>
      <c r="E1183" s="46">
        <v>1583.1533333333334</v>
      </c>
      <c r="F1183" s="193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862</v>
      </c>
      <c r="C1184" s="40" t="s">
        <v>830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830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830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830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830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867</v>
      </c>
      <c r="C1189" s="40" t="s">
        <v>830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830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830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830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830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830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830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830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830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830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830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830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830</v>
      </c>
      <c r="D1201" s="61" t="s">
        <v>852</v>
      </c>
      <c r="E1201" s="65">
        <v>74866.666666666672</v>
      </c>
      <c r="F1201" s="196" t="s">
        <v>852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830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830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830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830</v>
      </c>
      <c r="D1205" s="171" t="s">
        <v>861</v>
      </c>
      <c r="E1205" s="65">
        <v>513.33285714285716</v>
      </c>
      <c r="F1205" s="196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830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830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830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830</v>
      </c>
      <c r="D1209" s="90" t="s">
        <v>215</v>
      </c>
      <c r="E1209" s="170">
        <v>7200</v>
      </c>
      <c r="F1209" s="198" t="s">
        <v>852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830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830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830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93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893</v>
      </c>
      <c r="C1257" s="229" t="s">
        <v>59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59</v>
      </c>
      <c r="D1276" s="51" t="s">
        <v>861</v>
      </c>
      <c r="E1276" s="46">
        <v>3215</v>
      </c>
      <c r="F1276" s="193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59</v>
      </c>
      <c r="D1277" s="51" t="s">
        <v>861</v>
      </c>
      <c r="E1277" s="46">
        <v>8300</v>
      </c>
      <c r="F1277" s="193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59</v>
      </c>
      <c r="D1278" s="51" t="s">
        <v>861</v>
      </c>
      <c r="E1278" s="46">
        <v>3276</v>
      </c>
      <c r="F1278" s="193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59</v>
      </c>
      <c r="D1286" s="51" t="s">
        <v>861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59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59</v>
      </c>
      <c r="D1317" s="51" t="s">
        <v>861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59</v>
      </c>
      <c r="D1318" s="51" t="s">
        <v>861</v>
      </c>
      <c r="E1318" s="46">
        <v>9275</v>
      </c>
      <c r="F1318" s="193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59</v>
      </c>
      <c r="D1321" s="51" t="s">
        <v>861</v>
      </c>
      <c r="E1321" s="46">
        <v>189.5</v>
      </c>
      <c r="F1321" s="193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59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830</v>
      </c>
      <c r="D1339" s="51" t="s">
        <v>861</v>
      </c>
      <c r="E1339" s="46">
        <v>1583.1533333333334</v>
      </c>
      <c r="F1339" s="193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93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823</v>
      </c>
      <c r="E1370" s="98"/>
      <c r="F1370" s="204" t="s">
        <v>823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823</v>
      </c>
      <c r="E1373" s="98"/>
      <c r="F1373" s="204" t="s">
        <v>823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823</v>
      </c>
      <c r="E1379" s="98"/>
      <c r="F1379" s="204" t="s">
        <v>823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823</v>
      </c>
      <c r="E1391" s="98"/>
      <c r="F1391" s="203" t="s">
        <v>823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823</v>
      </c>
      <c r="E1394" s="98"/>
      <c r="F1394" s="203" t="s">
        <v>823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823</v>
      </c>
      <c r="E1395" s="98"/>
      <c r="F1395" s="204" t="s">
        <v>823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813</v>
      </c>
      <c r="E1398" s="166">
        <v>205766.7</v>
      </c>
      <c r="F1398" s="204" t="s">
        <v>813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823</v>
      </c>
      <c r="E1399" s="98"/>
      <c r="F1399" s="204" t="s">
        <v>823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6</v>
      </c>
      <c r="I2" s="20">
        <v>71765586</v>
      </c>
      <c r="K2" t="s">
        <v>1078</v>
      </c>
      <c r="M2" s="82" t="s">
        <v>43</v>
      </c>
    </row>
    <row r="3" spans="1:13" outlineLevel="1">
      <c r="A3" s="3" t="s">
        <v>1079</v>
      </c>
      <c r="B3" s="5" t="s">
        <v>215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49</v>
      </c>
    </row>
    <row r="4" spans="1:13" ht="30" outlineLevel="1">
      <c r="A4" s="2" t="s">
        <v>1084</v>
      </c>
      <c r="B4" s="5" t="s">
        <v>270</v>
      </c>
      <c r="D4" s="13" t="s">
        <v>14</v>
      </c>
      <c r="F4" s="3" t="s">
        <v>1085</v>
      </c>
      <c r="H4" s="19" t="s">
        <v>1086</v>
      </c>
      <c r="I4" s="23">
        <v>3353808</v>
      </c>
      <c r="K4" t="s">
        <v>1087</v>
      </c>
      <c r="M4" s="82" t="s">
        <v>31</v>
      </c>
    </row>
    <row r="5" spans="1:13" ht="30" outlineLevel="1">
      <c r="A5" s="3" t="s">
        <v>1088</v>
      </c>
      <c r="B5" s="5" t="s">
        <v>1089</v>
      </c>
      <c r="D5" s="13" t="s">
        <v>1090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803</v>
      </c>
    </row>
    <row r="6" spans="1:13" outlineLevel="1">
      <c r="A6" s="2" t="s">
        <v>288</v>
      </c>
      <c r="B6" s="5" t="s">
        <v>288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830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29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26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62</v>
      </c>
    </row>
    <row r="10" spans="1:13" outlineLevel="1">
      <c r="A10" s="2" t="s">
        <v>1111</v>
      </c>
      <c r="B10" s="5" t="s">
        <v>105</v>
      </c>
      <c r="F10" s="3" t="s">
        <v>9</v>
      </c>
      <c r="H10" s="27" t="s">
        <v>1112</v>
      </c>
      <c r="I10" s="23">
        <v>32142539</v>
      </c>
      <c r="K10" t="s">
        <v>1113</v>
      </c>
      <c r="M10" s="247" t="s">
        <v>121</v>
      </c>
    </row>
    <row r="11" spans="1:13" outlineLevel="1">
      <c r="A11" s="2" t="s">
        <v>1114</v>
      </c>
      <c r="B11" s="5" t="s">
        <v>1115</v>
      </c>
      <c r="F11" s="2" t="s">
        <v>1116</v>
      </c>
      <c r="H11" s="24" t="s">
        <v>1117</v>
      </c>
      <c r="I11" s="25">
        <v>79897894</v>
      </c>
      <c r="K11" t="s">
        <v>1118</v>
      </c>
      <c r="M11" s="247" t="s">
        <v>59</v>
      </c>
    </row>
    <row r="12" spans="1:13" outlineLevel="1">
      <c r="A12" s="3" t="s">
        <v>1119</v>
      </c>
      <c r="B12" s="5" t="s">
        <v>823</v>
      </c>
      <c r="F12" s="3"/>
      <c r="H12" s="30" t="s">
        <v>1120</v>
      </c>
      <c r="I12" s="31">
        <v>32184975</v>
      </c>
      <c r="M12" s="247" t="s">
        <v>980</v>
      </c>
    </row>
    <row r="13" spans="1:13" outlineLevel="1">
      <c r="A13" s="3" t="s">
        <v>1121</v>
      </c>
      <c r="B13" s="5" t="s">
        <v>1121</v>
      </c>
      <c r="H13" s="24" t="s">
        <v>1122</v>
      </c>
      <c r="I13" s="25">
        <v>71662031</v>
      </c>
    </row>
    <row r="14" spans="1:13" outlineLevel="1">
      <c r="A14" s="3" t="s">
        <v>1123</v>
      </c>
      <c r="B14" s="5" t="s">
        <v>990</v>
      </c>
      <c r="H14" s="27" t="s">
        <v>1124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1125</v>
      </c>
      <c r="I15" s="29">
        <v>16757142</v>
      </c>
    </row>
    <row r="16" spans="1:13" outlineLevel="1">
      <c r="A16" s="2" t="s">
        <v>1126</v>
      </c>
      <c r="B16" s="5" t="s">
        <v>237</v>
      </c>
      <c r="H16" s="273" t="s">
        <v>1127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983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240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106</v>
      </c>
      <c r="H21" s="24" t="s">
        <v>1140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207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173</v>
      </c>
      <c r="H24" s="24" t="s">
        <v>1145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1146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2023-06-16T15:22:27Z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