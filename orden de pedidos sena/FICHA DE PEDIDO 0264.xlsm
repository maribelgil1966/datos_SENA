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Profe Juan Pablo\colección BOSI\"/>
    </mc:Choice>
  </mc:AlternateContent>
  <xr:revisionPtr revIDLastSave="4" documentId="8_{8802558F-E0B9-423C-9CFA-087EBF3FD7BC}" xr6:coauthVersionLast="47" xr6:coauthVersionMax="47" xr10:uidLastSave="{AAED3AD0-26C3-4D76-818C-84D261400BCB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<sst xmlns="http://schemas.openxmlformats.org/spreadsheetml/2006/main" count="5071" uniqueCount="1393">
  <si>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</si>
  <si>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</si>
  <si>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</si>
  <si>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</si>
  <si>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</si>
  <si>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</si>
  <si>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</si>
  <si>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</si>
  <si>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</si>
  <si>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PRODCCION  CALZADO Y MARROQUINERIA</t>
  </si>
  <si>
    <t>FICHA(#)</t>
  </si>
  <si>
    <t>NOMBRE DEL PRODUCTO</t>
  </si>
  <si>
    <t>zapato deportivo informal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</si>
  <si>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</si>
  <si>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</si>
  <si>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</si>
  <si>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</si>
  <si>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</si>
  <si>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</si>
  <si>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</si>
  <si>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</si>
  <si>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</si>
  <si>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</si>
  <si>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</si>
  <si>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</si>
  <si>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</si>
  <si>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</si>
  <si>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</si>
  <si>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 xml:space="preserve">CUERO FORRO BADANA
</t>
  </si>
  <si>
    <t>SUELAS</t>
  </si>
  <si>
    <t xml:space="preserve">SUELA EN CAUCHO 
</t>
  </si>
  <si>
    <t>SECUNDARIO_MEDULAR</t>
  </si>
  <si>
    <t>CORDON  REDONDO 1,10 M GRIS AZULADO</t>
  </si>
  <si>
    <t>ODENA 1,1 mm</t>
  </si>
  <si>
    <t>INSUMOS_COMPL_</t>
  </si>
  <si>
    <t xml:space="preserve">CLAVOS ACERO </t>
  </si>
  <si>
    <t>ESPUMA  DE BAJA DENSIDAD</t>
  </si>
  <si>
    <t>lAMBRILLA 3 mm ( EVA)</t>
  </si>
  <si>
    <t>SiNTETICOS_TEXTILES</t>
  </si>
  <si>
    <t>MOIRA FORRO DE BUEN CALIBRE PARA USO EXTERNO E INTERNO POLIESTER</t>
  </si>
  <si>
    <t>ADHESIVOS_Solventes</t>
  </si>
  <si>
    <t xml:space="preserve">ADHESIVO PU
</t>
  </si>
  <si>
    <t xml:space="preserve">AQUAPREN GUARNECIDA
</t>
  </si>
  <si>
    <t xml:space="preserve">LIMPIADOR  DE SUELAS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</si>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</sst>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4" sqref="Q14:R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FC1907-1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45126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79897894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35862.004974523494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35862.004974523494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>
        <v>80</v>
      </c>
      <c r="Y8" s="108">
        <f>IFERROR((V8*X8)," ")</f>
        <v>80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16</v>
      </c>
      <c r="R10" s="316"/>
      <c r="S10" s="317">
        <f>IFERROR(IF(Q10="Unidad","1",(Q10*$K$5)),"")</f>
        <v>16</v>
      </c>
      <c r="T10" s="318"/>
      <c r="U10" s="305"/>
      <c r="V10" s="401"/>
      <c r="W10" s="306">
        <f ca="1">IFERROR(IF(D10="","",INDEX(Tabla_Completa,MATCH('Soli_citud '!D10,Materiales,0),7)*S10),"")</f>
        <v>14375.199999999999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6</v>
      </c>
      <c r="R11" s="316"/>
      <c r="S11" s="317">
        <f t="shared" ref="S11:S31" si="1">IFERROR(IF(Q11="Unidad","1",(Q11*$K$5)),"")</f>
        <v>6</v>
      </c>
      <c r="T11" s="318"/>
      <c r="U11" s="305"/>
      <c r="V11" s="305"/>
      <c r="W11" s="306">
        <f ca="1">IFERROR(IF(D11="","",INDEX(Tabla_Completa,MATCH('Soli_citud '!D11,Materiales,0),7)*S11),"")</f>
        <v>2344</v>
      </c>
      <c r="X11" s="306"/>
      <c r="Y11" s="306"/>
    </row>
    <row r="12" spans="1:28" ht="15.75" customHeight="1">
      <c r="A12" s="307" t="s">
        <v>29</v>
      </c>
      <c r="B12" s="308"/>
      <c r="C12" s="309"/>
      <c r="D12" s="402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Par</v>
      </c>
      <c r="P12" s="314"/>
      <c r="Q12" s="315">
        <v>1</v>
      </c>
      <c r="R12" s="316"/>
      <c r="S12" s="317">
        <f t="shared" si="1"/>
        <v>1</v>
      </c>
      <c r="T12" s="318"/>
      <c r="U12" s="305"/>
      <c r="V12" s="305"/>
      <c r="W12" s="306">
        <f ca="1">IFERROR(IF(D12="","",INDEX(Tabla_Completa,MATCH('Soli_citud '!D12,Materiales,0),7)*S12),"")</f>
        <v>14150</v>
      </c>
      <c r="X12" s="306"/>
      <c r="Y12" s="306"/>
    </row>
    <row r="13" spans="1:28" ht="15.75" customHeight="1">
      <c r="A13" s="307" t="s">
        <v>31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Par</v>
      </c>
      <c r="P13" s="314"/>
      <c r="Q13" s="315">
        <v>1</v>
      </c>
      <c r="R13" s="316"/>
      <c r="S13" s="317">
        <f t="shared" si="1"/>
        <v>1</v>
      </c>
      <c r="T13" s="318"/>
      <c r="U13" s="305"/>
      <c r="V13" s="305"/>
      <c r="W13" s="306">
        <f ca="1">IFERROR(IF(D13="","",INDEX(Tabla_Completa,MATCH('Soli_citud '!D13,Materiales,0),7)*S13),"")</f>
        <v>475</v>
      </c>
      <c r="X13" s="306"/>
      <c r="Y13" s="306"/>
    </row>
    <row r="14" spans="1:28" ht="17.25" customHeight="1">
      <c r="A14" s="307" t="s">
        <v>31</v>
      </c>
      <c r="B14" s="308"/>
      <c r="C14" s="309"/>
      <c r="D14" s="398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cm2</v>
      </c>
      <c r="P14" s="314"/>
      <c r="Q14" s="315">
        <v>1200</v>
      </c>
      <c r="R14" s="316"/>
      <c r="S14" s="317">
        <f t="shared" si="1"/>
        <v>1200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 t="s">
        <v>34</v>
      </c>
      <c r="B15" s="308"/>
      <c r="C15" s="309"/>
      <c r="D15" s="398" t="s">
        <v>35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lb</v>
      </c>
      <c r="P15" s="314"/>
      <c r="Q15" s="315">
        <v>0.5</v>
      </c>
      <c r="R15" s="316"/>
      <c r="S15" s="317">
        <f t="shared" si="1"/>
        <v>0.5</v>
      </c>
      <c r="T15" s="318"/>
      <c r="U15" s="305"/>
      <c r="V15" s="305"/>
      <c r="W15" s="306">
        <f ca="1">IFERROR(IF(D15="","",INDEX(Tabla_Completa,MATCH('Soli_citud '!D15,Materiales,0),7)*S15),"")</f>
        <v>0</v>
      </c>
      <c r="X15" s="306"/>
      <c r="Y15" s="306"/>
    </row>
    <row r="16" spans="1:28" ht="15.75" customHeight="1">
      <c r="A16" s="307" t="s">
        <v>31</v>
      </c>
      <c r="B16" s="308"/>
      <c r="C16" s="309"/>
      <c r="D16" s="398" t="s">
        <v>36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m</v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>
        <f ca="1">IFERROR(IF(D16="","",INDEX(Tabla_Completa,MATCH('Soli_citud '!D16,Materiales,0),7)*S16),"")</f>
        <v>0</v>
      </c>
      <c r="X16" s="306"/>
      <c r="Y16" s="306"/>
    </row>
    <row r="17" spans="1:25" ht="15.75" customHeight="1">
      <c r="A17" s="307" t="s">
        <v>31</v>
      </c>
      <c r="B17" s="308"/>
      <c r="C17" s="309"/>
      <c r="D17" s="398" t="s">
        <v>37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cm2</v>
      </c>
      <c r="P17" s="314"/>
      <c r="Q17" s="315">
        <v>1200</v>
      </c>
      <c r="R17" s="316"/>
      <c r="S17" s="317">
        <f t="shared" si="1"/>
        <v>1200</v>
      </c>
      <c r="T17" s="318"/>
      <c r="U17" s="305"/>
      <c r="V17" s="305"/>
      <c r="W17" s="306">
        <f ca="1">IFERROR(IF(D17="","",INDEX(Tabla_Completa,MATCH('Soli_citud '!D17,Materiales,0),7)*S17),"")</f>
        <v>574.64</v>
      </c>
      <c r="X17" s="306"/>
      <c r="Y17" s="306"/>
    </row>
    <row r="18" spans="1:25" ht="15.75" customHeight="1">
      <c r="A18" s="307" t="s">
        <v>38</v>
      </c>
      <c r="B18" s="308"/>
      <c r="C18" s="309"/>
      <c r="D18" s="398" t="s">
        <v>39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cm2</v>
      </c>
      <c r="P18" s="314"/>
      <c r="Q18" s="315">
        <v>1200</v>
      </c>
      <c r="R18" s="316"/>
      <c r="S18" s="317">
        <f t="shared" si="1"/>
        <v>1200</v>
      </c>
      <c r="T18" s="318"/>
      <c r="U18" s="305"/>
      <c r="V18" s="305"/>
      <c r="W18" s="306">
        <f ca="1">IFERROR(IF(D18="","",INDEX(Tabla_Completa,MATCH('Soli_citud '!D18,Materiales,0),7)*S18),"")</f>
        <v>3373.5857142857144</v>
      </c>
      <c r="X18" s="306"/>
      <c r="Y18" s="306"/>
    </row>
    <row r="19" spans="1:25" ht="15.6">
      <c r="A19" s="307" t="s">
        <v>40</v>
      </c>
      <c r="B19" s="308"/>
      <c r="C19" s="309"/>
      <c r="D19" s="310" t="s">
        <v>41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ml</v>
      </c>
      <c r="P19" s="314"/>
      <c r="Q19" s="315">
        <v>5</v>
      </c>
      <c r="R19" s="316"/>
      <c r="S19" s="317">
        <f t="shared" si="1"/>
        <v>5</v>
      </c>
      <c r="T19" s="318"/>
      <c r="U19" s="305"/>
      <c r="V19" s="305"/>
      <c r="W19" s="306">
        <f ca="1">IFERROR(IF(D19="","",INDEX(Tabla_Completa,MATCH('Soli_citud '!D19,Materiales,0),7)*S19),"")</f>
        <v>98.612945838837504</v>
      </c>
      <c r="X19" s="306"/>
      <c r="Y19" s="306"/>
    </row>
    <row r="20" spans="1:25" ht="15.6">
      <c r="A20" s="307" t="s">
        <v>40</v>
      </c>
      <c r="B20" s="308"/>
      <c r="C20" s="309"/>
      <c r="D20" s="310" t="s">
        <v>42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ml</v>
      </c>
      <c r="P20" s="314"/>
      <c r="Q20" s="315">
        <v>5</v>
      </c>
      <c r="R20" s="316"/>
      <c r="S20" s="317">
        <f t="shared" si="1"/>
        <v>5</v>
      </c>
      <c r="T20" s="318"/>
      <c r="U20" s="305"/>
      <c r="V20" s="305"/>
      <c r="W20" s="306">
        <f ca="1">IFERROR(IF(D20="","",INDEX(Tabla_Completa,MATCH('Soli_citud '!D20,Materiales,0),7)*S20),"")</f>
        <v>306.03896961690884</v>
      </c>
      <c r="X20" s="306"/>
      <c r="Y20" s="306"/>
    </row>
    <row r="21" spans="1:25" ht="15.6">
      <c r="A21" s="307" t="s">
        <v>40</v>
      </c>
      <c r="B21" s="308"/>
      <c r="C21" s="309"/>
      <c r="D21" s="310" t="s">
        <v>41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ml</v>
      </c>
      <c r="P21" s="314"/>
      <c r="Q21" s="315">
        <v>5</v>
      </c>
      <c r="R21" s="316"/>
      <c r="S21" s="317">
        <f t="shared" si="1"/>
        <v>5</v>
      </c>
      <c r="T21" s="318"/>
      <c r="U21" s="305"/>
      <c r="V21" s="305"/>
      <c r="W21" s="306">
        <f ca="1">IFERROR(IF(D21="","",INDEX(Tabla_Completa,MATCH('Soli_citud '!D21,Materiales,0),7)*S21),"")</f>
        <v>98.612945838837504</v>
      </c>
      <c r="X21" s="306"/>
      <c r="Y21" s="306"/>
    </row>
    <row r="22" spans="1:25" ht="15.6">
      <c r="A22" s="307" t="s">
        <v>40</v>
      </c>
      <c r="B22" s="308"/>
      <c r="C22" s="309"/>
      <c r="D22" s="310" t="s">
        <v>43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ml</v>
      </c>
      <c r="P22" s="314"/>
      <c r="Q22" s="315">
        <v>5</v>
      </c>
      <c r="R22" s="316"/>
      <c r="S22" s="317">
        <f t="shared" si="1"/>
        <v>5</v>
      </c>
      <c r="T22" s="318"/>
      <c r="U22" s="305"/>
      <c r="V22" s="305"/>
      <c r="W22" s="306">
        <f ca="1">IFERROR(IF(D22="","",INDEX(Tabla_Completa,MATCH('Soli_citud '!D22,Materiales,0),7)*S22),"")</f>
        <v>66.314398943196821</v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44</v>
      </c>
      <c r="B39" s="319"/>
      <c r="C39" s="319"/>
      <c r="D39" s="320" t="s">
        <v>45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46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47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48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40</v>
      </c>
      <c r="O44" s="332"/>
      <c r="P44" s="332"/>
      <c r="Q44" s="332"/>
      <c r="R44" s="327" t="s">
        <v>49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50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51</v>
      </c>
      <c r="O45" s="332"/>
      <c r="P45" s="332"/>
      <c r="Q45" s="332"/>
      <c r="R45" s="328" t="s">
        <v>52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53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54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56</v>
      </c>
      <c r="O47" s="332"/>
      <c r="P47" s="332"/>
      <c r="Q47" s="332"/>
      <c r="R47" s="329" t="s">
        <v>57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59</v>
      </c>
      <c r="O48" s="332"/>
      <c r="P48" s="332"/>
      <c r="Q48" s="332"/>
      <c r="R48" s="329" t="s">
        <v>60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61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62</v>
      </c>
      <c r="O49" s="333"/>
      <c r="P49" s="333"/>
      <c r="Q49" s="333"/>
      <c r="R49" s="328" t="s">
        <v>63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64</v>
      </c>
      <c r="O50" s="332"/>
      <c r="P50" s="332"/>
      <c r="Q50" s="332"/>
      <c r="R50" s="329" t="s">
        <v>65</v>
      </c>
      <c r="S50" s="329"/>
      <c r="T50" s="329"/>
      <c r="U50" s="329"/>
      <c r="V50" s="329"/>
      <c r="W50" s="329"/>
      <c r="X50" s="329"/>
    </row>
    <row r="51" spans="1:24" ht="14.45">
      <c r="N51" s="332" t="s">
        <v>38</v>
      </c>
      <c r="O51" s="332"/>
      <c r="P51" s="332"/>
      <c r="Q51" s="332"/>
      <c r="R51" s="329" t="s">
        <v>66</v>
      </c>
      <c r="S51" s="329"/>
      <c r="T51" s="329"/>
      <c r="U51" s="329"/>
      <c r="V51" s="329"/>
      <c r="W51" s="329"/>
      <c r="X51" s="329"/>
    </row>
    <row r="52" spans="1:24" ht="14.45">
      <c r="N52" s="332" t="s">
        <v>29</v>
      </c>
      <c r="O52" s="332"/>
      <c r="P52" s="332"/>
      <c r="Q52" s="332"/>
      <c r="R52" s="329" t="s">
        <v>57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C12" activePane="bottomLeft" state="frozen"/>
      <selection pane="bottomLeft" activeCell="J15" sqref="J15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67</v>
      </c>
      <c r="E1" s="415"/>
      <c r="F1" s="415"/>
      <c r="G1" s="415"/>
      <c r="H1" s="415"/>
      <c r="I1" s="415"/>
      <c r="J1" s="421" t="s">
        <v>68</v>
      </c>
      <c r="K1" s="422"/>
      <c r="L1" s="422"/>
      <c r="M1" s="423"/>
      <c r="N1" s="416">
        <f>IF('Soli_citud '!O1="","",'Soli_citud '!O1)</f>
        <v>45126</v>
      </c>
      <c r="O1" s="417"/>
      <c r="P1" s="467" t="s">
        <v>69</v>
      </c>
      <c r="Q1" s="468"/>
      <c r="R1" s="463" t="str">
        <f>IF('Soli_citud '!D4="","",'Soli_citud '!D4)</f>
        <v>zapato deportivo informal</v>
      </c>
      <c r="S1" s="464"/>
      <c r="Z1" t="s">
        <v>70</v>
      </c>
      <c r="AA1" s="252" t="s">
        <v>70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71</v>
      </c>
      <c r="K2" s="425"/>
      <c r="L2" s="425"/>
      <c r="M2" s="426"/>
      <c r="N2" s="418" t="str">
        <f>'Soli_citud '!F1</f>
        <v>FC1907-1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72</v>
      </c>
      <c r="K3" s="420"/>
      <c r="L3" s="420"/>
      <c r="M3" s="420"/>
      <c r="N3" s="406">
        <f>IF('Soli_citud '!O3="","",'Soli_citud '!O3)</f>
        <v>2472805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73</v>
      </c>
      <c r="K4" s="411"/>
      <c r="L4" s="411"/>
      <c r="M4" s="412" t="str">
        <f>IF('Soli_citud '!O4="","",'Soli_citud '!O4)</f>
        <v>Calzado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74</v>
      </c>
      <c r="C6" s="453"/>
      <c r="D6" s="454"/>
      <c r="E6" s="408" t="s">
        <v>75</v>
      </c>
      <c r="F6" s="408"/>
      <c r="G6" s="408"/>
      <c r="H6" s="408"/>
      <c r="I6" s="409"/>
      <c r="J6" s="443" t="s">
        <v>76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35862.004974523494</v>
      </c>
      <c r="C8" s="431"/>
      <c r="D8" s="432"/>
      <c r="E8" s="449" t="s">
        <v>77</v>
      </c>
      <c r="F8" s="450"/>
      <c r="G8" s="450"/>
      <c r="H8" s="450"/>
      <c r="I8" s="451"/>
      <c r="J8" s="445" t="str">
        <f>IF('Soli_citud '!E2="","",'Soli_citud '!E2)</f>
        <v>Fredy Calderón Lozano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78</v>
      </c>
      <c r="C9" s="434"/>
      <c r="D9" s="459"/>
      <c r="E9" s="458" t="s">
        <v>79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80</v>
      </c>
      <c r="K10" s="428"/>
      <c r="L10" s="429"/>
      <c r="M10" s="242">
        <f>'Soli_citud '!K5</f>
        <v>1</v>
      </c>
      <c r="N10" s="447" t="s">
        <v>81</v>
      </c>
      <c r="O10" s="448"/>
      <c r="P10" s="471"/>
      <c r="Q10" s="472"/>
      <c r="R10" s="243" t="s">
        <v>82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83</v>
      </c>
      <c r="B11" s="264" t="s">
        <v>84</v>
      </c>
      <c r="C11" s="460" t="s">
        <v>85</v>
      </c>
      <c r="D11" s="461"/>
      <c r="E11" s="461"/>
      <c r="F11" s="462"/>
      <c r="G11" s="112" t="s">
        <v>86</v>
      </c>
      <c r="H11" s="112" t="s">
        <v>87</v>
      </c>
      <c r="I11" s="237" t="s">
        <v>88</v>
      </c>
      <c r="J11" s="110" t="s">
        <v>89</v>
      </c>
      <c r="K11" s="223" t="s">
        <v>90</v>
      </c>
      <c r="L11" s="419" t="s">
        <v>24</v>
      </c>
      <c r="M11" s="427"/>
      <c r="N11" s="240" t="s">
        <v>91</v>
      </c>
      <c r="O11" s="240" t="s">
        <v>92</v>
      </c>
      <c r="P11" s="244" t="s">
        <v>93</v>
      </c>
      <c r="Q11" s="245" t="s">
        <v>94</v>
      </c>
      <c r="R11" s="236" t="s">
        <v>95</v>
      </c>
      <c r="S11" s="224" t="s">
        <v>96</v>
      </c>
    </row>
    <row r="12" spans="1:27" ht="19.5" customHeight="1">
      <c r="A12" s="78">
        <v>1</v>
      </c>
      <c r="B12" s="265" t="str">
        <f>IF(H12="","",$N$2)</f>
        <v>FC1907-1</v>
      </c>
      <c r="C12" s="403" t="str">
        <f>IFERROR(IF('Soli_citud '!D10="","",'Soli_citud '!D10),"")</f>
        <v>CUERO NAPA CON CERA Y ACABADO ESPEJO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16</v>
      </c>
      <c r="I12" s="227">
        <v>45142</v>
      </c>
      <c r="J12" s="228">
        <v>16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FC1907-1</v>
      </c>
      <c r="C13" s="403" t="str">
        <f>IFERROR(IF('Soli_citud '!D11="","",'Soli_citud '!D11),"")</f>
        <v xml:space="preserve">CUERO FORRO BADANA
</v>
      </c>
      <c r="D13" s="403"/>
      <c r="E13" s="403"/>
      <c r="F13" s="403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6</v>
      </c>
      <c r="I13" s="227"/>
      <c r="J13" s="229"/>
      <c r="K13" s="207" cm="1">
        <f t="array" ref="K13">IFERROR(_xlfn.IFS(H13="","",J13=H13,"Cumplido",J13&lt;H13,H13-J13,J13&gt;H13,"Revisar"),"")</f>
        <v>6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FC1907-1</v>
      </c>
      <c r="C14" s="403" t="str">
        <f>IFERROR(IF('Soli_citud '!D12="","",'Soli_citud '!D12),"")</f>
        <v xml:space="preserve">SUELA EN CAUCHO 
</v>
      </c>
      <c r="D14" s="403"/>
      <c r="E14" s="403"/>
      <c r="F14" s="403"/>
      <c r="G14" s="226" t="str">
        <f ca="1">IF('Soli_citud '!O12="","",'Soli_citud '!O12)</f>
        <v>Par</v>
      </c>
      <c r="H14" s="226" cm="1">
        <f t="array" ref="H14">_xlfn.IFS('Soli_citud '!S12="","",'Soli_citud '!S12&lt;=0,"",'Soli_citud '!S12&gt;0,'Soli_citud '!S12)</f>
        <v>1</v>
      </c>
      <c r="I14" s="230"/>
      <c r="J14" s="229"/>
      <c r="K14" s="207" cm="1">
        <f t="array" ref="K14">IFERROR(_xlfn.IFS(H14="","",J14=H14,"Cumplido",J14&lt;H14,H14-J14,J14&gt;H14,"Revisar"),"")</f>
        <v>1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FC1907-1</v>
      </c>
      <c r="C15" s="403" t="str">
        <f>IFERROR(IF('Soli_citud '!D13="","",'Soli_citud '!D13),"")</f>
        <v>CORDON  REDONDO 1,10 M GRIS AZULADO</v>
      </c>
      <c r="D15" s="403"/>
      <c r="E15" s="403"/>
      <c r="F15" s="403"/>
      <c r="G15" s="226" t="str">
        <f ca="1">IF('Soli_citud '!O13="","",'Soli_citud '!O13)</f>
        <v>Par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FC1907-1</v>
      </c>
      <c r="C16" s="403" t="str">
        <f>IFERROR(IF('Soli_citud '!D14="","",'Soli_citud '!D14),"")</f>
        <v>ODENA 1,1 mm</v>
      </c>
      <c r="D16" s="403"/>
      <c r="E16" s="403"/>
      <c r="F16" s="403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1200</v>
      </c>
      <c r="I16" s="230"/>
      <c r="J16" s="229"/>
      <c r="K16" s="207" cm="1">
        <f t="array" ref="K16">IFERROR(_xlfn.IFS(H16="","",J16=H16,"Cumplido",J16&lt;H16,H16-J16,J16&gt;H16,"Revisar"),"")</f>
        <v>1200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FC1907-1</v>
      </c>
      <c r="C17" s="403" t="str">
        <f>IFERROR(IF('Soli_citud '!D15="","",'Soli_citud '!D15),"")</f>
        <v xml:space="preserve">CLAVOS ACERO </v>
      </c>
      <c r="D17" s="403"/>
      <c r="E17" s="403"/>
      <c r="F17" s="403"/>
      <c r="G17" s="226" t="str">
        <f ca="1">IF('Soli_citud '!O15="","",'Soli_citud '!O15)</f>
        <v>lb</v>
      </c>
      <c r="H17" s="226" cm="1">
        <f t="array" ref="H17">_xlfn.IFS('Soli_citud '!S15="","",'Soli_citud '!S15&lt;=0,"",'Soli_citud '!S15&gt;0,'Soli_citud '!S15)</f>
        <v>0.5</v>
      </c>
      <c r="I17" s="230"/>
      <c r="J17" s="229"/>
      <c r="K17" s="207" cm="1">
        <f t="array" ref="K17">IFERROR(_xlfn.IFS(H17="","",J17=H17,"Cumplido",J17&lt;H17,H17-J17,J17&gt;H17,"Revisar"),"")</f>
        <v>0.5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>ESPUMA  DE BAJA DENSIDAD</v>
      </c>
      <c r="D18" s="403"/>
      <c r="E18" s="403"/>
      <c r="F18" s="403"/>
      <c r="G18" s="226" t="str">
        <f ca="1">IF('Soli_citud '!O16="","",'Soli_citud '!O16)</f>
        <v>m</v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FC1907-1</v>
      </c>
      <c r="C19" s="403" t="str">
        <f>IFERROR(IF('Soli_citud '!D17="","",'Soli_citud '!D17),"")</f>
        <v>lAMBRILLA 3 mm ( EVA)</v>
      </c>
      <c r="D19" s="403"/>
      <c r="E19" s="403"/>
      <c r="F19" s="403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1200</v>
      </c>
      <c r="I19" s="230"/>
      <c r="J19" s="229"/>
      <c r="K19" s="207" cm="1">
        <f t="array" ref="K19">IFERROR(_xlfn.IFS(H19="","",J19=H19,"Cumplido",J19&lt;H19,H19-J19,J19&gt;H19,"Revisar"),"")</f>
        <v>1200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FC1907-1</v>
      </c>
      <c r="C20" s="403" t="str">
        <f>IFERROR(IF('Soli_citud '!D18="","",'Soli_citud '!D18),"")</f>
        <v>MOIRA FORRO DE BUEN CALIBRE PARA USO EXTERNO E INTERNO POLIESTER</v>
      </c>
      <c r="D20" s="403"/>
      <c r="E20" s="403"/>
      <c r="F20" s="403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1200</v>
      </c>
      <c r="I20" s="230"/>
      <c r="J20" s="229"/>
      <c r="K20" s="207" cm="1">
        <f t="array" ref="K20">IFERROR(_xlfn.IFS(H20="","",J20=H20,"Cumplido",J20&lt;H20,H20-J20,J20&gt;H20,"Revisar"),"")</f>
        <v>1200</v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FC1907-1</v>
      </c>
      <c r="C21" s="403" t="str">
        <f>IFERROR(IF('Soli_citud '!D19="","",'Soli_citud '!D19),"")</f>
        <v xml:space="preserve">ADHESIVO PU
</v>
      </c>
      <c r="D21" s="403"/>
      <c r="E21" s="403"/>
      <c r="F21" s="403"/>
      <c r="G21" s="226" t="str">
        <f ca="1">IF('Soli_citud '!O19="","",'Soli_citud '!O19)</f>
        <v>ml</v>
      </c>
      <c r="H21" s="226" cm="1">
        <f t="array" ref="H21">_xlfn.IFS('Soli_citud '!S19="","",'Soli_citud '!S19&lt;=0,"",'Soli_citud '!S19&gt;0,'Soli_citud '!S19)</f>
        <v>5</v>
      </c>
      <c r="I21" s="230"/>
      <c r="J21" s="229"/>
      <c r="K21" s="207" cm="1">
        <f t="array" ref="K21">IFERROR(_xlfn.IFS(H21="","",J21=H21,"Cumplido",J21&lt;H21,H21-J21,J21&gt;H21,"Revisar"),"")</f>
        <v>5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FC1907-1</v>
      </c>
      <c r="C22" s="403" t="str">
        <f>IFERROR(IF('Soli_citud '!D20="","",'Soli_citud '!D20),"")</f>
        <v xml:space="preserve">AQUAPREN GUARNECIDA
</v>
      </c>
      <c r="D22" s="403"/>
      <c r="E22" s="403"/>
      <c r="F22" s="403"/>
      <c r="G22" s="226" t="str">
        <f ca="1">IF('Soli_citud '!O20="","",'Soli_citud '!O20)</f>
        <v>ml</v>
      </c>
      <c r="H22" s="226" cm="1">
        <f t="array" ref="H22">_xlfn.IFS('Soli_citud '!S20="","",'Soli_citud '!S20&lt;=0,"",'Soli_citud '!S20&gt;0,'Soli_citud '!S20)</f>
        <v>5</v>
      </c>
      <c r="I22" s="230"/>
      <c r="J22" s="229"/>
      <c r="K22" s="207" cm="1">
        <f t="array" ref="K22">IFERROR(_xlfn.IFS(H22="","",J22=H22,"Cumplido",J22&lt;H22,H22-J22,J22&gt;H22,"Revisar"),"")</f>
        <v>5</v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FC1907-1</v>
      </c>
      <c r="C23" s="403" t="str">
        <f>IFERROR(IF('Soli_citud '!D21="","",'Soli_citud '!D21),"")</f>
        <v xml:space="preserve">ADHESIVO PU
</v>
      </c>
      <c r="D23" s="403"/>
      <c r="E23" s="403"/>
      <c r="F23" s="403"/>
      <c r="G23" s="226" t="str">
        <f ca="1">IF('Soli_citud '!O21="","",'Soli_citud '!O21)</f>
        <v>ml</v>
      </c>
      <c r="H23" s="226" cm="1">
        <f t="array" ref="H23">_xlfn.IFS('Soli_citud '!S21="","",'Soli_citud '!S21&lt;=0,"",'Soli_citud '!S21&gt;0,'Soli_citud '!S21)</f>
        <v>5</v>
      </c>
      <c r="I23" s="230"/>
      <c r="J23" s="229"/>
      <c r="K23" s="207" cm="1">
        <f t="array" ref="K23">IFERROR(_xlfn.IFS(H23="","",J23=H23,"Cumplido",J23&lt;H23,H23-J23,J23&gt;H23,"Revisar"),"")</f>
        <v>5</v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FC1907-1</v>
      </c>
      <c r="C24" s="403" t="str">
        <f>IFERROR(IF('Soli_citud '!D22="","",'Soli_citud '!D22),"")</f>
        <v xml:space="preserve">LIMPIADOR  DE SUELAS </v>
      </c>
      <c r="D24" s="403"/>
      <c r="E24" s="403"/>
      <c r="F24" s="403"/>
      <c r="G24" s="226" t="str">
        <f ca="1">IF('Soli_citud '!O22="","",'Soli_citud '!O22)</f>
        <v>ml</v>
      </c>
      <c r="H24" s="226" cm="1">
        <f t="array" ref="H24">_xlfn.IFS('Soli_citud '!S22="","",'Soli_citud '!S22&lt;=0,"",'Soli_citud '!S22&gt;0,'Soli_citud '!S22)</f>
        <v>5</v>
      </c>
      <c r="I24" s="230"/>
      <c r="J24" s="229"/>
      <c r="K24" s="207" cm="1">
        <f t="array" ref="K24">IFERROR(_xlfn.IFS(H24="","",J24=H24,"Cumplido",J24&lt;H24,H24-J24,J24&gt;H24,"Revisar"),"")</f>
        <v>5</v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97</v>
      </c>
      <c r="F1" s="490"/>
      <c r="Z1" s="252" t="s">
        <v>70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98</v>
      </c>
      <c r="B6" s="304">
        <f>SUBTOTAL(3,(BD!$B$8:$B$20))</f>
        <v>13</v>
      </c>
      <c r="C6" s="488"/>
      <c r="D6" s="489"/>
      <c r="H6" s="486" t="s">
        <v>99</v>
      </c>
      <c r="I6" s="486"/>
    </row>
    <row r="7" spans="1:26" ht="46.9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41</v>
      </c>
      <c r="C8" s="140" t="s">
        <v>40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40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42</v>
      </c>
      <c r="C10" s="140" t="s">
        <v>40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40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40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40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43</v>
      </c>
      <c r="C14" s="140" t="s">
        <v>40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116</v>
      </c>
      <c r="C15" s="140" t="s">
        <v>40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40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40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40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40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121</v>
      </c>
      <c r="C20" s="275" t="s">
        <v>40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123</v>
      </c>
      <c r="C34" s="219" t="s">
        <v>124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19" t="s">
        <v>124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19" t="s">
        <v>124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19" t="s">
        <v>124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19" t="s">
        <v>124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19" t="s">
        <v>124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19" t="s">
        <v>124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19" t="s">
        <v>124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19" t="s">
        <v>124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19" t="s">
        <v>124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19" t="s">
        <v>124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19" t="s">
        <v>124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19" t="s">
        <v>124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19" t="s">
        <v>124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19" t="s">
        <v>124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19" t="s">
        <v>124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19" t="s">
        <v>124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19" t="s">
        <v>124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19" t="s">
        <v>124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19" t="s">
        <v>124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19" t="s">
        <v>124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19" t="s">
        <v>124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19" t="s">
        <v>124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19" t="s">
        <v>124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19" t="s">
        <v>124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19" t="s">
        <v>124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19" t="s">
        <v>124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19" t="s">
        <v>124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19" t="s">
        <v>124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19" t="s">
        <v>124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19" t="s">
        <v>124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19" t="s">
        <v>124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19" t="s">
        <v>124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19" t="s">
        <v>124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19" t="s">
        <v>124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19" t="s">
        <v>124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19" t="s">
        <v>124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19" t="s">
        <v>124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19" t="s">
        <v>124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19" t="s">
        <v>124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19" t="s">
        <v>124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19" t="s">
        <v>124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19" t="s">
        <v>124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19" t="s">
        <v>124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19" t="s">
        <v>124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19" t="s">
        <v>124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19" t="s">
        <v>124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19" t="s">
        <v>124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19" t="s">
        <v>124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19" t="s">
        <v>124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19" t="s">
        <v>124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19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19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19" t="s">
        <v>124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19" t="s">
        <v>124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19" t="s">
        <v>124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19" t="s">
        <v>124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19" t="s">
        <v>124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19" t="s">
        <v>124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19" t="s">
        <v>124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19" t="s">
        <v>124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19" t="s">
        <v>124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19" t="s">
        <v>124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19" t="s">
        <v>124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19" t="s">
        <v>124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19" t="s">
        <v>124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19" t="s">
        <v>124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19" t="s">
        <v>124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19" t="s">
        <v>124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19" t="s">
        <v>124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19" t="s">
        <v>124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19" t="s">
        <v>124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19" t="s">
        <v>124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19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19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19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19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19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19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19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19" t="s">
        <v>124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19" t="s">
        <v>124</v>
      </c>
      <c r="D115" s="48" t="s">
        <v>208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19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19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19" t="s">
        <v>124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19" t="s">
        <v>124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19" t="s">
        <v>124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19" t="s">
        <v>124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19" t="s">
        <v>124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19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19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19" t="s">
        <v>124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19" t="s">
        <v>124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19" t="s">
        <v>124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19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19" t="s">
        <v>124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19" t="s">
        <v>124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19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19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19" t="s">
        <v>124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19" t="s">
        <v>124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19" t="s">
        <v>124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19" t="s">
        <v>124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19" t="s">
        <v>124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19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19" t="s">
        <v>124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19" t="s">
        <v>124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19" t="s">
        <v>124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238</v>
      </c>
      <c r="C162" s="219" t="s">
        <v>31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239</v>
      </c>
      <c r="C163" s="219" t="s">
        <v>31</v>
      </c>
      <c r="D163" s="48" t="s">
        <v>240</v>
      </c>
      <c r="E163" s="43">
        <v>45667</v>
      </c>
      <c r="F163" s="188" t="s">
        <v>240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241</v>
      </c>
      <c r="C164" s="219" t="s">
        <v>31</v>
      </c>
      <c r="D164" s="48" t="s">
        <v>242</v>
      </c>
      <c r="E164" s="43">
        <v>41000</v>
      </c>
      <c r="F164" s="188" t="s">
        <v>243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244</v>
      </c>
      <c r="C165" s="219" t="s">
        <v>31</v>
      </c>
      <c r="D165" s="48" t="s">
        <v>242</v>
      </c>
      <c r="E165" s="43">
        <v>58500</v>
      </c>
      <c r="F165" s="188" t="s">
        <v>243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31</v>
      </c>
      <c r="D166" s="48" t="s">
        <v>240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31</v>
      </c>
      <c r="D167" s="48" t="s">
        <v>176</v>
      </c>
      <c r="E167" s="43">
        <v>639</v>
      </c>
      <c r="F167" s="48" t="s">
        <v>176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31</v>
      </c>
      <c r="D168" s="48" t="s">
        <v>176</v>
      </c>
      <c r="E168" s="43">
        <v>639</v>
      </c>
      <c r="F168" s="48" t="s">
        <v>176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249</v>
      </c>
      <c r="C169" s="219" t="s">
        <v>31</v>
      </c>
      <c r="D169" s="48" t="s">
        <v>176</v>
      </c>
      <c r="E169" s="43">
        <v>639</v>
      </c>
      <c r="F169" s="48" t="s">
        <v>176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250</v>
      </c>
      <c r="C170" s="219" t="s">
        <v>31</v>
      </c>
      <c r="D170" s="48" t="s">
        <v>176</v>
      </c>
      <c r="E170" s="43">
        <v>639</v>
      </c>
      <c r="F170" s="48" t="s">
        <v>176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251</v>
      </c>
      <c r="C171" s="219" t="s">
        <v>31</v>
      </c>
      <c r="D171" s="48" t="s">
        <v>176</v>
      </c>
      <c r="E171" s="43">
        <v>639</v>
      </c>
      <c r="F171" s="48" t="s">
        <v>176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252</v>
      </c>
      <c r="C172" s="219" t="s">
        <v>31</v>
      </c>
      <c r="D172" s="48" t="s">
        <v>176</v>
      </c>
      <c r="E172" s="43">
        <v>639</v>
      </c>
      <c r="F172" s="48" t="s">
        <v>176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253</v>
      </c>
      <c r="C173" s="219" t="s">
        <v>31</v>
      </c>
      <c r="D173" s="48" t="s">
        <v>176</v>
      </c>
      <c r="E173" s="43">
        <v>639</v>
      </c>
      <c r="F173" s="48" t="s">
        <v>176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254</v>
      </c>
      <c r="C174" s="219" t="s">
        <v>31</v>
      </c>
      <c r="D174" s="48" t="s">
        <v>176</v>
      </c>
      <c r="E174" s="43">
        <v>639</v>
      </c>
      <c r="F174" s="48" t="s">
        <v>176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255</v>
      </c>
      <c r="C175" s="219" t="s">
        <v>31</v>
      </c>
      <c r="D175" s="48" t="s">
        <v>176</v>
      </c>
      <c r="E175" s="43">
        <v>639</v>
      </c>
      <c r="F175" s="48" t="s">
        <v>176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256</v>
      </c>
      <c r="C176" s="219" t="s">
        <v>31</v>
      </c>
      <c r="D176" s="48" t="s">
        <v>176</v>
      </c>
      <c r="E176" s="43">
        <v>639</v>
      </c>
      <c r="F176" s="48" t="s">
        <v>176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257</v>
      </c>
      <c r="C177" s="219" t="s">
        <v>31</v>
      </c>
      <c r="D177" s="48" t="s">
        <v>176</v>
      </c>
      <c r="E177" s="43">
        <v>639</v>
      </c>
      <c r="F177" s="48" t="s">
        <v>176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258</v>
      </c>
      <c r="C178" s="219" t="s">
        <v>31</v>
      </c>
      <c r="D178" s="48" t="s">
        <v>176</v>
      </c>
      <c r="E178" s="43">
        <v>475</v>
      </c>
      <c r="F178" s="48" t="s">
        <v>176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259</v>
      </c>
      <c r="C179" s="219" t="s">
        <v>31</v>
      </c>
      <c r="D179" s="48" t="s">
        <v>176</v>
      </c>
      <c r="E179" s="43">
        <v>475</v>
      </c>
      <c r="F179" s="48" t="s">
        <v>176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260</v>
      </c>
      <c r="C180" s="219" t="s">
        <v>31</v>
      </c>
      <c r="D180" s="48" t="s">
        <v>176</v>
      </c>
      <c r="E180" s="43">
        <v>475</v>
      </c>
      <c r="F180" s="48" t="s">
        <v>176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261</v>
      </c>
      <c r="C181" s="219" t="s">
        <v>31</v>
      </c>
      <c r="D181" s="48" t="s">
        <v>176</v>
      </c>
      <c r="E181" s="43">
        <v>475</v>
      </c>
      <c r="F181" s="48" t="s">
        <v>176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262</v>
      </c>
      <c r="C182" s="219" t="s">
        <v>31</v>
      </c>
      <c r="D182" s="48" t="s">
        <v>176</v>
      </c>
      <c r="E182" s="43">
        <v>475</v>
      </c>
      <c r="F182" s="48" t="s">
        <v>176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263</v>
      </c>
      <c r="C183" s="219" t="s">
        <v>31</v>
      </c>
      <c r="D183" s="48" t="s">
        <v>176</v>
      </c>
      <c r="E183" s="43">
        <v>475</v>
      </c>
      <c r="F183" s="48" t="s">
        <v>176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32</v>
      </c>
      <c r="C184" s="219" t="s">
        <v>31</v>
      </c>
      <c r="D184" s="48" t="s">
        <v>176</v>
      </c>
      <c r="E184" s="43">
        <v>475</v>
      </c>
      <c r="F184" s="48" t="s">
        <v>176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9" t="s">
        <v>31</v>
      </c>
      <c r="D185" s="48" t="s">
        <v>176</v>
      </c>
      <c r="E185" s="43">
        <v>475</v>
      </c>
      <c r="F185" s="48" t="s">
        <v>176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9" t="s">
        <v>31</v>
      </c>
      <c r="D186" s="48" t="s">
        <v>176</v>
      </c>
      <c r="E186" s="43">
        <v>475</v>
      </c>
      <c r="F186" s="48" t="s">
        <v>176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9" t="s">
        <v>31</v>
      </c>
      <c r="D187" s="48" t="s">
        <v>176</v>
      </c>
      <c r="E187" s="43">
        <v>475</v>
      </c>
      <c r="F187" s="48" t="s">
        <v>176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9" t="s">
        <v>31</v>
      </c>
      <c r="D188" s="48" t="s">
        <v>176</v>
      </c>
      <c r="E188" s="43">
        <v>475</v>
      </c>
      <c r="F188" s="48" t="s">
        <v>176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9" t="s">
        <v>31</v>
      </c>
      <c r="D189" s="48" t="s">
        <v>176</v>
      </c>
      <c r="E189" s="43">
        <v>475</v>
      </c>
      <c r="F189" s="48" t="s">
        <v>176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9" t="s">
        <v>31</v>
      </c>
      <c r="D190" s="48" t="s">
        <v>176</v>
      </c>
      <c r="E190" s="43">
        <v>475</v>
      </c>
      <c r="F190" s="48" t="s">
        <v>176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9" t="s">
        <v>31</v>
      </c>
      <c r="D191" s="58" t="s">
        <v>176</v>
      </c>
      <c r="E191" s="43">
        <v>475</v>
      </c>
      <c r="F191" s="58" t="s">
        <v>176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9" t="s">
        <v>31</v>
      </c>
      <c r="D192" s="58" t="s">
        <v>176</v>
      </c>
      <c r="E192" s="43">
        <v>475</v>
      </c>
      <c r="F192" s="58" t="s">
        <v>176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9" t="s">
        <v>31</v>
      </c>
      <c r="D193" s="58" t="s">
        <v>176</v>
      </c>
      <c r="E193" s="43">
        <v>475</v>
      </c>
      <c r="F193" s="58" t="s">
        <v>176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9" t="s">
        <v>31</v>
      </c>
      <c r="D194" s="58" t="s">
        <v>176</v>
      </c>
      <c r="E194" s="43">
        <v>475</v>
      </c>
      <c r="F194" s="58" t="s">
        <v>176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9" t="s">
        <v>31</v>
      </c>
      <c r="D195" s="58" t="s">
        <v>176</v>
      </c>
      <c r="E195" s="43">
        <v>475</v>
      </c>
      <c r="F195" s="58" t="s">
        <v>176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9" t="s">
        <v>31</v>
      </c>
      <c r="D196" s="58" t="s">
        <v>176</v>
      </c>
      <c r="E196" s="43">
        <v>475</v>
      </c>
      <c r="F196" s="58" t="s">
        <v>176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9" t="s">
        <v>31</v>
      </c>
      <c r="D197" s="58" t="s">
        <v>176</v>
      </c>
      <c r="E197" s="43">
        <v>475</v>
      </c>
      <c r="F197" s="58" t="s">
        <v>176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9" t="s">
        <v>31</v>
      </c>
      <c r="D198" s="48" t="s">
        <v>176</v>
      </c>
      <c r="E198" s="43">
        <v>475</v>
      </c>
      <c r="F198" s="48" t="s">
        <v>176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9" t="s">
        <v>31</v>
      </c>
      <c r="D199" s="48" t="s">
        <v>176</v>
      </c>
      <c r="E199" s="43">
        <v>475</v>
      </c>
      <c r="F199" s="48" t="s">
        <v>176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9" t="s">
        <v>31</v>
      </c>
      <c r="D200" s="48" t="s">
        <v>176</v>
      </c>
      <c r="E200" s="43">
        <v>475</v>
      </c>
      <c r="F200" s="48" t="s">
        <v>176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9" t="s">
        <v>31</v>
      </c>
      <c r="D201" s="151" t="s">
        <v>176</v>
      </c>
      <c r="E201" s="43">
        <v>475</v>
      </c>
      <c r="F201" s="48" t="s">
        <v>176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9" t="s">
        <v>31</v>
      </c>
      <c r="D202" s="48" t="s">
        <v>176</v>
      </c>
      <c r="E202" s="43">
        <v>475</v>
      </c>
      <c r="F202" s="48" t="s">
        <v>176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9" t="s">
        <v>31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9" t="s">
        <v>31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9" t="s">
        <v>31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9" t="s">
        <v>31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9" t="s">
        <v>31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9" t="s">
        <v>31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9" t="s">
        <v>31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9" t="s">
        <v>31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9" t="s">
        <v>31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9" t="s">
        <v>31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9" t="s">
        <v>31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9" t="s">
        <v>31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9" t="s">
        <v>31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9" t="s">
        <v>31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9" t="s">
        <v>31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9" t="s">
        <v>31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9" t="s">
        <v>31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9" t="s">
        <v>31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9" t="s">
        <v>31</v>
      </c>
      <c r="D221" s="48" t="s">
        <v>176</v>
      </c>
      <c r="E221" s="43">
        <v>475.34</v>
      </c>
      <c r="F221" s="300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9" t="s">
        <v>31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9" t="s">
        <v>31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9" t="s">
        <v>31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9" t="s">
        <v>31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9" t="s">
        <v>31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9" t="s">
        <v>31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9" t="s">
        <v>31</v>
      </c>
      <c r="D228" s="48" t="s">
        <v>243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9" t="s">
        <v>31</v>
      </c>
      <c r="D229" s="48" t="s">
        <v>243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310</v>
      </c>
      <c r="C230" s="219" t="s">
        <v>31</v>
      </c>
      <c r="D230" s="48" t="s">
        <v>243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9" t="s">
        <v>31</v>
      </c>
      <c r="D231" s="48" t="s">
        <v>243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31</v>
      </c>
      <c r="D232" s="49" t="s">
        <v>240</v>
      </c>
      <c r="E232" s="166">
        <v>16471.25</v>
      </c>
      <c r="F232" s="301" t="s">
        <v>240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31</v>
      </c>
      <c r="D233" s="49" t="s">
        <v>240</v>
      </c>
      <c r="E233" s="166">
        <v>32931.5</v>
      </c>
      <c r="F233" s="301" t="s">
        <v>240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31</v>
      </c>
      <c r="D234" s="49" t="s">
        <v>240</v>
      </c>
      <c r="E234" s="166">
        <v>16209.5</v>
      </c>
      <c r="F234" s="301" t="s">
        <v>240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31</v>
      </c>
      <c r="D235" s="49" t="s">
        <v>240</v>
      </c>
      <c r="E235" s="166">
        <v>32417</v>
      </c>
      <c r="F235" s="301" t="s">
        <v>240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31</v>
      </c>
      <c r="D236" s="49" t="s">
        <v>240</v>
      </c>
      <c r="E236" s="166">
        <v>50250</v>
      </c>
      <c r="F236" s="301" t="s">
        <v>240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31</v>
      </c>
      <c r="D237" s="49" t="s">
        <v>240</v>
      </c>
      <c r="E237" s="166">
        <v>25131.5</v>
      </c>
      <c r="F237" s="301" t="s">
        <v>240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31</v>
      </c>
      <c r="D238" s="48" t="s">
        <v>242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31</v>
      </c>
      <c r="D239" s="48" t="s">
        <v>243</v>
      </c>
      <c r="E239" s="43">
        <v>92</v>
      </c>
      <c r="F239" s="193" t="s">
        <v>243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9" t="s">
        <v>31</v>
      </c>
      <c r="D240" s="48" t="s">
        <v>243</v>
      </c>
      <c r="E240" s="43">
        <v>92</v>
      </c>
      <c r="F240" s="193" t="s">
        <v>243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9" t="s">
        <v>31</v>
      </c>
      <c r="D241" s="48" t="s">
        <v>243</v>
      </c>
      <c r="E241" s="43">
        <v>92</v>
      </c>
      <c r="F241" s="193" t="s">
        <v>243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36</v>
      </c>
      <c r="C242" s="219" t="s">
        <v>31</v>
      </c>
      <c r="D242" s="48" t="s">
        <v>246</v>
      </c>
      <c r="E242" s="43">
        <v>8591.7999999999993</v>
      </c>
      <c r="F242" s="193" t="s">
        <v>243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31</v>
      </c>
      <c r="D243" s="48" t="s">
        <v>243</v>
      </c>
      <c r="E243" s="43">
        <v>10740.701999999999</v>
      </c>
      <c r="F243" s="193" t="s">
        <v>243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31</v>
      </c>
      <c r="D244" s="48" t="s">
        <v>243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31</v>
      </c>
      <c r="D245" s="48" t="s">
        <v>243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31</v>
      </c>
      <c r="D246" s="48" t="s">
        <v>243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31</v>
      </c>
      <c r="D247" s="48" t="s">
        <v>242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31</v>
      </c>
      <c r="D248" s="48" t="s">
        <v>114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31</v>
      </c>
      <c r="D249" s="48" t="s">
        <v>114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31</v>
      </c>
      <c r="D250" s="277" t="s">
        <v>114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6" t="s">
        <v>31</v>
      </c>
      <c r="D251" s="277" t="s">
        <v>242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37</v>
      </c>
      <c r="C252" s="276" t="s">
        <v>31</v>
      </c>
      <c r="D252" s="277" t="s">
        <v>243</v>
      </c>
      <c r="E252" s="303">
        <v>7183</v>
      </c>
      <c r="F252" s="278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31</v>
      </c>
      <c r="D253" s="277" t="s">
        <v>243</v>
      </c>
      <c r="E253" s="303">
        <v>10597</v>
      </c>
      <c r="F253" s="278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31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31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31</v>
      </c>
      <c r="D256" s="277" t="s">
        <v>246</v>
      </c>
      <c r="E256" s="141"/>
      <c r="F256" s="278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31</v>
      </c>
      <c r="D257" s="277" t="s">
        <v>240</v>
      </c>
      <c r="E257" s="141">
        <v>8000</v>
      </c>
      <c r="F257" s="278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</v>
      </c>
      <c r="C258" s="276" t="s">
        <v>31</v>
      </c>
      <c r="D258" s="277" t="s">
        <v>240</v>
      </c>
      <c r="E258" s="141">
        <v>10000</v>
      </c>
      <c r="F258" s="278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31</v>
      </c>
      <c r="D259" s="277" t="s">
        <v>240</v>
      </c>
      <c r="E259" s="141">
        <v>10000</v>
      </c>
      <c r="F259" s="278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31</v>
      </c>
      <c r="D260" s="277" t="s">
        <v>246</v>
      </c>
      <c r="E260" s="141"/>
      <c r="F260" s="278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31</v>
      </c>
      <c r="D261" s="277" t="s">
        <v>208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31</v>
      </c>
      <c r="D262" s="277" t="s">
        <v>308</v>
      </c>
      <c r="E262" s="141">
        <v>28.18</v>
      </c>
      <c r="F262" s="278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31</v>
      </c>
      <c r="D263" s="277" t="s">
        <v>308</v>
      </c>
      <c r="E263" s="141">
        <v>2700</v>
      </c>
      <c r="F263" s="278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31</v>
      </c>
      <c r="D264" s="277" t="s">
        <v>308</v>
      </c>
      <c r="E264" s="141">
        <v>18.53</v>
      </c>
      <c r="F264" s="278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31</v>
      </c>
      <c r="D265" s="277" t="s">
        <v>243</v>
      </c>
      <c r="E265" s="141">
        <v>1800</v>
      </c>
      <c r="F265" s="278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31</v>
      </c>
      <c r="D266" s="277" t="s">
        <v>243</v>
      </c>
      <c r="E266" s="141">
        <v>1057</v>
      </c>
      <c r="F266" s="278" t="s">
        <v>243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31</v>
      </c>
      <c r="D267" s="277" t="s">
        <v>308</v>
      </c>
      <c r="E267" s="141">
        <v>18.53</v>
      </c>
      <c r="F267" s="278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31</v>
      </c>
      <c r="D268" s="277" t="s">
        <v>308</v>
      </c>
      <c r="E268" s="141">
        <v>22.8</v>
      </c>
      <c r="F268" s="278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31</v>
      </c>
      <c r="D269" s="277" t="s">
        <v>308</v>
      </c>
      <c r="E269" s="141">
        <v>22.8</v>
      </c>
      <c r="F269" s="278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31</v>
      </c>
      <c r="D270" s="277" t="s">
        <v>308</v>
      </c>
      <c r="E270" s="141">
        <v>14.73</v>
      </c>
      <c r="F270" s="278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31</v>
      </c>
      <c r="D271" s="277" t="s">
        <v>308</v>
      </c>
      <c r="E271" s="141">
        <v>14.73</v>
      </c>
      <c r="F271" s="278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31</v>
      </c>
      <c r="D272" s="277" t="s">
        <v>243</v>
      </c>
      <c r="E272" s="141">
        <v>819.99999999999989</v>
      </c>
      <c r="F272" s="278" t="s">
        <v>243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31</v>
      </c>
      <c r="D273" s="277" t="s">
        <v>243</v>
      </c>
      <c r="E273" s="141">
        <v>1170</v>
      </c>
      <c r="F273" s="278" t="s">
        <v>243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31</v>
      </c>
      <c r="D274" s="277" t="s">
        <v>243</v>
      </c>
      <c r="E274" s="141">
        <v>8000</v>
      </c>
      <c r="F274" s="278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31</v>
      </c>
      <c r="D275" s="277" t="s">
        <v>243</v>
      </c>
      <c r="E275" s="141">
        <v>11000</v>
      </c>
      <c r="F275" s="278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31</v>
      </c>
      <c r="D276" s="277" t="s">
        <v>243</v>
      </c>
      <c r="E276" s="141">
        <v>10858</v>
      </c>
      <c r="F276" s="278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31</v>
      </c>
      <c r="D277" s="277" t="s">
        <v>243</v>
      </c>
      <c r="E277" s="141">
        <v>13999.16</v>
      </c>
      <c r="F277" s="278" t="s">
        <v>243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31</v>
      </c>
      <c r="D278" s="277" t="s">
        <v>240</v>
      </c>
      <c r="E278" s="141"/>
      <c r="F278" s="278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31</v>
      </c>
      <c r="D279" s="277" t="s">
        <v>246</v>
      </c>
      <c r="E279" s="141"/>
      <c r="F279" s="278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31</v>
      </c>
      <c r="D280" s="277" t="s">
        <v>246</v>
      </c>
      <c r="E280" s="141"/>
      <c r="F280" s="278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31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31</v>
      </c>
      <c r="D282" s="277" t="s">
        <v>218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31</v>
      </c>
      <c r="D283" s="277" t="s">
        <v>243</v>
      </c>
      <c r="E283" s="141">
        <v>1035.3</v>
      </c>
      <c r="F283" s="278" t="s">
        <v>243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31</v>
      </c>
      <c r="D284" s="277" t="s">
        <v>242</v>
      </c>
      <c r="E284" s="141">
        <v>700</v>
      </c>
      <c r="F284" s="278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31</v>
      </c>
      <c r="D285" s="277" t="s">
        <v>242</v>
      </c>
      <c r="E285" s="141">
        <v>1100</v>
      </c>
      <c r="F285" s="278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31</v>
      </c>
      <c r="D286" s="277" t="s">
        <v>308</v>
      </c>
      <c r="E286" s="141">
        <v>1000</v>
      </c>
      <c r="F286" s="278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31</v>
      </c>
      <c r="D287" s="277" t="s">
        <v>243</v>
      </c>
      <c r="E287" s="141">
        <v>700</v>
      </c>
      <c r="F287" s="278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31</v>
      </c>
      <c r="D288" s="48" t="s">
        <v>243</v>
      </c>
      <c r="E288" s="166">
        <v>84</v>
      </c>
      <c r="F288" s="278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31</v>
      </c>
      <c r="D289" s="277" t="s">
        <v>243</v>
      </c>
      <c r="E289" s="166">
        <v>10780</v>
      </c>
      <c r="F289" s="278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83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369</v>
      </c>
      <c r="C516" s="219" t="s">
        <v>26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26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26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26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26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28</v>
      </c>
      <c r="C521" s="219" t="s">
        <v>26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26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26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27</v>
      </c>
      <c r="C524" s="219" t="s">
        <v>26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26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26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26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26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26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26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26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26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26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26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26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26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26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26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83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2" t="s">
        <v>391</v>
      </c>
      <c r="C562" s="219" t="s">
        <v>56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56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56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56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56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56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56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56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56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56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56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56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56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56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56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56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56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56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56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56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56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56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56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56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56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56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56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56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56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56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56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56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56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56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56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56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56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56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56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56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56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56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56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56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56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56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56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56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56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56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56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56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56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56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56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56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56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56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56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56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56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56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56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56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56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56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56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56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56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56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56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56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56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56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56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56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56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56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56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56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56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56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56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56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56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56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56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56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56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56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56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56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56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56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56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56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56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56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56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56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56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56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56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56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56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56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56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56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56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56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56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56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56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56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56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56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56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56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56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56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56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56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56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56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56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56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56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56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56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56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56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56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56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56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56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56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56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56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56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56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56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56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56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56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56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56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56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56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56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56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56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56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56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56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56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56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56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56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56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56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56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56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56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56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56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56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56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56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56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56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56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56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56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56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56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56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56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56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56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56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56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56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56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56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56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56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56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56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56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56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56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56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56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56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56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56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56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56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56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56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56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56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56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594</v>
      </c>
      <c r="C765" s="219" t="s">
        <v>56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56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56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56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56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56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56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56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56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56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56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56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56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56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56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56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56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56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56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56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56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56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56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617</v>
      </c>
      <c r="C788" s="219" t="s">
        <v>56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618</v>
      </c>
      <c r="C789" s="219" t="s">
        <v>56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619</v>
      </c>
      <c r="C790" s="219" t="s">
        <v>56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620</v>
      </c>
      <c r="C791" s="219" t="s">
        <v>56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621</v>
      </c>
      <c r="C792" s="219" t="s">
        <v>56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622</v>
      </c>
      <c r="C793" s="219" t="s">
        <v>56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623</v>
      </c>
      <c r="C794" s="219" t="s">
        <v>56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624</v>
      </c>
      <c r="C795" s="219" t="s">
        <v>56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625</v>
      </c>
      <c r="C796" s="219" t="s">
        <v>56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626</v>
      </c>
      <c r="C797" s="219" t="s">
        <v>56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627</v>
      </c>
      <c r="C798" s="219" t="s">
        <v>56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628</v>
      </c>
      <c r="C799" s="219" t="s">
        <v>56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629</v>
      </c>
      <c r="C800" s="219" t="s">
        <v>56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630</v>
      </c>
      <c r="C801" s="219" t="s">
        <v>56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631</v>
      </c>
      <c r="C802" s="219" t="s">
        <v>56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632</v>
      </c>
      <c r="C803" s="219" t="s">
        <v>56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633</v>
      </c>
      <c r="C804" s="219" t="s">
        <v>56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634</v>
      </c>
      <c r="C805" s="219" t="s">
        <v>56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635</v>
      </c>
      <c r="C806" s="219" t="s">
        <v>56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636</v>
      </c>
      <c r="C807" s="219" t="s">
        <v>56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637</v>
      </c>
      <c r="C808" s="219" t="s">
        <v>56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638</v>
      </c>
      <c r="C809" s="219" t="s">
        <v>56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639</v>
      </c>
      <c r="C810" s="219" t="s">
        <v>56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640</v>
      </c>
      <c r="C811" s="219" t="s">
        <v>56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641</v>
      </c>
      <c r="C812" s="219" t="s">
        <v>56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56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643</v>
      </c>
      <c r="C814" s="219" t="s">
        <v>56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644</v>
      </c>
      <c r="C815" s="219" t="s">
        <v>56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645</v>
      </c>
      <c r="C816" s="219" t="s">
        <v>56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646</v>
      </c>
      <c r="C817" s="219" t="s">
        <v>56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647</v>
      </c>
      <c r="C818" s="219" t="s">
        <v>56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648</v>
      </c>
      <c r="C819" s="219" t="s">
        <v>56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56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650</v>
      </c>
      <c r="C821" s="219" t="s">
        <v>56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56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56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653</v>
      </c>
      <c r="C824" s="219" t="s">
        <v>56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56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9" t="s">
        <v>56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656</v>
      </c>
      <c r="C827" s="219" t="s">
        <v>56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657</v>
      </c>
      <c r="C828" s="219" t="s">
        <v>56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658</v>
      </c>
      <c r="C829" s="219" t="s">
        <v>56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659</v>
      </c>
      <c r="C830" s="219" t="s">
        <v>56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660</v>
      </c>
      <c r="C831" s="219" t="s">
        <v>56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661</v>
      </c>
      <c r="C832" s="219" t="s">
        <v>56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9" t="s">
        <v>56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663</v>
      </c>
      <c r="C834" s="219" t="s">
        <v>56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664</v>
      </c>
      <c r="C835" s="219" t="s">
        <v>56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665</v>
      </c>
      <c r="C836" s="219" t="s">
        <v>56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666</v>
      </c>
      <c r="C837" s="219" t="s">
        <v>56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667</v>
      </c>
      <c r="C838" s="219" t="s">
        <v>56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668</v>
      </c>
      <c r="C839" s="219" t="s">
        <v>56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669</v>
      </c>
      <c r="C840" s="219" t="s">
        <v>56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670</v>
      </c>
      <c r="C841" s="219" t="s">
        <v>56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56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56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673</v>
      </c>
      <c r="C844" s="219" t="s">
        <v>56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56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56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676</v>
      </c>
      <c r="C847" s="219" t="s">
        <v>56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56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56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56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56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56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682</v>
      </c>
      <c r="C853" s="219" t="s">
        <v>56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56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56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56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56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56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56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689</v>
      </c>
      <c r="C860" s="219" t="s">
        <v>56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690</v>
      </c>
      <c r="C861" s="219" t="s">
        <v>56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691</v>
      </c>
      <c r="C862" s="219" t="s">
        <v>56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692</v>
      </c>
      <c r="C863" s="219" t="s">
        <v>56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56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694</v>
      </c>
      <c r="C865" s="219" t="s">
        <v>56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695</v>
      </c>
      <c r="C866" s="219" t="s">
        <v>56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696</v>
      </c>
      <c r="C867" s="219" t="s">
        <v>56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697</v>
      </c>
      <c r="C868" s="219" t="s">
        <v>56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698</v>
      </c>
      <c r="C869" s="219" t="s">
        <v>56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699</v>
      </c>
      <c r="C870" s="219" t="s">
        <v>56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700</v>
      </c>
      <c r="C871" s="219" t="s">
        <v>56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701</v>
      </c>
      <c r="C872" s="219" t="s">
        <v>56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56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56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56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56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56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707</v>
      </c>
      <c r="C878" s="219" t="s">
        <v>56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56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56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56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56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56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56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56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56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56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56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718</v>
      </c>
      <c r="C889" s="219" t="s">
        <v>56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56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56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56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56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723</v>
      </c>
      <c r="C894" s="219" t="s">
        <v>56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724</v>
      </c>
      <c r="C895" s="219" t="s">
        <v>56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725</v>
      </c>
      <c r="C896" s="219" t="s">
        <v>56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726</v>
      </c>
      <c r="C897" s="219" t="s">
        <v>56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727</v>
      </c>
      <c r="C898" s="219" t="s">
        <v>56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728</v>
      </c>
      <c r="C899" s="219" t="s">
        <v>56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729</v>
      </c>
      <c r="C900" s="219" t="s">
        <v>56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730</v>
      </c>
      <c r="C901" s="219" t="s">
        <v>56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731</v>
      </c>
      <c r="C902" s="219" t="s">
        <v>56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732</v>
      </c>
      <c r="C903" s="219" t="s">
        <v>56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733</v>
      </c>
      <c r="C904" s="219" t="s">
        <v>56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734</v>
      </c>
      <c r="C905" s="219" t="s">
        <v>56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735</v>
      </c>
      <c r="C906" s="219" t="s">
        <v>56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736</v>
      </c>
      <c r="C907" s="219" t="s">
        <v>56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737</v>
      </c>
      <c r="C908" s="219" t="s">
        <v>56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738</v>
      </c>
      <c r="C909" s="219" t="s">
        <v>56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739</v>
      </c>
      <c r="C910" s="219" t="s">
        <v>56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740</v>
      </c>
      <c r="C911" s="219" t="s">
        <v>56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741</v>
      </c>
      <c r="C912" s="219" t="s">
        <v>56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742</v>
      </c>
      <c r="C913" s="219" t="s">
        <v>56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743</v>
      </c>
      <c r="C914" s="219" t="s">
        <v>56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744</v>
      </c>
      <c r="C915" s="219" t="s">
        <v>56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745</v>
      </c>
      <c r="C916" s="219" t="s">
        <v>56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746</v>
      </c>
      <c r="C917" s="219" t="s">
        <v>56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747</v>
      </c>
      <c r="C918" s="219" t="s">
        <v>56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748</v>
      </c>
      <c r="C919" s="219" t="s">
        <v>56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749</v>
      </c>
      <c r="C920" s="219" t="s">
        <v>56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750</v>
      </c>
      <c r="C921" s="219" t="s">
        <v>56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751</v>
      </c>
      <c r="C922" s="219" t="s">
        <v>56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752</v>
      </c>
      <c r="C923" s="219" t="s">
        <v>56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753</v>
      </c>
      <c r="C924" s="219" t="s">
        <v>56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754</v>
      </c>
      <c r="C925" s="219" t="s">
        <v>56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755</v>
      </c>
      <c r="C926" s="219" t="s">
        <v>56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756</v>
      </c>
      <c r="C927" s="219" t="s">
        <v>56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757</v>
      </c>
      <c r="C928" s="219" t="s">
        <v>56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758</v>
      </c>
      <c r="C929" s="219" t="s">
        <v>56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759</v>
      </c>
      <c r="C930" s="219" t="s">
        <v>56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760</v>
      </c>
      <c r="C931" s="219" t="s">
        <v>56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761</v>
      </c>
      <c r="C932" s="219" t="s">
        <v>56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762</v>
      </c>
      <c r="C933" s="219" t="s">
        <v>56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763</v>
      </c>
      <c r="C934" s="219" t="s">
        <v>56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764</v>
      </c>
      <c r="C935" s="219" t="s">
        <v>56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765</v>
      </c>
      <c r="C936" s="219" t="s">
        <v>56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766</v>
      </c>
      <c r="C937" s="219" t="s">
        <v>56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767</v>
      </c>
      <c r="C938" s="219" t="s">
        <v>56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768</v>
      </c>
      <c r="C939" s="219" t="s">
        <v>56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769</v>
      </c>
      <c r="C940" s="219" t="s">
        <v>56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770</v>
      </c>
      <c r="C941" s="219" t="s">
        <v>56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771</v>
      </c>
      <c r="C942" s="219" t="s">
        <v>56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772</v>
      </c>
      <c r="C943" s="219" t="s">
        <v>56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773</v>
      </c>
      <c r="C944" s="219" t="s">
        <v>56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774</v>
      </c>
      <c r="C945" s="219" t="s">
        <v>56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775</v>
      </c>
      <c r="C946" s="219" t="s">
        <v>56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776</v>
      </c>
      <c r="C947" s="219" t="s">
        <v>56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777</v>
      </c>
      <c r="C948" s="219" t="s">
        <v>56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778</v>
      </c>
      <c r="C949" s="219" t="s">
        <v>56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779</v>
      </c>
      <c r="C950" s="219" t="s">
        <v>56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780</v>
      </c>
      <c r="C951" s="219" t="s">
        <v>56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781</v>
      </c>
      <c r="C952" s="219" t="s">
        <v>56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782</v>
      </c>
      <c r="C953" s="219" t="s">
        <v>56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783</v>
      </c>
      <c r="C954" s="219" t="s">
        <v>56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784</v>
      </c>
      <c r="C955" s="219" t="s">
        <v>56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56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56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787</v>
      </c>
      <c r="C958" s="219" t="s">
        <v>56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788</v>
      </c>
      <c r="C959" s="219" t="s">
        <v>56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789</v>
      </c>
      <c r="C960" s="219" t="s">
        <v>56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790</v>
      </c>
      <c r="C961" s="219" t="s">
        <v>56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791</v>
      </c>
      <c r="C962" s="219" t="s">
        <v>56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792</v>
      </c>
      <c r="C963" s="219" t="s">
        <v>56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793</v>
      </c>
      <c r="C964" s="219" t="s">
        <v>56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56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795</v>
      </c>
      <c r="C966" s="219" t="s">
        <v>56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796</v>
      </c>
      <c r="C967" s="219" t="s">
        <v>56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797</v>
      </c>
      <c r="C968" s="219" t="s">
        <v>56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798</v>
      </c>
      <c r="C969" s="219" t="s">
        <v>56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799</v>
      </c>
      <c r="C970" s="219" t="s">
        <v>56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800</v>
      </c>
      <c r="C971" s="219" t="s">
        <v>56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801</v>
      </c>
      <c r="C972" s="219" t="s">
        <v>56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802</v>
      </c>
      <c r="C973" s="219" t="s">
        <v>56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803</v>
      </c>
      <c r="C974" s="219" t="s">
        <v>56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804</v>
      </c>
      <c r="C975" s="219" t="s">
        <v>56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805</v>
      </c>
      <c r="C976" s="219" t="s">
        <v>56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806</v>
      </c>
      <c r="C977" s="219" t="s">
        <v>56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807</v>
      </c>
      <c r="C978" s="219" t="s">
        <v>56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808</v>
      </c>
      <c r="C979" s="219" t="s">
        <v>56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809</v>
      </c>
      <c r="C980" s="219" t="s">
        <v>56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810</v>
      </c>
      <c r="C981" s="219" t="s">
        <v>56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811</v>
      </c>
      <c r="C982" s="219" t="s">
        <v>56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6.9">
      <c r="A1010" s="118" t="s">
        <v>83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812</v>
      </c>
      <c r="C1011" s="160" t="s">
        <v>38</v>
      </c>
      <c r="D1011" s="48" t="s">
        <v>243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38</v>
      </c>
      <c r="D1012" s="48" t="s">
        <v>243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38</v>
      </c>
      <c r="D1013" s="48" t="s">
        <v>243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38</v>
      </c>
      <c r="D1014" s="48" t="s">
        <v>243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38</v>
      </c>
      <c r="D1015" s="48" t="s">
        <v>242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38</v>
      </c>
      <c r="D1016" s="48" t="s">
        <v>242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38</v>
      </c>
      <c r="D1017" s="48" t="s">
        <v>243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38</v>
      </c>
      <c r="D1018" s="48" t="s">
        <v>243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38</v>
      </c>
      <c r="D1019" s="48" t="s">
        <v>242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38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38</v>
      </c>
      <c r="D1021" s="151" t="s">
        <v>243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38</v>
      </c>
      <c r="D1022" s="151" t="s">
        <v>243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38</v>
      </c>
      <c r="D1023" s="151" t="s">
        <v>243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38</v>
      </c>
      <c r="D1024" s="151" t="s">
        <v>243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38</v>
      </c>
      <c r="D1025" s="151" t="s">
        <v>243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38</v>
      </c>
      <c r="D1026" s="151" t="s">
        <v>243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38</v>
      </c>
      <c r="D1027" s="151" t="s">
        <v>243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39</v>
      </c>
      <c r="C1028" s="160" t="s">
        <v>38</v>
      </c>
      <c r="D1028" s="151" t="s">
        <v>243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38</v>
      </c>
      <c r="D1029" s="151" t="s">
        <v>243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38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38</v>
      </c>
      <c r="D1031" s="151" t="s">
        <v>243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38</v>
      </c>
      <c r="D1032" s="151" t="s">
        <v>243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38</v>
      </c>
      <c r="D1033" s="151" t="s">
        <v>243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38</v>
      </c>
      <c r="D1034" s="151" t="s">
        <v>243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38</v>
      </c>
      <c r="D1035" s="151" t="s">
        <v>243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38</v>
      </c>
      <c r="D1036" s="151" t="s">
        <v>242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38</v>
      </c>
      <c r="D1037" s="151" t="s">
        <v>242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38</v>
      </c>
      <c r="D1038" s="48" t="s">
        <v>242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839</v>
      </c>
      <c r="C1039" s="160" t="s">
        <v>38</v>
      </c>
      <c r="D1039" s="48" t="s">
        <v>243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840</v>
      </c>
      <c r="C1040" s="160" t="s">
        <v>38</v>
      </c>
      <c r="D1040" s="151" t="s">
        <v>242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841</v>
      </c>
      <c r="C1041" s="160" t="s">
        <v>38</v>
      </c>
      <c r="D1041" s="48" t="s">
        <v>242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842</v>
      </c>
      <c r="C1042" s="160" t="s">
        <v>38</v>
      </c>
      <c r="D1042" s="48" t="s">
        <v>242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38</v>
      </c>
      <c r="D1043" s="48" t="s">
        <v>243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83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9">
      <c r="A1067" s="83">
        <v>1</v>
      </c>
      <c r="B1067" s="206" t="s">
        <v>844</v>
      </c>
      <c r="C1067" s="219" t="s">
        <v>29</v>
      </c>
      <c r="D1067" s="48" t="s">
        <v>240</v>
      </c>
      <c r="E1067" s="43">
        <v>49000</v>
      </c>
      <c r="F1067" s="188" t="s">
        <v>240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30</v>
      </c>
      <c r="C1068" s="219" t="s">
        <v>29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29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846</v>
      </c>
      <c r="C1070" s="219" t="s">
        <v>29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847</v>
      </c>
      <c r="C1071" s="219" t="s">
        <v>29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848</v>
      </c>
      <c r="C1072" s="219" t="s">
        <v>29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849</v>
      </c>
      <c r="C1073" s="219" t="s">
        <v>29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9">
      <c r="A1106" s="81" t="s">
        <v>83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9">
      <c r="A1107" s="83">
        <v>1</v>
      </c>
      <c r="B1107" s="206" t="s">
        <v>850</v>
      </c>
      <c r="C1107" s="37" t="s">
        <v>851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852</v>
      </c>
      <c r="C1108" s="37" t="s">
        <v>851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854</v>
      </c>
      <c r="C1110" s="37" t="s">
        <v>851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855</v>
      </c>
      <c r="C1111" s="37" t="s">
        <v>851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856</v>
      </c>
      <c r="C1112" s="37" t="s">
        <v>851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857</v>
      </c>
      <c r="C1113" s="37" t="s">
        <v>851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1017</v>
      </c>
      <c r="C1273" s="276" t="s">
        <v>851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1023</v>
      </c>
      <c r="C1278" s="276" t="s">
        <v>851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1024</v>
      </c>
      <c r="C1279" s="276" t="s">
        <v>851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1025</v>
      </c>
      <c r="C1280" s="276" t="s">
        <v>851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1028</v>
      </c>
      <c r="C1283" s="276" t="s">
        <v>851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1028</v>
      </c>
      <c r="C1284" s="276" t="s">
        <v>851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1033</v>
      </c>
      <c r="C1288" s="276" t="s">
        <v>851</v>
      </c>
      <c r="D1288" s="277" t="s">
        <v>208</v>
      </c>
      <c r="E1288" s="141">
        <v>62000</v>
      </c>
      <c r="F1288" s="278" t="s">
        <v>208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1034</v>
      </c>
      <c r="C1289" s="276" t="s">
        <v>851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1035</v>
      </c>
      <c r="C1290" s="276" t="s">
        <v>851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9">
      <c r="A1327" s="73" t="s">
        <v>83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1036</v>
      </c>
      <c r="C1328" s="37" t="s">
        <v>34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34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34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34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34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34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34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34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34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34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34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34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34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34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34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34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34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34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34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34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1056</v>
      </c>
      <c r="C1348" s="37" t="s">
        <v>34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1057</v>
      </c>
      <c r="C1349" s="37" t="s">
        <v>34</v>
      </c>
      <c r="D1349" s="48" t="s">
        <v>1058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1059</v>
      </c>
      <c r="C1350" s="37" t="s">
        <v>34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1061</v>
      </c>
      <c r="C1351" s="37" t="s">
        <v>34</v>
      </c>
      <c r="D1351" s="48" t="s">
        <v>1062</v>
      </c>
      <c r="E1351" s="43">
        <v>19776</v>
      </c>
      <c r="F1351" s="188" t="s">
        <v>242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1063</v>
      </c>
      <c r="C1352" s="37" t="s">
        <v>34</v>
      </c>
      <c r="D1352" s="48" t="s">
        <v>1060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1064</v>
      </c>
      <c r="C1353" s="37" t="s">
        <v>34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34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34</v>
      </c>
      <c r="D1355" s="48" t="s">
        <v>242</v>
      </c>
      <c r="E1355" s="43">
        <v>4180</v>
      </c>
      <c r="F1355" s="188" t="s">
        <v>242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34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35</v>
      </c>
      <c r="C1357" s="37" t="s">
        <v>34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34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34</v>
      </c>
      <c r="D1359" s="97" t="s">
        <v>243</v>
      </c>
      <c r="E1359" s="43">
        <v>0</v>
      </c>
      <c r="F1359" s="188" t="s">
        <v>243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34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1073</v>
      </c>
      <c r="C1361" s="37" t="s">
        <v>34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1074</v>
      </c>
      <c r="C1362" s="37" t="s">
        <v>34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1075</v>
      </c>
      <c r="C1363" s="37" t="s">
        <v>34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1076</v>
      </c>
      <c r="C1364" s="37" t="s">
        <v>34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34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34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34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1080</v>
      </c>
      <c r="C1368" s="37" t="s">
        <v>34</v>
      </c>
      <c r="D1368" s="48" t="s">
        <v>1081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1082</v>
      </c>
      <c r="C1369" s="37" t="s">
        <v>34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1083</v>
      </c>
      <c r="C1370" s="37" t="s">
        <v>34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34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1085</v>
      </c>
      <c r="C1372" s="37" t="s">
        <v>34</v>
      </c>
      <c r="D1372" s="58" t="s">
        <v>240</v>
      </c>
      <c r="E1372" s="62">
        <v>867804</v>
      </c>
      <c r="F1372" s="191" t="s">
        <v>240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1086</v>
      </c>
      <c r="C1373" s="161" t="s">
        <v>34</v>
      </c>
      <c r="D1373" s="297" t="s">
        <v>240</v>
      </c>
      <c r="E1373" s="62">
        <v>1097662</v>
      </c>
      <c r="F1373" s="191" t="s">
        <v>240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34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34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34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34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34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34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34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34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34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34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34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34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34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34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34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34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34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34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34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34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34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34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34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1110</v>
      </c>
      <c r="C1397" s="219" t="s">
        <v>34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34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34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1114</v>
      </c>
      <c r="C1400" s="219" t="s">
        <v>34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34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34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34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1118</v>
      </c>
      <c r="C1404" s="219" t="s">
        <v>34</v>
      </c>
      <c r="D1404" s="248" t="s">
        <v>176</v>
      </c>
      <c r="E1404" s="166">
        <v>3200</v>
      </c>
      <c r="F1404" s="193" t="s">
        <v>176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34</v>
      </c>
      <c r="D1405" s="248" t="s">
        <v>218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34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34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34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34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34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34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34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34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34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34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9">
      <c r="A1427" s="134" t="s">
        <v>83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1130</v>
      </c>
      <c r="C1428" s="219" t="s">
        <v>64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64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64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64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64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64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64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64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64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64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64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64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64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64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64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64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64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1148</v>
      </c>
      <c r="C1445" s="219" t="s">
        <v>64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1149</v>
      </c>
      <c r="C1446" s="219" t="s">
        <v>64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64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64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64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64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64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64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64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64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64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64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64</v>
      </c>
      <c r="D1457" s="48" t="s">
        <v>1067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64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64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64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64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64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64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64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64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64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64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64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64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64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64</v>
      </c>
      <c r="D1471" s="48" t="s">
        <v>240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64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64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64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64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64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64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64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64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64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1184</v>
      </c>
      <c r="C1481" s="219" t="s">
        <v>64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1185</v>
      </c>
      <c r="C1482" s="219" t="s">
        <v>64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64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64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64</v>
      </c>
      <c r="D1485" s="48" t="s">
        <v>242</v>
      </c>
      <c r="E1485" s="43">
        <v>107770</v>
      </c>
      <c r="F1485" s="188" t="s">
        <v>242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64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64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64</v>
      </c>
      <c r="D1488" s="48" t="s">
        <v>1067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64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64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64</v>
      </c>
      <c r="D1491" s="48" t="s">
        <v>242</v>
      </c>
      <c r="E1491" s="43">
        <v>38155</v>
      </c>
      <c r="F1491" s="188" t="s">
        <v>242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64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64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64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64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64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64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64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64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64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64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64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1208</v>
      </c>
      <c r="C1503" s="219" t="s">
        <v>64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64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64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64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64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64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1214</v>
      </c>
      <c r="C1509" s="219" t="s">
        <v>64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34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9">
      <c r="A1521" s="92" t="s">
        <v>83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1267</v>
      </c>
      <c r="C1569" s="100" t="s">
        <v>1217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40</v>
      </c>
    </row>
    <row r="3" spans="1:13" outlineLevel="1">
      <c r="A3" s="3" t="s">
        <v>1317</v>
      </c>
      <c r="B3" s="5" t="s">
        <v>218</v>
      </c>
      <c r="D3" s="266" t="s">
        <v>14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26</v>
      </c>
    </row>
    <row r="4" spans="1:13" ht="28.9" outlineLevel="1">
      <c r="A4" s="2" t="s">
        <v>1321</v>
      </c>
      <c r="B4" s="5" t="s">
        <v>308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56</v>
      </c>
    </row>
    <row r="5" spans="1:13" ht="28.9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851</v>
      </c>
    </row>
    <row r="6" spans="1:13" outlineLevel="1">
      <c r="A6" s="2" t="s">
        <v>326</v>
      </c>
      <c r="B6" s="5" t="s">
        <v>326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34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31</v>
      </c>
    </row>
    <row r="8" spans="1:13" ht="16.149999999999999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38</v>
      </c>
    </row>
    <row r="9" spans="1:13" outlineLevel="1">
      <c r="A9" s="2" t="s">
        <v>1346</v>
      </c>
      <c r="B9" s="5" t="s">
        <v>1199</v>
      </c>
      <c r="F9" s="2" t="s">
        <v>9</v>
      </c>
      <c r="H9" t="s">
        <v>1347</v>
      </c>
      <c r="I9">
        <v>70323724</v>
      </c>
      <c r="K9" t="s">
        <v>1348</v>
      </c>
      <c r="M9" s="79" t="s">
        <v>29</v>
      </c>
    </row>
    <row r="10" spans="1:13" outlineLevel="1">
      <c r="A10" s="2" t="s">
        <v>1349</v>
      </c>
      <c r="B10" s="5" t="s">
        <v>109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6</v>
      </c>
      <c r="I11" s="22">
        <v>79897894</v>
      </c>
      <c r="K11" t="s">
        <v>1356</v>
      </c>
      <c r="M11" s="233" t="s">
        <v>64</v>
      </c>
    </row>
    <row r="12" spans="1:13" ht="28.9" outlineLevel="1">
      <c r="A12" s="3" t="s">
        <v>1357</v>
      </c>
      <c r="B12" s="5" t="s">
        <v>1030</v>
      </c>
      <c r="F12" s="302" t="s">
        <v>1358</v>
      </c>
      <c r="H12" s="27" t="s">
        <v>1359</v>
      </c>
      <c r="I12" s="28">
        <v>32184975</v>
      </c>
      <c r="M12" s="233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240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360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243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110</v>
      </c>
      <c r="H21" s="21" t="s">
        <v>1378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210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176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242</v>
      </c>
      <c r="B27" s="5" t="s">
        <v>242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114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