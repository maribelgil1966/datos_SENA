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PEDIDOS FICHAS 2025\JUAN VILLA\PROYECTO 2 FICHA 2908248\"/>
    </mc:Choice>
  </mc:AlternateContent>
  <xr:revisionPtr revIDLastSave="0" documentId="13_ncr:1_{0C5AEF9A-3D79-45E2-B714-2887A3F12C60}" xr6:coauthVersionLast="36" xr6:coauthVersionMax="47" xr10:uidLastSave="{00000000-0000-0000-0000-000000000000}"/>
  <bookViews>
    <workbookView minimized="1" xWindow="0" yWindow="0" windowWidth="15360" windowHeight="71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a="1"/>
  <c r="H15" i="61" s="1"/>
  <c r="S14" i="43"/>
  <c r="H16" i="6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a="1"/>
  <c r="H23" i="61" s="1"/>
  <c r="S22" i="43"/>
  <c r="H24" i="6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/>
  <c r="O26" i="43"/>
  <c r="G28" i="61" s="1"/>
  <c r="O27" i="43"/>
  <c r="G29" i="61" s="1"/>
  <c r="O28" i="43"/>
  <c r="G30" i="61" s="1"/>
  <c r="O29" i="43"/>
  <c r="G31" i="61" s="1"/>
  <c r="O30" i="43"/>
  <c r="G32" i="6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D5" i="43" l="1"/>
  <c r="B8" i="61" s="1"/>
  <c r="O29" i="61"/>
  <c r="K29" i="61" a="1"/>
  <c r="K29" i="61" s="1"/>
  <c r="K21" i="61" a="1"/>
  <c r="K21" i="61" s="1"/>
  <c r="B21" i="61"/>
  <c r="K14" i="61" a="1"/>
  <c r="K14" i="61" s="1"/>
  <c r="B14" i="61"/>
  <c r="O14" i="61"/>
  <c r="O23" i="61"/>
  <c r="K23" i="61" a="1"/>
  <c r="K23" i="61" s="1"/>
  <c r="B23" i="61"/>
  <c r="B18" i="61"/>
  <c r="O18" i="61"/>
  <c r="K18" i="61" a="1"/>
  <c r="K18" i="61" s="1"/>
  <c r="O13" i="61"/>
  <c r="B13" i="61"/>
  <c r="K13" i="61" a="1"/>
  <c r="K13" i="61" s="1"/>
  <c r="K19" i="61" a="1"/>
  <c r="K19" i="61" s="1"/>
  <c r="O19" i="61"/>
  <c r="B19" i="61"/>
  <c r="K32" i="61" a="1"/>
  <c r="K32" i="61" s="1"/>
  <c r="B32" i="61"/>
  <c r="O32" i="61"/>
  <c r="K28" i="61" a="1"/>
  <c r="K28" i="61" s="1"/>
  <c r="B28" i="61"/>
  <c r="O28" i="61"/>
  <c r="O17" i="61"/>
  <c r="B17" i="61"/>
  <c r="K17" i="61" a="1"/>
  <c r="K17" i="61" s="1"/>
  <c r="K27" i="61" a="1"/>
  <c r="K27" i="61" s="1"/>
  <c r="B27" i="61"/>
  <c r="O27" i="61"/>
  <c r="O22" i="61"/>
  <c r="K22" i="61" a="1"/>
  <c r="K22" i="61" s="1"/>
  <c r="B22" i="61"/>
  <c r="K12" i="61" a="1"/>
  <c r="K12" i="61" s="1"/>
  <c r="B12" i="61"/>
  <c r="O12" i="61"/>
  <c r="K31" i="61" a="1"/>
  <c r="K31" i="61" s="1"/>
  <c r="B31" i="61"/>
  <c r="O31" i="61"/>
  <c r="K26" i="61" a="1"/>
  <c r="K26" i="61" s="1"/>
  <c r="B26" i="61"/>
  <c r="O26" i="61"/>
  <c r="O16" i="61"/>
  <c r="K16" i="61" a="1"/>
  <c r="K16" i="61" s="1"/>
  <c r="B16" i="61"/>
  <c r="B25" i="61"/>
  <c r="K25" i="61" a="1"/>
  <c r="K25" i="61" s="1"/>
  <c r="O25" i="61"/>
  <c r="K30" i="61" a="1"/>
  <c r="K30" i="61" s="1"/>
  <c r="O30" i="61"/>
  <c r="B30" i="61"/>
  <c r="B15" i="61"/>
  <c r="O15" i="61"/>
  <c r="K15" i="61" a="1"/>
  <c r="K15" i="61" s="1"/>
  <c r="B24" i="61"/>
  <c r="O24" i="61"/>
  <c r="K24" i="61" a="1"/>
  <c r="K24" i="61" s="1"/>
  <c r="B20" i="61"/>
  <c r="O20" i="61"/>
  <c r="K20" i="61" a="1"/>
  <c r="K20" i="61" s="1"/>
  <c r="O21" i="61"/>
  <c r="B29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<sst xmlns="http://schemas.openxmlformats.org/spreadsheetml/2006/main" count="5016" uniqueCount="1390">
  <si>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</si>
  <si>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</si>
  <si>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</si>
  <si>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</si>
  <si>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</si>
  <si>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</si>
  <si>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</si>
  <si>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</si>
  <si>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</si>
  <si>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</si>
  <si>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</si>
  <si>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</si>
  <si>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</si>
  <si>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</si>
  <si>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</si>
  <si>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</si>
  <si>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</si>
  <si>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</si>
  <si>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</si>
  <si>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</si>
  <si>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</si>
  <si>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</si>
  <si>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</si>
  <si>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</si>
  <si>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</si>
  <si>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</si>
  <si>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</si>
  <si>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</si>
  <si>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</si>
  <si>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</si>
  <si>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</si>
  <si>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</si>
  <si>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</si>
  <si>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</si>
  <si>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</si>
  <si>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</si>
  <si>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</si>
  <si>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</si>
  <si>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</si>
  <si>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</si>
  <si>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</si>
  <si>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</si>
  <si>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</si>
  <si>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</si>
  <si>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</si>
  <si>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</si>
  <si>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</si>
  <si>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</si>
  <si>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</si>
  <si>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</si>
  <si>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</si>
  <si>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</si>
  <si>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</si>
  <si>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</si>
  <si>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</si>
  <si>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</si>
  <si>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</si>
  <si>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</si>
  <si>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</si>
  <si>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</si>
  <si>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</si>
  <si>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</si>
  <si>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</si>
  <si>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</si>
  <si>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</si>
  <si>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</si>
  <si>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</si>
  <si>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</si>
  <si>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</si>
  <si>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</si>
  <si>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</si>
  <si>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</si>
  <si>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</si>
  <si>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</si>
  <si>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</si>
  <si>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</si>
  <si>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</si>
  <si>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</si>
  <si>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</si>
  <si>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</si>
  <si>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</si>
  <si>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</si>
  <si>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</si>
  <si>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</si>
  <si>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</si>
  <si>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</si>
  <si>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</si>
  <si>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</si>
  <si>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</si>
  <si>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</si>
  <si>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</si>
  <si>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</si>
  <si>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</si>
  <si>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</si>
  <si>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</si>
  <si>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</si>
  <si>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</si>
  <si>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</si>
  <si>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</si>
  <si>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</si>
  <si>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</si>
  <si>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</si>
  <si>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</si>
  <si>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</si>
  <si>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</si>
  <si>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</si>
  <si>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</si>
  <si>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</si>
  <si>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</si>
  <si>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</si>
  <si>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</si>
  <si>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</si>
  <si>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</si>
  <si>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</si>
  <si>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</si>
  <si>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</si>
  <si>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</si>
  <si>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</si>
  <si>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</si>
  <si>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</si>
  <si>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</si>
  <si>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</si>
  <si>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</si>
  <si>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</si>
  <si>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</si>
  <si>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</si>
  <si>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</si>
  <si>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</si>
  <si>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</si>
  <si>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</si>
  <si>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</si>
  <si>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</si>
  <si>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</si>
  <si>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</si>
  <si>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</si>
  <si>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</si>
  <si>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</si>
  <si>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</si>
  <si>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</si>
  <si>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</si>
  <si>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</si>
  <si>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</si>
  <si>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</si>
  <si>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</si>
  <si>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</si>
  <si>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</si>
  <si>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</si>
  <si>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</si>
  <si>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</si>
  <si>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</si>
  <si>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</si>
  <si>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</si>
  <si>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</si>
  <si>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</si>
  <si>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</si>
  <si>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</si>
  <si>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</si>
  <si>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</si>
  <si>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</si>
  <si>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</si>
  <si>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</si>
  <si>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</si>
  <si>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</si>
  <si>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</si>
  <si>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</si>
  <si>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</si>
  <si>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</si>
  <si>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</si>
  <si>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</si>
  <si>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</si>
  <si>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</si>
  <si>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</si>
  <si>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</si>
  <si>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</si>
  <si>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</si>
  <si>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</si>
  <si>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</si>
  <si>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</si>
  <si>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</si>
  <si>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</si>
  <si>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</si>
  <si>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</si>
  <si>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</si>
  <si>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</si>
  <si>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</si>
  <si>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</si>
  <si>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</si>
  <si>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</si>
  <si>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</si>
  <si>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</si>
  <si>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</si>
  <si>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</si>
  <si>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</si>
  <si>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</si>
  <si>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</si>
  <si>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</si>
  <si>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</si>
  <si>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</si>
  <si>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</si>
  <si>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</si>
  <si>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</si>
  <si>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</si>
  <si>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</si>
  <si>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</si>
  <si>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</si>
  <si>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</si>
  <si>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</si>
  <si>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</si>
  <si>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</si>
  <si>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</si>
  <si>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</si>
  <si>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</si>
  <si>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</si>
  <si>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</si>
  <si>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</si>
  <si>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</si>
  <si>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</si>
  <si>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</si>
  <si>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</si>
  <si>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</si>
  <si>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</si>
  <si>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</si>
  <si>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</si>
  <si>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</si>
  <si>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</si>
  <si>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</si>
  <si>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</si>
  <si>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</si>
  <si>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</si>
  <si>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</si>
  <si>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</si>
  <si>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</si>
  <si>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</si>
  <si>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</si>
  <si>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</si>
  <si>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</si>
  <si>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</si>
  <si>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</si>
  <si>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</si>
  <si>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</si>
  <si>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</si>
  <si>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</si>
  <si>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</si>
  <si>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</si>
  <si>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</si>
  <si>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</si>
  <si>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</si>
  <si>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</si>
  <si>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</si>
  <si>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</si>
  <si>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</si>
  <si>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</si>
  <si>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</si>
  <si>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</si>
  <si>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</si>
  <si>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</si>
  <si>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</si>
  <si>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</si>
  <si>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</si>
  <si>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</si>
  <si>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</si>
  <si>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</si>
  <si>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</si>
  <si>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</si>
  <si>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</si>
  <si>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</si>
  <si>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</si>
  <si>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</si>
  <si>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</si>
  <si>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</si>
  <si>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</si>
  <si>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</si>
  <si>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</si>
  <si>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</si>
  <si>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</si>
  <si>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</si>
  <si>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</si>
  <si>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</si>
  <si>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</si>
  <si>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</si>
  <si>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</si>
  <si>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</si>
  <si>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</si>
  <si>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</si>
  <si>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</si>
  <si>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</si>
  <si>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</si>
  <si>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</si>
  <si>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</si>
  <si>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</si>
  <si>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</si>
  <si>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</si>
  <si>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</si>
  <si>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</si>
  <si>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</si>
  <si>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</si>
  <si>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</si>
  <si>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</si>
  <si>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</si>
  <si>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</si>
  <si>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</si>
  <si>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</si>
  <si>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</si>
  <si>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</si>
  <si>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</si>
  <si>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</si>
  <si>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</si>
  <si>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</si>
  <si>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</si>
  <si>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</si>
  <si>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</si>
  <si>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</si>
  <si>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</si>
  <si>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</si>
  <si>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</si>
  <si>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</si>
  <si>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</si>
  <si>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</si>
  <si>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</si>
  <si>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</si>
  <si>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</si>
  <si>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</si>
  <si>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</si>
  <si>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</si>
  <si>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</si>
  <si>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</si>
  <si>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</si>
  <si>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</si>
  <si>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</si>
  <si>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</si>
  <si>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</si>
  <si>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</si>
  <si>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</si>
  <si>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</si>
  <si>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</si>
  <si>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</si>
  <si>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</si>
  <si>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</si>
  <si>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</si>
  <si>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</si>
  <si>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</si>
  <si>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</si>
  <si>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</si>
  <si>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</si>
  <si>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</si>
  <si>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</si>
  <si>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</si>
  <si>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</si>
  <si>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</si>
  <si>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</si>
  <si>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</si>
  <si>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</si>
  <si>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</si>
  <si>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</si>
  <si>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</si>
  <si>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</si>
  <si>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</si>
  <si>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</si>
  <si>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</si>
  <si>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</si>
  <si>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</si>
  <si>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</si>
  <si>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</si>
  <si>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</si>
  <si>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</si>
  <si>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</si>
  <si>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</si>
  <si>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</si>
  <si>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</si>
  <si>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</si>
  <si>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</si>
  <si>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</si>
  <si>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</si>
  <si>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</si>
  <si>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</si>
  <si>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</si>
  <si>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</si>
  <si>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</si>
  <si>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</si>
  <si>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</si>
  <si>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</si>
  <si>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</si>
  <si>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</si>
  <si>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</si>
  <si>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</si>
  <si>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</si>
  <si>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</si>
  <si>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</si>
  <si>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</si>
  <si>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</si>
  <si>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</si>
  <si>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</si>
  <si>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</si>
  <si>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</si>
  <si>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</si>
  <si>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</si>
  <si>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</si>
  <si>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</si>
  <si>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</si>
  <si>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</si>
  <si>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</si>
  <si>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</si>
  <si>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</si>
  <si>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</si>
  <si>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</si>
  <si>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</si>
  <si>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</si>
  <si>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</si>
  <si>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</si>
  <si>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</si>
  <si>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</si>
  <si>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</si>
  <si>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</si>
  <si>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</si>
  <si>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</si>
  <si>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</si>
  <si>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</si>
  <si>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</si>
  <si>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</si>
  <si>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</si>
  <si>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</si>
  <si>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</si>
  <si>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</si>
  <si>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</si>
  <si>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</si>
  <si>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</si>
  <si>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</si>
  <si>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</si>
  <si>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</si>
  <si>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</si>
  <si>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</si>
  <si>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</si>
  <si>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</si>
  <si>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</si>
  <si>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</si>
  <si>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</si>
  <si>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</si>
  <si>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</si>
  <si>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</si>
  <si>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</si>
  <si>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</si>
  <si>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</si>
  <si>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</si>
  <si>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</si>
  <si>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</si>
  <si>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</si>
  <si>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</si>
  <si>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</si>
  <si>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</si>
  <si>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</si>
  <si>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</si>
  <si>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</si>
  <si>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</si>
  <si>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</si>
  <si>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</si>
  <si>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</si>
  <si>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</si>
  <si>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</si>
  <si>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</si>
  <si>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</si>
  <si>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</si>
  <si>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</si>
  <si>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</si>
  <si>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</si>
  <si>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</si>
  <si>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</si>
  <si>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</si>
  <si>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</si>
  <si>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</si>
  <si>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</si>
  <si>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</si>
  <si>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</si>
  <si>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</si>
  <si>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</si>
  <si>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</si>
  <si>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</si>
  <si>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</si>
  <si>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</si>
  <si>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</si>
  <si>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</si>
  <si>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</si>
  <si>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</si>
  <si>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</si>
  <si>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</si>
  <si>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</si>
  <si>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</si>
  <si>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</si>
  <si>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</si>
  <si>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</si>
  <si>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</si>
  <si>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</si>
  <si>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</si>
  <si>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</si>
  <si>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</si>
  <si>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</si>
  <si>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</si>
  <si>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</si>
  <si>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</si>
  <si>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</si>
  <si>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</si>
  <si>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</si>
  <si>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</si>
  <si>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</si>
  <si>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</si>
  <si>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</si>
  <si>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</si>
  <si>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</si>
  <si>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</si>
  <si>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</si>
  <si>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</si>
  <si>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</si>
  <si>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</si>
  <si>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</si>
  <si>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</si>
  <si>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</si>
  <si>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</si>
  <si>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</si>
  <si>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</si>
  <si>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</si>
  <si>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</si>
  <si>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</si>
  <si>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</si>
  <si>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</si>
  <si>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</si>
  <si>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</si>
  <si>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</si>
  <si>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</si>
  <si>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</si>
  <si>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</si>
  <si>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</si>
  <si>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</si>
  <si>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</si>
  <si>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</si>
  <si>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</si>
  <si>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</si>
  <si>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</si>
  <si>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</si>
  <si>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</si>
  <si>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</si>
  <si>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</si>
  <si>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</si>
  <si>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</si>
  <si>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</si>
  <si>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</si>
  <si>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</si>
  <si>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</si>
  <si>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</si>
  <si>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</si>
  <si>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</si>
  <si>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</si>
  <si>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</si>
  <si>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</si>
  <si>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</si>
  <si>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</si>
  <si>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</si>
  <si>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</si>
  <si>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</si>
  <si>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</si>
  <si>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</si>
  <si>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</si>
  <si>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</si>
  <si>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</si>
  <si>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</si>
  <si>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</si>
  <si>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</si>
  <si>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</si>
  <si>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</si>
  <si>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</si>
  <si>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</si>
  <si>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</si>
  <si>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</si>
  <si>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</si>
  <si>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</si>
  <si>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</si>
  <si>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</si>
  <si>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</si>
  <si>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</si>
  <si>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</si>
  <si>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</si>
  <si>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</si>
  <si>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</si>
  <si>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</si>
  <si>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</si>
  <si>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</si>
  <si>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</si>
  <si>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</si>
  <si>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</si>
  <si>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</si>
  <si>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</si>
  <si>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</si>
  <si>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</si>
  <si>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</si>
  <si>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</si>
  <si>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</si>
  <si>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</si>
  <si>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</si>
  <si>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</si>
  <si>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</si>
  <si>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</si>
  <si>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</si>
  <si>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</si>
  <si>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</si>
  <si>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</si>
  <si>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</si>
  <si>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</si>
  <si>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</si>
  <si>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</si>
  <si>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</si>
  <si>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</si>
  <si>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</si>
  <si>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</si>
  <si>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</si>
  <si>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</si>
  <si>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</si>
  <si>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</si>
  <si>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</si>
  <si>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</si>
  <si>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</si>
  <si>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</si>
  <si>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</si>
  <si>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</si>
  <si>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</si>
  <si>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</si>
  <si>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</si>
  <si>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</si>
  <si>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</si>
  <si>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</si>
  <si>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</si>
  <si>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</si>
  <si>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</si>
  <si>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</si>
  <si>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</si>
  <si>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</si>
  <si>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</si>
  <si>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</si>
  <si>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</si>
  <si>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</si>
  <si>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</si>
  <si>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</si>
  <si>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</si>
  <si>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</si>
  <si>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</si>
  <si>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</si>
  <si>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</si>
  <si>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</si>
  <si>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</si>
  <si>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</si>
  <si>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</si>
  <si>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</si>
  <si>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</si>
  <si>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</si>
  <si>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</si>
  <si>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</si>
  <si>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</si>
  <si>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</si>
  <si>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</si>
  <si>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</si>
  <si>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</si>
  <si>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</si>
  <si>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</si>
  <si>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</si>
  <si>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</si>
  <si>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</si>
  <si>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</si>
  <si>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</si>
  <si>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</si>
  <si>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</si>
  <si>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</si>
  <si>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</si>
  <si>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</si>
  <si>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</si>
  <si>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</si>
  <si>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</si>
  <si>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</si>
  <si>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</si>
  <si>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</si>
  <si>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</si>
  <si>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</si>
  <si>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</si>
  <si>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</si>
  <si>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</si>
  <si>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</si>
  <si>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</si>
  <si>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</si>
  <si>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</si>
  <si>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</si>
  <si>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</si>
  <si>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</si>
  <si>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</si>
  <si>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</si>
  <si>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</si>
  <si>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</si>
  <si>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</si>
  <si>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</si>
  <si>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</si>
  <si>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</si>
  <si>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</si>
  <si>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</si>
  <si>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</si>
  <si>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</si>
  <si>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</si>
  <si>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</si>
  <si>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</si>
  <si>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</si>
  <si>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</si>
  <si>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</si>
  <si>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</si>
  <si>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</si>
  <si>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</si>
  <si>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</si>
  <si>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</si>
  <si>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</si>
  <si>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</si>
  <si>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</si>
  <si>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</si>
  <si>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</si>
  <si>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</si>
  <si>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</si>
  <si>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</si>
  <si>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</si>
  <si>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</si>
  <si>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</si>
  <si>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</si>
  <si>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</si>
  <si>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</si>
  <si>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</si>
  <si>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</si>
  <si>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</si>
  <si>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</si>
  <si>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</si>
  <si>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</si>
  <si>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</si>
  <si>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</si>
  <si>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</si>
  <si>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</si>
  <si>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</si>
  <si>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</si>
  <si>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</si>
  <si>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</si>
  <si>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</si>
  <si>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</si>
  <si>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</si>
  <si>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</si>
  <si>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</si>
  <si>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</si>
  <si>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</si>
  <si>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</si>
  <si>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</si>
  <si>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</si>
  <si>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</si>
  <si>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</si>
  <si>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</si>
  <si>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</si>
  <si>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</si>
  <si>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</si>
  <si>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</si>
  <si>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</si>
  <si>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</si>
  <si>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</si>
  <si>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</si>
  <si>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</si>
  <si>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</si>
  <si>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</si>
  <si>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</si>
  <si>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</si>
  <si>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</si>
  <si>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</si>
  <si>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</si>
  <si>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</si>
  <si>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</si>
  <si>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</si>
  <si>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</si>
  <si>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</si>
  <si>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</si>
  <si>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</si>
  <si>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</si>
  <si>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</si>
  <si>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</si>
  <si>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</si>
  <si>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</si>
  <si>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</si>
  <si>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</si>
  <si>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</si>
  <si>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</si>
  <si>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</si>
  <si>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</si>
  <si>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</si>
  <si>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</si>
  <si>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</si>
  <si>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</si>
  <si>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</si>
  <si>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</si>
  <si>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</si>
  <si>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</si>
  <si>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</si>
  <si>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</si>
  <si>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</si>
  <si>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</si>
  <si>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</si>
  <si>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</si>
  <si>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</si>
  <si>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</si>
  <si>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</si>
  <si>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</si>
  <si>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</si>
  <si>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</si>
  <si>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</si>
  <si>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</si>
  <si>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</si>
  <si>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</si>
  <si>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</si>
  <si>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</si>
  <si>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</si>
  <si>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</si>
  <si>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</si>
  <si>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</si>
  <si>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</si>
  <si>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</si>
  <si>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</si>
  <si>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</si>
  <si>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</si>
  <si>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</si>
  <si>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</si>
  <si>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</si>
  <si>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</si>
  <si>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</si>
  <si>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</si>
  <si>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</si>
  <si>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</si>
  <si>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</si>
  <si>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</si>
  <si>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</si>
  <si>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</si>
  <si>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</si>
  <si>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</si>
  <si>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</si>
  <si>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</si>
  <si>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</si>
  <si>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</si>
  <si>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</si>
  <si>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</si>
  <si>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</si>
  <si>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</si>
  <si>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</si>
  <si>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</si>
  <si>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</si>
  <si>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</si>
  <si>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</si>
  <si>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</si>
  <si>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</si>
  <si>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</si>
  <si>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</si>
  <si>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</si>
  <si>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</si>
  <si>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</si>
  <si>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</si>
  <si>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</si>
  <si>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</si>
  <si>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</si>
  <si>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</si>
  <si>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</si>
  <si>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</si>
  <si>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</si>
  <si>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</si>
  <si>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</si>
  <si>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</si>
  <si>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</si>
  <si>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</si>
  <si>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</si>
  <si>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</si>
  <si>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</si>
  <si>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</si>
  <si>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</si>
  <si>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</si>
  <si>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</si>
  <si>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</si>
  <si>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</si>
  <si>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</si>
  <si>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</si>
  <si>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</si>
  <si>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</si>
  <si>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</si>
  <si>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</si>
  <si>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</si>
  <si>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</si>
  <si>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</si>
  <si>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</si>
  <si>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</si>
  <si>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</si>
  <si>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</si>
  <si>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</si>
  <si>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</si>
  <si>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</si>
  <si>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</si>
  <si>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</si>
  <si>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</si>
  <si>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</si>
  <si>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</si>
  <si>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</si>
  <si>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</si>
  <si>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</si>
  <si>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</si>
  <si>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</si>
  <si>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</si>
  <si>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</si>
  <si>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</si>
  <si>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</si>
  <si>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</si>
  <si>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</si>
  <si>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</si>
  <si>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</si>
  <si>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</si>
  <si>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</si>
  <si>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</si>
  <si>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</si>
  <si>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</si>
  <si>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</si>
  <si>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</si>
  <si>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</si>
  <si>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</si>
  <si>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</si>
  <si>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</si>
  <si>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</si>
  <si>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</si>
  <si>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</si>
  <si>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</si>
  <si>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</si>
  <si>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</si>
  <si>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</si>
  <si>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</si>
  <si>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</si>
  <si>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</si>
  <si>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</si>
  <si>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</si>
  <si>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</si>
  <si>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</si>
  <si>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</si>
  <si>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</si>
  <si>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</si>
  <si>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</si>
  <si>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</si>
  <si>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</si>
  <si>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</si>
  <si>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</si>
  <si>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</si>
  <si>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</si>
  <si>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</si>
  <si>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</si>
  <si>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</si>
  <si>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</si>
  <si>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</si>
  <si>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</si>
  <si>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</si>
  <si>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</si>
  <si>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</si>
  <si>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</si>
  <si>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</si>
  <si>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</si>
  <si>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</si>
  <si>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</si>
  <si>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</si>
  <si>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</si>
  <si>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</si>
  <si>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</si>
  <si>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</si>
  <si>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</si>
  <si>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</si>
  <si>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</si>
  <si>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</si>
  <si>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</si>
  <si>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</si>
  <si>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</si>
  <si>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</si>
  <si>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</si>
  <si>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</si>
  <si>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</si>
  <si>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</si>
  <si>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</si>
  <si>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</si>
  <si>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</si>
  <si>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</si>
  <si>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</si>
  <si>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</si>
  <si>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</si>
  <si>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</si>
  <si>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</si>
  <si>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</si>
  <si>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</si>
  <si>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</si>
  <si>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</si>
  <si>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</si>
  <si>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</si>
  <si>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</si>
  <si>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</si>
  <si>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</si>
  <si>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</si>
  <si>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</si>
  <si>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</si>
  <si>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</si>
  <si>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</si>
  <si>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</si>
  <si>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</si>
  <si>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</si>
  <si>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</si>
  <si>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</si>
  <si>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</si>
  <si>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</si>
  <si>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</si>
  <si>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</si>
  <si>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</si>
  <si>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</si>
  <si>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</si>
  <si>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</si>
  <si>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</si>
  <si>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</si>
  <si>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</si>
  <si>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</si>
  <si>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</si>
  <si>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</si>
  <si>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</si>
  <si>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</si>
  <si>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</si>
  <si>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</si>
  <si>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</si>
  <si>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</si>
  <si>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</si>
  <si>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</si>
  <si>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</si>
  <si>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</si>
  <si>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</si>
  <si>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</si>
  <si>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</si>
  <si>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</si>
  <si>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</si>
  <si>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</si>
  <si>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</si>
  <si>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</si>
  <si>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</si>
  <si>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</si>
  <si>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</si>
  <si>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</si>
  <si>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</si>
  <si>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</si>
  <si>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</si>
  <si>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</si>
  <si>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</si>
  <si>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</si>
  <si>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</si>
  <si>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</si>
  <si>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</si>
  <si>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</si>
  <si>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</si>
  <si>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</si>
  <si>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</si>
  <si>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</si>
  <si>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</si>
  <si>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</si>
  <si>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</si>
  <si>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</si>
  <si>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</si>
  <si>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</si>
  <si>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</si>
  <si>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</si>
  <si>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</si>
  <si>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</si>
  <si>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</si>
  <si>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</si>
  <si>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</si>
  <si>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</si>
  <si>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</si>
  <si>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</si>
  <si>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</si>
  <si>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</si>
  <si>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</si>
  <si>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</si>
  <si>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</si>
  <si>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</si>
  <si>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</si>
  <si>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</si>
  <si>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</si>
  <si>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</si>
  <si>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</si>
  <si>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</si>
  <si>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</si>
  <si>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</si>
  <si>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</si>
  <si>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</si>
  <si>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</si>
  <si>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</si>
  <si>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</si>
  <si>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</si>
  <si>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</si>
  <si>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</si>
  <si>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</si>
  <si>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</si>
  <si>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</si>
  <si>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</si>
  <si>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</si>
  <si>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</si>
  <si>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</si>
  <si>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</si>
  <si>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</si>
  <si>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</si>
  <si>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</si>
  <si>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</si>
  <si>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</si>
  <si>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</si>
  <si>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</si>
  <si>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</si>
  <si>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</si>
  <si>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</si>
  <si>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</si>
  <si>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</si>
  <si>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</si>
  <si>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</si>
  <si>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</si>
  <si>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</si>
  <si>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</si>
  <si>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</si>
  <si>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</si>
  <si>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</si>
  <si>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</si>
  <si>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</si>
  <si>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</si>
  <si>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</si>
  <si>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</si>
  <si>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</si>
  <si>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</si>
  <si>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</si>
  <si>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</si>
  <si>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</si>
  <si>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</si>
  <si>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</si>
  <si>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</si>
  <si>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</si>
  <si>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</si>
  <si>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</si>
  <si>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</si>
  <si>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</si>
  <si>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</si>
  <si>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</si>
  <si>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</si>
  <si>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</si>
  <si>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</si>
  <si>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</si>
  <si>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</si>
  <si>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</si>
  <si>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</si>
  <si>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</si>
  <si>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</si>
  <si>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</si>
  <si>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</si>
  <si>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</si>
  <si>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</si>
  <si>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</si>
  <si>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</si>
  <si>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</si>
  <si>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</si>
  <si>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</si>
  <si>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</si>
  <si>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</si>
  <si>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</si>
  <si>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</si>
  <si>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</si>
  <si>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</si>
  <si>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</si>
  <si>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</si>
  <si>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</si>
  <si>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</si>
  <si>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</si>
  <si>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</si>
  <si>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</si>
  <si>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</si>
  <si>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</si>
  <si>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</si>
  <si>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</si>
  <si>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</si>
  <si>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</si>
  <si>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</si>
  <si>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</si>
  <si>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</si>
  <si>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</si>
  <si>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</si>
  <si>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</si>
  <si>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</si>
  <si>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</si>
  <si>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</si>
  <si>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</si>
  <si>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</si>
  <si>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</si>
  <si>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</si>
  <si>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</si>
  <si>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</si>
  <si>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</si>
  <si>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</si>
  <si>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</si>
  <si>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</si>
  <si>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</si>
  <si>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</si>
  <si>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</si>
  <si>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</si>
  <si>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</si>
  <si>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</si>
  <si>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</si>
  <si>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</si>
  <si>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</si>
  <si>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</si>
  <si>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</si>
  <si>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</si>
  <si>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</si>
  <si>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</si>
  <si>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</si>
  <si>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</si>
  <si>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</si>
  <si>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</si>
  <si>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</si>
  <si>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</si>
  <si>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</si>
  <si>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</si>
  <si>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</si>
  <si>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</si>
  <si>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</si>
  <si>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</si>
  <si>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</si>
  <si>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</si>
  <si>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</si>
  <si>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</si>
  <si>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</si>
  <si>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</si>
  <si>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</si>
  <si>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</si>
  <si>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</si>
  <si>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</si>
  <si>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</si>
  <si>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</si>
  <si>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</si>
  <si>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</si>
  <si>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</si>
  <si>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</si>
  <si>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</si>
  <si>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</si>
  <si>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</si>
  <si>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</si>
  <si>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</si>
  <si>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</si>
  <si>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</si>
  <si>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</si>
  <si>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</si>
  <si>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</si>
  <si>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</si>
  <si>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</si>
  <si>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</si>
  <si>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</si>
  <si>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</si>
  <si>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</si>
  <si>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</si>
  <si>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</si>
  <si>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</si>
  <si>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</si>
  <si>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</si>
  <si>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</si>
  <si>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</si>
  <si>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</si>
  <si>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</si>
  <si>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</si>
  <si>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</si>
  <si>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</si>
  <si>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</si>
  <si>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</si>
  <si>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</si>
  <si>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</si>
  <si>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</si>
  <si>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</si>
  <si>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</si>
  <si>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</si>
  <si>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</si>
  <si>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</si>
  <si>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</si>
  <si>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</si>
  <si>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</si>
  <si>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</si>
  <si>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</si>
  <si>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</si>
  <si>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</si>
  <si>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</si>
  <si>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</si>
  <si>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</si>
  <si>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</si>
  <si>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</si>
  <si>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</si>
  <si>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</si>
  <si>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</si>
  <si>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</si>
  <si>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</si>
  <si>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</si>
  <si>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</si>
  <si>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</si>
  <si>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</si>
  <si>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</si>
  <si>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</si>
  <si>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</si>
  <si>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</si>
  <si>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</si>
  <si>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</si>
  <si>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</si>
  <si>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</si>
  <si>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</si>
  <si>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</si>
  <si>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</si>
  <si>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</si>
  <si>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</si>
  <si>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</si>
  <si>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</si>
  <si>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</si>
  <si>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</si>
  <si>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</si>
  <si>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</si>
  <si>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</si>
  <si>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</si>
  <si>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</si>
  <si>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</si>
  <si>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</si>
  <si>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</si>
  <si>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</si>
  <si>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</si>
  <si>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</si>
  <si>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</si>
  <si>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</si>
  <si>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</si>
  <si>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</si>
  <si>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</si>
  <si>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</si>
  <si>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</si>
  <si>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</si>
  <si>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</si>
  <si>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</si>
  <si>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</si>
  <si>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</si>
  <si>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</si>
  <si>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</si>
  <si>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</si>
  <si>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</si>
  <si>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</si>
  <si>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</si>
  <si>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</si>
  <si>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</si>
  <si>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</si>
  <si>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</si>
  <si>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</si>
  <si>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</si>
  <si>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</si>
  <si>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</si>
  <si>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</si>
  <si>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</si>
  <si>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</si>
  <si>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</si>
  <si>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</si>
  <si>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</si>
  <si>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</si>
  <si>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</si>
  <si>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</si>
  <si>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</si>
  <si>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</si>
  <si>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</si>
  <si>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</si>
  <si>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</si>
  <si>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</si>
  <si>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</si>
  <si>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</si>
  <si>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</si>
  <si>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</si>
  <si>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</si>
  <si>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</si>
  <si>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</si>
  <si>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</si>
  <si>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</si>
  <si>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</si>
  <si>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</si>
  <si>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</si>
  <si>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</si>
  <si>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</si>
  <si>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</si>
  <si>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</si>
  <si>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</si>
  <si>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</si>
  <si>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</si>
  <si>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</si>
  <si>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</si>
  <si>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</si>
  <si>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Maicol -BOTIN FURIA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</si>
</sst>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323850</xdr:rowOff>
    </xdr:from>
    <xdr:to>
      <xdr:col>24</xdr:col>
      <xdr:colOff>336455</xdr:colOff>
      <xdr:row>4</xdr:row>
      <xdr:rowOff>276520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323850"/>
          <a:ext cx="1898555" cy="1333795"/>
        </a:xfrm>
        <a:prstGeom prst="rect">
          <a:avLst/>
        </a:prstGeom>
      </xdr:spPr>
    </xdr:pic>
    <xdr:clientData/>
  </xdr:twoCellAnchor>
  <xdr:twoCellAnchor editAs="oneCell">
    <xdr:from>
      <xdr:col>20</xdr:col>
      <xdr:colOff>19050</xdr:colOff>
      <xdr:row>0</xdr:row>
      <xdr:rowOff>85725</xdr:rowOff>
    </xdr:from>
    <xdr:to>
      <xdr:col>24</xdr:col>
      <xdr:colOff>485775</xdr:colOff>
      <xdr:row>6</xdr:row>
      <xdr:rowOff>281754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2C99EE8-3402-4075-ACFE-DDCBEF4E4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96225" y="85725"/>
          <a:ext cx="2209800" cy="1967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Q16" sqref="Q16:R16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JV3004-2</v>
      </c>
      <c r="G1" s="405"/>
      <c r="H1" s="406"/>
      <c r="I1" s="351" t="s">
        <v>1</v>
      </c>
      <c r="J1" s="352"/>
      <c r="K1" s="232">
        <v>2</v>
      </c>
      <c r="L1" s="353" t="s">
        <v>2</v>
      </c>
      <c r="M1" s="354"/>
      <c r="N1" s="354"/>
      <c r="O1" s="355">
        <v>45777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1367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>
        <f>IF(E2="","",INDEX(Listas!H2:I30,MATCH('Soli_citud '!E2,Intructores,0),2))</f>
        <v>71639999</v>
      </c>
      <c r="P2" s="394"/>
      <c r="Q2" s="394"/>
      <c r="R2" s="395"/>
      <c r="S2" s="298"/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9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2908248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1321</v>
      </c>
      <c r="P4" s="361"/>
      <c r="Q4" s="361"/>
      <c r="R4" s="361"/>
      <c r="S4" s="298"/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35165.302857142859</v>
      </c>
      <c r="E5" s="346"/>
      <c r="F5" s="347"/>
      <c r="G5" s="348" t="s">
        <v>16</v>
      </c>
      <c r="H5" s="349"/>
      <c r="I5" s="349"/>
      <c r="J5" s="350"/>
      <c r="K5" s="400">
        <v>1</v>
      </c>
      <c r="L5" s="400"/>
      <c r="M5" s="401" t="s">
        <v>17</v>
      </c>
      <c r="N5" s="401"/>
      <c r="O5" s="397">
        <f>IFERROR(IF(K5=0,"",D5*K5),"")</f>
        <v>35165.302857142859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/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1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37</v>
      </c>
      <c r="B10" s="309"/>
      <c r="C10" s="310"/>
      <c r="D10" s="322" t="s">
        <v>474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dm2</v>
      </c>
      <c r="P10" s="315"/>
      <c r="Q10" s="316">
        <v>33</v>
      </c>
      <c r="R10" s="317"/>
      <c r="S10" s="318">
        <f>IFERROR(IF(Q10="Unidad","1",(Q10*$K$5)),"")</f>
        <v>33</v>
      </c>
      <c r="T10" s="319"/>
      <c r="U10" s="320"/>
      <c r="V10" s="326"/>
      <c r="W10" s="321">
        <f>IFERROR(IF(D10="","",INDEX(Tabla_Completa,MATCH('Soli_citud '!D10,Materiales,0),7)*S10),"")</f>
        <v>29648.850000000002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50</v>
      </c>
      <c r="B11" s="309"/>
      <c r="C11" s="310"/>
      <c r="D11" s="322" t="s">
        <v>902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cm2</v>
      </c>
      <c r="P11" s="315"/>
      <c r="Q11" s="316">
        <v>2110</v>
      </c>
      <c r="R11" s="317"/>
      <c r="S11" s="318">
        <f t="shared" ref="S11:S31" si="1">IFERROR(IF(Q11="Unidad","1",(Q11*$K$5)),"")</f>
        <v>2110</v>
      </c>
      <c r="T11" s="319"/>
      <c r="U11" s="320"/>
      <c r="V11" s="320"/>
      <c r="W11" s="321">
        <f>IFERROR(IF(D11="","",INDEX(Tabla_Completa,MATCH('Soli_citud '!D11,Materiales,0),7)*S11),"")</f>
        <v>4222.4114285714286</v>
      </c>
      <c r="X11" s="321"/>
      <c r="Y11" s="321"/>
    </row>
    <row r="12" spans="1:31" ht="15.75" customHeight="1">
      <c r="A12" s="308" t="s">
        <v>50</v>
      </c>
      <c r="B12" s="309"/>
      <c r="C12" s="310"/>
      <c r="D12" s="325" t="s">
        <v>907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cm2</v>
      </c>
      <c r="P12" s="315"/>
      <c r="Q12" s="316">
        <v>398</v>
      </c>
      <c r="R12" s="317"/>
      <c r="S12" s="318">
        <f t="shared" si="1"/>
        <v>398</v>
      </c>
      <c r="T12" s="319"/>
      <c r="U12" s="320"/>
      <c r="V12" s="320"/>
      <c r="W12" s="321">
        <f>IFERROR(IF(D12="","",INDEX(Tabla_Completa,MATCH('Soli_citud '!D12,Materiales,0),7)*S12),"")</f>
        <v>289.97142857142853</v>
      </c>
      <c r="X12" s="321"/>
      <c r="Y12" s="321"/>
    </row>
    <row r="13" spans="1:31" ht="15.75" customHeight="1">
      <c r="A13" s="308" t="s">
        <v>232</v>
      </c>
      <c r="B13" s="309"/>
      <c r="C13" s="310"/>
      <c r="D13" s="322" t="s">
        <v>331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cm2</v>
      </c>
      <c r="P13" s="315"/>
      <c r="Q13" s="316">
        <v>266</v>
      </c>
      <c r="R13" s="317"/>
      <c r="S13" s="318">
        <f t="shared" si="1"/>
        <v>266</v>
      </c>
      <c r="T13" s="319"/>
      <c r="U13" s="320"/>
      <c r="V13" s="320"/>
      <c r="W13" s="321">
        <f>IFERROR(IF(D13="","",INDEX(Tabla_Completa,MATCH('Soli_citud '!D13,Materiales,0),7)*S13),"")</f>
        <v>372.4</v>
      </c>
      <c r="X13" s="321"/>
      <c r="Y13" s="321"/>
    </row>
    <row r="14" spans="1:31" ht="17.25" customHeight="1">
      <c r="A14" s="308" t="s">
        <v>232</v>
      </c>
      <c r="B14" s="309"/>
      <c r="C14" s="310"/>
      <c r="D14" s="322" t="s">
        <v>332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cm2</v>
      </c>
      <c r="P14" s="315"/>
      <c r="Q14" s="316">
        <v>107</v>
      </c>
      <c r="R14" s="317"/>
      <c r="S14" s="318">
        <f t="shared" si="1"/>
        <v>107</v>
      </c>
      <c r="T14" s="319"/>
      <c r="U14" s="320"/>
      <c r="V14" s="320"/>
      <c r="W14" s="321">
        <f>IFERROR(IF(D14="","",INDEX(Tabla_Completa,MATCH('Soli_citud '!D14,Materiales,0),7)*S14),"")</f>
        <v>107</v>
      </c>
      <c r="X14" s="321"/>
      <c r="Y14" s="321"/>
    </row>
    <row r="15" spans="1:31" ht="15.75" customHeight="1">
      <c r="A15" s="308" t="s">
        <v>232</v>
      </c>
      <c r="B15" s="309"/>
      <c r="C15" s="310"/>
      <c r="D15" s="322" t="s">
        <v>307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Par</v>
      </c>
      <c r="P15" s="315"/>
      <c r="Q15" s="316">
        <v>0.5</v>
      </c>
      <c r="R15" s="317"/>
      <c r="S15" s="318">
        <f t="shared" si="1"/>
        <v>0.5</v>
      </c>
      <c r="T15" s="319"/>
      <c r="U15" s="320"/>
      <c r="V15" s="320"/>
      <c r="W15" s="321">
        <f>IFERROR(IF(D15="","",INDEX(Tabla_Completa,MATCH('Soli_citud '!D15,Materiales,0),7)*S15),"")</f>
        <v>237.67</v>
      </c>
      <c r="X15" s="321"/>
      <c r="Y15" s="321"/>
    </row>
    <row r="16" spans="1:31" ht="15.75" customHeight="1">
      <c r="A16" s="308" t="s">
        <v>232</v>
      </c>
      <c r="B16" s="309"/>
      <c r="C16" s="310"/>
      <c r="D16" s="322" t="s">
        <v>446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cm</v>
      </c>
      <c r="P16" s="315"/>
      <c r="Q16" s="316">
        <v>41</v>
      </c>
      <c r="R16" s="317"/>
      <c r="S16" s="318">
        <f t="shared" si="1"/>
        <v>41</v>
      </c>
      <c r="T16" s="319"/>
      <c r="U16" s="320"/>
      <c r="V16" s="320"/>
      <c r="W16" s="321">
        <f>IFERROR(IF(D16="","",INDEX(Tabla_Completa,MATCH('Soli_citud '!D16,Materiales,0),7)*S16),"")</f>
        <v>287</v>
      </c>
      <c r="X16" s="321"/>
      <c r="Y16" s="321"/>
    </row>
    <row r="17" spans="1:25" ht="15.75" customHeight="1">
      <c r="A17" s="308" t="s">
        <v>52</v>
      </c>
      <c r="B17" s="309"/>
      <c r="C17" s="310"/>
      <c r="D17" s="322" t="s">
        <v>1003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Par</v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H12" sqref="H12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>
        <f>IF('Soli_citud '!O1="","",'Soli_citud '!O1)</f>
        <v>45777</v>
      </c>
      <c r="O1" s="417"/>
      <c r="P1" s="452" t="s">
        <v>55</v>
      </c>
      <c r="Q1" s="453"/>
      <c r="R1" s="458" t="str">
        <f>IF('Soli_citud '!D4="","",'Soli_citud '!D4)</f>
        <v>Maicol -BOTIN FURIA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>JV3004-2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>
        <f>IF('Soli_citud '!O3="","",'Soli_citud '!O3)</f>
        <v>2908248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Calzado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35165.302857142859</v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>Juan Villa Salazar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/>
      <c r="E9" s="431" t="s">
        <v>64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JV3004-2</v>
      </c>
      <c r="C12" s="494" t="str">
        <f>IFERROR(IF('Soli_citud '!D10="","",'Soli_citud '!D10),"")</f>
        <v>NAPPA</v>
      </c>
      <c r="D12" s="494"/>
      <c r="E12" s="494"/>
      <c r="F12" s="494"/>
      <c r="G12" s="213" t="str">
        <f>IF('Soli_citud '!O10="","",'Soli_citud '!O10)</f>
        <v>dm2</v>
      </c>
      <c r="H12" s="213" cm="1">
        <f t="array" ref="H12">_xlfn.IFS('Soli_citud '!S10="","",'Soli_citud '!S10&lt;=0,"",'Soli_citud '!S10&gt;0,'Soli_citud '!S10)</f>
        <v>33</v>
      </c>
      <c r="I12" s="214">
        <v>45909</v>
      </c>
      <c r="J12" s="215"/>
      <c r="K12" s="197" cm="1">
        <f t="array" ref="K12">IFERROR(_xlfn.IFS(H12="","",J12=H12,"Cumplido",J12&lt;H12,H12-J12,J12&gt;H12,"Revisar"),"")</f>
        <v>33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JV3004-2</v>
      </c>
      <c r="C13" s="494" t="str">
        <f>IFERROR(IF('Soli_citud '!D11="","",'Soli_citud '!D11),"")</f>
        <v>FORRO  PIQUET</v>
      </c>
      <c r="D13" s="494"/>
      <c r="E13" s="494"/>
      <c r="F13" s="494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2110</v>
      </c>
      <c r="I13" s="214">
        <v>45909</v>
      </c>
      <c r="J13" s="216"/>
      <c r="K13" s="197" cm="1">
        <f t="array" ref="K13">IFERROR(_xlfn.IFS(H13="","",J13=H13,"Cumplido",J13&lt;H13,H13-J13,J13&gt;H13,"Revisar"),"")</f>
        <v>2110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JV3004-2</v>
      </c>
      <c r="C14" s="494" t="str">
        <f>IFERROR(IF('Soli_citud '!D12="","",'Soli_citud '!D12),"")</f>
        <v>LONA LACOST</v>
      </c>
      <c r="D14" s="494"/>
      <c r="E14" s="494"/>
      <c r="F14" s="494"/>
      <c r="G14" s="213" t="str">
        <f>IF('Soli_citud '!O12="","",'Soli_citud '!O12)</f>
        <v>cm2</v>
      </c>
      <c r="H14" s="213" cm="1">
        <f t="array" ref="H14">_xlfn.IFS('Soli_citud '!S12="","",'Soli_citud '!S12&lt;=0,"",'Soli_citud '!S12&gt;0,'Soli_citud '!S12)</f>
        <v>398</v>
      </c>
      <c r="I14" s="214">
        <v>45786</v>
      </c>
      <c r="J14" s="216"/>
      <c r="K14" s="197" cm="1">
        <f t="array" ref="K14">IFERROR(_xlfn.IFS(H14="","",J14=H14,"Cumplido",J14&lt;H14,H14-J14,J14&gt;H14,"Revisar"),"")</f>
        <v>398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JV3004-2</v>
      </c>
      <c r="C15" s="494" t="str">
        <f>IFERROR(IF('Soli_citud '!D13="","",'Soli_citud '!D13),"")</f>
        <v>ESPUMA MULTIFORM DENSIDAD 40 DE 10 mm</v>
      </c>
      <c r="D15" s="494"/>
      <c r="E15" s="494"/>
      <c r="F15" s="494"/>
      <c r="G15" s="213" t="str">
        <f>IF('Soli_citud '!O13="","",'Soli_citud '!O13)</f>
        <v>cm2</v>
      </c>
      <c r="H15" s="213" cm="1">
        <f t="array" ref="H15">_xlfn.IFS('Soli_citud '!S13="","",'Soli_citud '!S13&lt;=0,"",'Soli_citud '!S13&gt;0,'Soli_citud '!S13)</f>
        <v>266</v>
      </c>
      <c r="I15" s="214">
        <v>45786</v>
      </c>
      <c r="J15" s="216"/>
      <c r="K15" s="197" cm="1">
        <f t="array" ref="K15">IFERROR(_xlfn.IFS(H15="","",J15=H15,"Cumplido",J15&lt;H15,H15-J15,J15&gt;H15,"Revisar"),"")</f>
        <v>266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JV3004-2</v>
      </c>
      <c r="C16" s="494" t="str">
        <f>IFERROR(IF('Soli_citud '!D14="","",'Soli_citud '!D14),"")</f>
        <v>ESPUMA MULTIFORM DENSIDAD 40 DE 5 mm</v>
      </c>
      <c r="D16" s="494"/>
      <c r="E16" s="494"/>
      <c r="F16" s="494"/>
      <c r="G16" s="213" t="str">
        <f>IF('Soli_citud '!O14="","",'Soli_citud '!O14)</f>
        <v>cm2</v>
      </c>
      <c r="H16" s="213" cm="1">
        <f t="array" ref="H16">_xlfn.IFS('Soli_citud '!S14="","",'Soli_citud '!S14&lt;=0,"",'Soli_citud '!S14&gt;0,'Soli_citud '!S14)</f>
        <v>107</v>
      </c>
      <c r="I16" s="214">
        <v>45786</v>
      </c>
      <c r="J16" s="216"/>
      <c r="K16" s="197" cm="1">
        <f t="array" ref="K16">IFERROR(_xlfn.IFS(H16="","",J16=H16,"Cumplido",J16&lt;H16,H16-J16,J16&gt;H16,"Revisar"),"")</f>
        <v>107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JV3004-2</v>
      </c>
      <c r="C17" s="494" t="str">
        <f>IFERROR(IF('Soli_citud '!D15="","",'Soli_citud '!D15),"")</f>
        <v>CORDON REDONDO NARANJA</v>
      </c>
      <c r="D17" s="494"/>
      <c r="E17" s="494"/>
      <c r="F17" s="494"/>
      <c r="G17" s="213" t="str">
        <f>IF('Soli_citud '!O15="","",'Soli_citud '!O15)</f>
        <v>Par</v>
      </c>
      <c r="H17" s="213" cm="1">
        <f t="array" ref="H17">_xlfn.IFS('Soli_citud '!S15="","",'Soli_citud '!S15&lt;=0,"",'Soli_citud '!S15&gt;0,'Soli_citud '!S15)</f>
        <v>0.5</v>
      </c>
      <c r="I17" s="214">
        <v>45786</v>
      </c>
      <c r="J17" s="216">
        <v>0.5</v>
      </c>
      <c r="K17" s="197" t="str" cm="1">
        <f t="array" ref="K17">IFERROR(_xlfn.IFS(H17="","",J17=H17,"Cumplido",J17&lt;H17,H17-J17,J17&gt;H17,"Revisar"),"")</f>
        <v>Cumplido</v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JV3004-2</v>
      </c>
      <c r="C18" s="494" t="str">
        <f>IFERROR(IF('Soli_citud '!D16="","",'Soli_citud '!D16),"")</f>
        <v>VELCRO 1 ''</v>
      </c>
      <c r="D18" s="494"/>
      <c r="E18" s="494"/>
      <c r="F18" s="494"/>
      <c r="G18" s="213" t="str">
        <f>IF('Soli_citud '!O16="","",'Soli_citud '!O16)</f>
        <v>cm</v>
      </c>
      <c r="H18" s="213" cm="1">
        <f t="array" ref="H18">_xlfn.IFS('Soli_citud '!S16="","",'Soli_citud '!S16&lt;=0,"",'Soli_citud '!S16&gt;0,'Soli_citud '!S16)</f>
        <v>41</v>
      </c>
      <c r="I18" s="214"/>
      <c r="J18" s="216"/>
      <c r="K18" s="197" cm="1">
        <f t="array" ref="K18">IFERROR(_xlfn.IFS(H18="","",J18=H18,"Cumplido",J18&lt;H18,H18-J18,J18&gt;H18,"Revisar"),"")</f>
        <v>41</v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IFERROR(IF('Soli_citud '!D17="","",'Soli_citud '!D17),"")</f>
        <v>SUELA NIÑO  PVC SWIFT BLANCO-NEGRO</v>
      </c>
      <c r="D19" s="494"/>
      <c r="E19" s="494"/>
      <c r="F19" s="494"/>
      <c r="G19" s="213" t="str">
        <f>IF('Soli_citud '!O17="","",'Soli_citud '!O17)</f>
        <v>Par</v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IFERROR(IF('Soli_citud '!D18="","",'Soli_citud '!D18),"")</f>
        <v/>
      </c>
      <c r="D20" s="494"/>
      <c r="E20" s="494"/>
      <c r="F20" s="494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2025-05-09T15:37:25Z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