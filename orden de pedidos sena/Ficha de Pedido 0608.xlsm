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JUAN VILLA\FICHA 3375608 EJERCICIOS DE CORTE, ARMADO Y COSTURA\"/>
    </mc:Choice>
  </mc:AlternateContent>
  <xr:revisionPtr revIDLastSave="0" documentId="13_ncr:1_{6BFF1EC8-CE4F-4AF0-B02D-111076404165}" xr6:coauthVersionLast="36" xr6:coauthVersionMax="36" xr10:uidLastSave="{00000000-0000-0000-0000-000000000000}"/>
  <bookViews>
    <workbookView showHorizontalScroll="0" showVerticalScroll="0" xWindow="0" yWindow="0" windowWidth="20490" windowHeight="74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21" i="43" l="1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 s="1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<sst xmlns="http://schemas.openxmlformats.org/spreadsheetml/2006/main" count="4117" uniqueCount="1156">
  <si>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</si>
  <si>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</si>
  <si>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</si>
  <si>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</si>
  <si>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</si>
  <si>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</si>
  <si>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</si>
  <si>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</si>
  <si>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</si>
  <si>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</si>
  <si>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</si>
  <si>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</si>
  <si>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</si>
  <si>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</si>
  <si>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</si>
  <si>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</si>
  <si>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</si>
  <si>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</si>
  <si>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</si>
  <si>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</si>
  <si>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</si>
  <si>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</si>
  <si>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</si>
  <si>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</si>
  <si>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</si>
  <si>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</si>
  <si>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</si>
  <si>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</si>
  <si>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</si>
  <si>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</si>
  <si>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</si>
  <si>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</si>
  <si>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</si>
  <si>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</si>
  <si>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</si>
  <si>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</si>
  <si>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</si>
  <si>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</si>
  <si>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</si>
  <si>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</si>
  <si>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</si>
  <si>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</si>
  <si>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</si>
  <si>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</si>
  <si>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</si>
  <si>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</si>
  <si>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</si>
  <si>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</si>
  <si>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</si>
  <si>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</si>
  <si>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</si>
  <si>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</si>
  <si>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</si>
  <si>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</si>
  <si>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</si>
  <si>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</si>
  <si>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</si>
  <si>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</si>
  <si>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</si>
  <si>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</si>
  <si>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</si>
  <si>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</si>
  <si>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</si>
  <si>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</si>
  <si>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</si>
  <si>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</si>
  <si>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</si>
  <si>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</si>
  <si>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</si>
  <si>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</si>
  <si>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</si>
  <si>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</si>
  <si>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</si>
  <si>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</si>
  <si>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</si>
  <si>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</si>
  <si>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</si>
  <si>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</si>
  <si>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</si>
  <si>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</si>
  <si>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</si>
  <si>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</si>
  <si>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</si>
  <si>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</si>
  <si>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</si>
  <si>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</si>
  <si>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</si>
  <si>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</si>
  <si>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</si>
  <si>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</si>
  <si>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</si>
  <si>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</si>
  <si>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</si>
  <si>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</si>
  <si>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</si>
  <si>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</si>
  <si>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</si>
  <si>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</si>
  <si>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</si>
  <si>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</si>
  <si>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</si>
  <si>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</si>
  <si>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</si>
  <si>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</si>
  <si>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</si>
  <si>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</si>
  <si>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</si>
  <si>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</si>
  <si>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</si>
  <si>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</si>
  <si>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</si>
  <si>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</si>
  <si>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</si>
  <si>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</si>
  <si>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</si>
  <si>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</si>
  <si>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</si>
  <si>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</si>
  <si>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</si>
  <si>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</si>
  <si>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</si>
  <si>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</si>
  <si>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</si>
  <si>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</si>
  <si>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</si>
  <si>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</si>
  <si>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</si>
  <si>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</si>
  <si>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</si>
  <si>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</si>
  <si>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</si>
  <si>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</si>
  <si>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</si>
  <si>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</si>
  <si>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</si>
  <si>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</si>
  <si>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</si>
  <si>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</si>
  <si>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</si>
  <si>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</si>
  <si>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</si>
  <si>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</si>
  <si>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</si>
  <si>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</si>
  <si>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</si>
  <si>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</si>
  <si>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</si>
  <si>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</si>
  <si>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</si>
  <si>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</si>
  <si>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</si>
  <si>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</si>
  <si>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</si>
  <si>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</si>
  <si>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</si>
  <si>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</si>
  <si>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</si>
  <si>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</si>
  <si>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</si>
  <si>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</si>
  <si>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</si>
  <si>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</si>
  <si>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</si>
  <si>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</si>
  <si>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</si>
  <si>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</si>
  <si>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</si>
  <si>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</si>
  <si>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</si>
  <si>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</si>
  <si>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</si>
  <si>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</si>
  <si>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</si>
  <si>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</si>
  <si>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</si>
  <si>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</si>
  <si>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</si>
  <si>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</si>
  <si>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</si>
  <si>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</si>
  <si>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</si>
  <si>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</si>
  <si>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</si>
  <si>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</si>
  <si>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</si>
  <si>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</si>
  <si>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</si>
  <si>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</si>
  <si>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</si>
  <si>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</si>
  <si>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</si>
  <si>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</si>
  <si>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</si>
  <si>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</si>
  <si>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</si>
  <si>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</si>
  <si>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</si>
  <si>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</si>
  <si>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</si>
  <si>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</si>
  <si>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</si>
  <si>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</si>
  <si>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</si>
  <si>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</si>
  <si>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</si>
  <si>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</si>
  <si>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</si>
  <si>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</si>
  <si>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</si>
  <si>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</si>
  <si>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</si>
  <si>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</si>
  <si>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</si>
  <si>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</si>
  <si>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</si>
  <si>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</si>
  <si>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</si>
  <si>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</si>
  <si>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</si>
  <si>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</si>
  <si>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</si>
  <si>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</si>
  <si>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</si>
  <si>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</si>
  <si>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</si>
  <si>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</si>
  <si>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</si>
  <si>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</si>
  <si>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</si>
  <si>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</si>
  <si>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</si>
  <si>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</si>
  <si>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</si>
  <si>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</si>
  <si>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</si>
  <si>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</si>
  <si>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</si>
  <si>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</si>
  <si>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</si>
  <si>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</si>
  <si>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</si>
  <si>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</si>
  <si>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</si>
  <si>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</si>
  <si>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</si>
  <si>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</si>
  <si>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</si>
  <si>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</si>
  <si>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</si>
  <si>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</si>
  <si>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</si>
  <si>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</si>
  <si>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</si>
  <si>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</si>
  <si>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</si>
  <si>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</si>
  <si>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</si>
  <si>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</si>
  <si>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</si>
  <si>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</si>
  <si>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</si>
  <si>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</si>
  <si>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</si>
  <si>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</si>
  <si>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</si>
  <si>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</si>
  <si>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</si>
  <si>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</si>
  <si>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</si>
  <si>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</si>
  <si>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</si>
  <si>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</si>
  <si>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</si>
  <si>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</si>
  <si>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</si>
  <si>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</si>
  <si>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</si>
  <si>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</si>
  <si>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</si>
  <si>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</si>
  <si>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</si>
  <si>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</si>
  <si>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</si>
  <si>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</si>
  <si>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</si>
  <si>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</si>
  <si>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</si>
  <si>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</si>
  <si>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</si>
  <si>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</si>
  <si>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</si>
  <si>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</si>
  <si>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</si>
  <si>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</si>
  <si>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</si>
  <si>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</si>
  <si>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</si>
  <si>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</si>
  <si>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</si>
  <si>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</si>
  <si>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</si>
  <si>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</si>
  <si>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</si>
  <si>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</si>
  <si>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</si>
  <si>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</si>
  <si>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</si>
  <si>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</si>
  <si>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</si>
  <si>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</si>
  <si>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</si>
  <si>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</si>
  <si>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</si>
  <si>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</si>
  <si>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</si>
  <si>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</si>
  <si>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</si>
  <si>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</si>
  <si>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</si>
  <si>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</si>
  <si>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</si>
  <si>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</si>
  <si>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</si>
  <si>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</si>
  <si>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</si>
  <si>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</si>
  <si>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</si>
  <si>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</si>
  <si>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</si>
  <si>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</si>
  <si>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</si>
  <si>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</si>
  <si>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</si>
  <si>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</si>
  <si>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</si>
  <si>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</si>
  <si>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</si>
  <si>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</si>
  <si>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</si>
  <si>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</si>
  <si>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</si>
  <si>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</si>
  <si>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</si>
  <si>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</si>
  <si>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</si>
  <si>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</si>
  <si>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</si>
  <si>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</si>
  <si>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</si>
  <si>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</si>
  <si>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</si>
  <si>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</si>
  <si>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</si>
  <si>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</si>
  <si>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</si>
  <si>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</si>
  <si>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</si>
  <si>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</si>
  <si>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</si>
  <si>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</si>
  <si>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</si>
  <si>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</si>
  <si>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</si>
  <si>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</si>
  <si>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</si>
  <si>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</si>
  <si>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</si>
  <si>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</si>
  <si>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</si>
  <si>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</si>
  <si>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</si>
  <si>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</si>
  <si>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</si>
  <si>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</si>
  <si>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</si>
  <si>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</si>
  <si>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</si>
  <si>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</si>
  <si>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</si>
  <si>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</si>
  <si>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</si>
  <si>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</si>
  <si>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</si>
  <si>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</si>
  <si>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</si>
  <si>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</si>
  <si>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</si>
  <si>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</si>
  <si>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</si>
  <si>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</si>
  <si>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</si>
  <si>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</si>
  <si>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</si>
  <si>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</si>
  <si>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</si>
  <si>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</si>
  <si>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</si>
  <si>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</si>
  <si>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</si>
  <si>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</si>
  <si>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</si>
  <si>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</si>
  <si>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</si>
  <si>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</si>
  <si>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</si>
  <si>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</si>
  <si>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</si>
  <si>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</si>
  <si>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</si>
  <si>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</si>
  <si>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</si>
  <si>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</si>
  <si>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</si>
  <si>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</si>
  <si>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</si>
  <si>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</si>
  <si>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</si>
  <si>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</si>
  <si>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</si>
  <si>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</si>
  <si>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</si>
  <si>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</si>
  <si>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</si>
  <si>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</si>
  <si>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</si>
  <si>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</si>
  <si>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</si>
  <si>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</si>
  <si>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</si>
  <si>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</si>
  <si>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</si>
  <si>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</si>
  <si>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</si>
  <si>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</si>
  <si>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</si>
  <si>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</si>
  <si>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</si>
  <si>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</si>
  <si>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</si>
  <si>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</si>
  <si>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</si>
  <si>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</si>
  <si>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</si>
  <si>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</si>
  <si>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</si>
  <si>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</si>
  <si>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</si>
  <si>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</si>
  <si>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</si>
  <si>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</si>
  <si>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</si>
  <si>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</si>
  <si>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</si>
  <si>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</si>
  <si>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</si>
  <si>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</si>
  <si>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</si>
  <si>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</si>
  <si>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</si>
  <si>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</si>
  <si>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</si>
  <si>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</si>
  <si>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</si>
  <si>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</si>
  <si>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</si>
  <si>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</si>
  <si>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</si>
  <si>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</si>
  <si>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</si>
  <si>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</si>
  <si>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</si>
  <si>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</si>
  <si>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</si>
  <si>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</si>
  <si>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</si>
  <si>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</si>
  <si>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</si>
  <si>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</si>
  <si>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</si>
  <si>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</si>
  <si>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</si>
  <si>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</si>
  <si>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</si>
  <si>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</si>
  <si>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</si>
  <si>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</si>
  <si>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</si>
  <si>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</si>
  <si>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</si>
  <si>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</si>
  <si>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</si>
  <si>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</si>
  <si>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</si>
  <si>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</si>
  <si>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</si>
  <si>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</si>
  <si>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</si>
  <si>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</si>
  <si>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</si>
  <si>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</si>
  <si>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</si>
  <si>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</si>
  <si>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</si>
  <si>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</si>
  <si>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</si>
  <si>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</si>
  <si>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</si>
  <si>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</si>
  <si>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</si>
  <si>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</si>
  <si>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</si>
  <si>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</si>
  <si>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</si>
  <si>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</si>
  <si>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</si>
  <si>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</si>
  <si>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</si>
  <si>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</si>
  <si>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</si>
  <si>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</si>
  <si>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</si>
  <si>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</si>
  <si>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</si>
  <si>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</si>
  <si>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</si>
  <si>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</si>
  <si>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</si>
  <si>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</si>
  <si>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</si>
  <si>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</si>
  <si>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</si>
  <si>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</si>
  <si>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</si>
  <si>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</si>
  <si>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</si>
  <si>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</si>
  <si>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</si>
  <si>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</si>
  <si>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</si>
  <si>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</si>
  <si>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</si>
  <si>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</si>
  <si>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</si>
  <si>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</si>
  <si>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</si>
  <si>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</si>
  <si>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</si>
  <si>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</si>
  <si>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</si>
  <si>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</si>
  <si>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</si>
  <si>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</si>
  <si>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</si>
  <si>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</si>
  <si>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</si>
  <si>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</si>
  <si>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</si>
  <si>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</si>
  <si>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</si>
  <si>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</si>
  <si>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</si>
  <si>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</si>
  <si>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</si>
  <si>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</si>
  <si>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</si>
  <si>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</si>
  <si>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</si>
  <si>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</si>
  <si>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</si>
  <si>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</si>
  <si>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</si>
  <si>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</si>
  <si>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</si>
  <si>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</si>
  <si>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</si>
  <si>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</si>
  <si>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</si>
  <si>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</si>
  <si>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</si>
  <si>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</si>
  <si>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</si>
  <si>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</si>
  <si>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</si>
  <si>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</si>
  <si>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</si>
  <si>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</si>
  <si>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</si>
  <si>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</si>
  <si>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</si>
  <si>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</si>
  <si>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</si>
  <si>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</si>
  <si>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</si>
  <si>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</si>
  <si>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</si>
  <si>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</si>
  <si>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</si>
  <si>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</si>
  <si>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</si>
  <si>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</si>
  <si>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</si>
  <si>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</si>
  <si>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</si>
  <si>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</si>
  <si>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</si>
  <si>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</si>
  <si>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</si>
  <si>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</si>
  <si>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</si>
  <si>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</si>
  <si>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</si>
  <si>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</si>
  <si>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</si>
  <si>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</si>
  <si>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</si>
  <si>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</si>
  <si>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</si>
  <si>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</si>
  <si>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</si>
  <si>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</si>
  <si>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</si>
  <si>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</si>
  <si>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</si>
  <si>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</si>
  <si>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</si>
  <si>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</si>
  <si>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</si>
  <si>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</si>
  <si>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</si>
  <si>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</si>
  <si>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</si>
  <si>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</si>
  <si>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</si>
  <si>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</si>
  <si>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</si>
  <si>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</si>
  <si>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</si>
  <si>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</si>
  <si>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</si>
  <si>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</si>
  <si>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</si>
  <si>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</si>
  <si>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</si>
  <si>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</si>
  <si>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</si>
  <si>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</si>
  <si>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</si>
  <si>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</si>
  <si>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</si>
  <si>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</si>
  <si>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</si>
  <si>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</si>
  <si>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</si>
  <si>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</si>
  <si>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</si>
  <si>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</si>
  <si>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</si>
  <si>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</si>
  <si>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</si>
  <si>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</si>
  <si>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</si>
  <si>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</si>
  <si>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</si>
  <si>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</si>
  <si>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</si>
  <si>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</si>
  <si>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</si>
  <si>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</si>
  <si>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</si>
  <si>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</si>
  <si>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</si>
  <si>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</si>
  <si>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</si>
  <si>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</si>
  <si>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</si>
  <si>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</si>
  <si>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</si>
  <si>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</si>
  <si>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</si>
  <si>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</si>
  <si>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</si>
  <si>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</si>
  <si>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</si>
  <si>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</si>
  <si>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</si>
  <si>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</si>
  <si>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</si>
  <si>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</si>
  <si>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</si>
  <si>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</si>
  <si>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</si>
  <si>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</si>
  <si>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</si>
  <si>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</si>
  <si>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</si>
  <si>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</si>
  <si>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</si>
  <si>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</si>
  <si>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</si>
  <si>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</si>
  <si>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</si>
  <si>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</si>
  <si>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</si>
  <si>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</si>
  <si>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</si>
  <si>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</si>
  <si>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</si>
  <si>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</si>
  <si>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</si>
  <si>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</si>
  <si>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</si>
  <si>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</si>
  <si>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</si>
  <si>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</si>
  <si>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</si>
  <si>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</si>
  <si>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</si>
  <si>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</si>
  <si>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</si>
  <si>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</si>
  <si>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</si>
  <si>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</si>
  <si>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</si>
  <si>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</si>
  <si>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</si>
  <si>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</si>
  <si>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</si>
  <si>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</si>
  <si>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</si>
  <si>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</si>
  <si>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</si>
  <si>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</si>
  <si>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</si>
  <si>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</si>
  <si>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</si>
  <si>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</si>
  <si>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</si>
  <si>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</si>
  <si>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</si>
  <si>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</si>
  <si>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</si>
  <si>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</si>
  <si>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</si>
  <si>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</si>
  <si>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</si>
  <si>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</si>
  <si>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</si>
  <si>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</si>
  <si>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</si>
  <si>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</si>
  <si>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</si>
  <si>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</si>
  <si>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</si>
  <si>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</si>
  <si>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</si>
  <si>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</si>
  <si>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</si>
  <si>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</si>
  <si>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</si>
  <si>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</si>
  <si>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</si>
  <si>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</si>
  <si>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</si>
  <si>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</si>
  <si>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</si>
  <si>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</si>
  <si>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</si>
  <si>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</si>
  <si>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</si>
  <si>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</si>
  <si>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</si>
  <si>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</si>
  <si>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</si>
  <si>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</si>
  <si>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</si>
  <si>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</si>
  <si>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</si>
  <si>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</si>
  <si>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</si>
  <si>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</si>
  <si>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</si>
  <si>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</si>
  <si>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</si>
  <si>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</si>
  <si>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</si>
  <si>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</si>
  <si>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</si>
  <si>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</si>
  <si>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</si>
  <si>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</si>
  <si>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</si>
  <si>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</si>
  <si>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</si>
  <si>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</si>
  <si>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</si>
  <si>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</si>
  <si>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</si>
  <si>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</si>
  <si>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</si>
  <si>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</si>
  <si>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</si>
  <si>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</si>
  <si>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</si>
  <si>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</si>
  <si>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</si>
  <si>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</si>
  <si>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</si>
  <si>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</si>
  <si>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</si>
  <si>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</si>
  <si>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</si>
  <si>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</si>
  <si>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</si>
  <si>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</si>
  <si>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</si>
  <si>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</si>
  <si>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</si>
  <si>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</si>
  <si>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</si>
  <si>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</si>
  <si>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</si>
  <si>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</si>
  <si>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</si>
  <si>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</si>
  <si>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</si>
  <si>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</si>
  <si>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</si>
  <si>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</si>
  <si>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</si>
  <si>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</si>
  <si>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</si>
  <si>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</si>
  <si>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</si>
  <si>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</si>
  <si>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</si>
  <si>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</si>
  <si>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</si>
  <si>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</si>
  <si>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</si>
  <si>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</si>
  <si>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</si>
  <si>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</si>
  <si>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</si>
  <si>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</si>
  <si>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</si>
  <si>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</si>
  <si>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</si>
  <si>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</si>
  <si>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</si>
  <si>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</si>
  <si>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</si>
  <si>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</si>
  <si>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</si>
  <si>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</si>
  <si>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</si>
  <si>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</si>
  <si>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</si>
  <si>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</si>
  <si>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</si>
  <si>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</si>
  <si>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</si>
  <si>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</si>
  <si>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</si>
  <si>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</si>
  <si>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</si>
  <si>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</si>
  <si>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</si>
  <si>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</si>
  <si>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</si>
  <si>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</si>
  <si>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</si>
  <si>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</si>
  <si>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</si>
  <si>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</si>
  <si>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</si>
  <si>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</si>
  <si>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</si>
  <si>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</si>
  <si>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</si>
  <si>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</si>
  <si>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</si>
  <si>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</si>
  <si>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</si>
  <si>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</si>
  <si>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</si>
  <si>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</si>
  <si>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</si>
  <si>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</si>
  <si>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</si>
  <si>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</si>
  <si>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</si>
  <si>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</si>
  <si>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</si>
  <si>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</si>
  <si>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</si>
  <si>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</si>
  <si>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</si>
  <si>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</si>
  <si>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</si>
  <si>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</si>
  <si>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</si>
  <si>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</si>
  <si>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</si>
  <si>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</si>
  <si>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</si>
  <si>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</si>
  <si>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</si>
  <si>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</si>
  <si>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</si>
  <si>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</si>
  <si>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</si>
  <si>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</si>
  <si>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</si>
  <si>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</si>
  <si>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</si>
  <si>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</si>
  <si>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</si>
  <si>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</si>
  <si>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</si>
  <si>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</si>
  <si>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</si>
  <si>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</si>
  <si>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</si>
  <si>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</si>
  <si>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</si>
  <si>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</si>
  <si>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</si>
  <si>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</si>
  <si>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</si>
  <si>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</si>
  <si>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</si>
  <si>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</si>
  <si>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</si>
  <si>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</si>
  <si>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</si>
  <si>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</si>
  <si>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</si>
  <si>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</si>
  <si>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</si>
  <si>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</si>
  <si>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</si>
  <si>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</si>
  <si>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</si>
  <si>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</si>
  <si>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</si>
  <si>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</si>
  <si>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</si>
  <si>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</si>
  <si>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</si>
  <si>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</si>
  <si>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</si>
  <si>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</si>
  <si>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</si>
  <si>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</si>
  <si>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</si>
  <si>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</si>
  <si>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</si>
  <si>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</si>
  <si>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</si>
  <si>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</si>
  <si>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</si>
  <si>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</si>
  <si>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</si>
  <si>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</si>
  <si>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</si>
  <si>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</si>
  <si>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</si>
  <si>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</si>
  <si>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</si>
  <si>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</si>
  <si>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</si>
  <si>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</si>
  <si>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</si>
  <si>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</si>
  <si>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</si>
  <si>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</si>
  <si>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</si>
  <si>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</si>
  <si>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</si>
  <si>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</si>
  <si>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</si>
  <si>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</si>
  <si>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</si>
  <si>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</si>
  <si>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</si>
  <si>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</si>
  <si>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</si>
  <si>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</si>
  <si>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</si>
  <si>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</si>
  <si>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</si>
  <si>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</si>
  <si>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</si>
  <si>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</si>
  <si>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</si>
  <si>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</si>
  <si>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</si>
  <si>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</si>
  <si>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</si>
  <si>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</si>
  <si>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</si>
  <si>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</si>
  <si>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</si>
  <si>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</si>
  <si>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</si>
  <si>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</si>
  <si>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</si>
  <si>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</si>
  <si>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</si>
  <si>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</si>
  <si>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</si>
  <si>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</si>
  <si>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</si>
  <si>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</si>
  <si>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</si>
  <si>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</si>
  <si>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</si>
  <si>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</si>
  <si>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</si>
  <si>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</si>
  <si>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</si>
  <si>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</si>
  <si>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</si>
  <si>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</si>
  <si>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</si>
  <si>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</si>
  <si>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</si>
  <si>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</si>
  <si>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</si>
  <si>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</si>
  <si>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</si>
  <si>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</si>
  <si>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</si>
  <si>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</si>
  <si>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</si>
  <si>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</si>
  <si>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</si>
  <si>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</si>
  <si>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</si>
  <si>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</si>
  <si>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</si>
  <si>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</si>
  <si>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</si>
  <si>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</si>
  <si>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</si>
  <si>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</si>
  <si>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</si>
  <si>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</si>
  <si>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</si>
  <si>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</si>
  <si>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</si>
  <si>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</si>
  <si>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</si>
  <si>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</si>
  <si>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</si>
  <si>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</si>
  <si>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</si>
  <si>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</si>
  <si>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</si>
  <si>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</si>
  <si>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</si>
  <si>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</si>
  <si>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</si>
  <si>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</si>
  <si>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</si>
  <si>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</si>
  <si>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</si>
  <si>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</si>
  <si>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</si>
  <si>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</si>
  <si>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</si>
  <si>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</si>
  <si>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</si>
  <si>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</si>
  <si>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</si>
  <si>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</si>
  <si>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</si>
  <si>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</si>
  <si>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</si>
  <si>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</si>
  <si>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</si>
  <si>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</si>
  <si>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</si>
  <si>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</si>
  <si>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</si>
  <si>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</si>
  <si>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</si>
  <si>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</si>
  <si>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</si>
  <si>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</si>
  <si>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</si>
  <si>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</si>
  <si>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</si>
  <si>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</si>
  <si>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</si>
  <si>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</si>
  <si>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</si>
  <si>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</si>
  <si>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</si>
  <si>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</si>
  <si>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</si>
  <si>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</si>
  <si>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</si>
  <si>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</si>
  <si>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</si>
  <si>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</si>
  <si>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</si>
  <si>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</si>
  <si>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</si>
  <si>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</si>
  <si>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</si>
  <si>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</si>
  <si>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</si>
  <si>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</si>
  <si>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</si>
  <si>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</si>
  <si>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</si>
  <si>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</si>
  <si>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</si>
  <si>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</si>
  <si>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</si>
  <si>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</si>
  <si>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</si>
  <si>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</si>
  <si>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</si>
  <si>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</si>
  <si>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</si>
  <si>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</si>
  <si>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</si>
  <si>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</si>
  <si>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</si>
  <si>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</si>
  <si>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</si>
  <si>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</si>
  <si>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</si>
  <si>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</si>
  <si>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</si>
  <si>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</si>
  <si>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</si>
  <si>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</si>
  <si>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</si>
  <si>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</si>
  <si>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</si>
  <si>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</si>
  <si>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</si>
  <si>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</si>
  <si>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</si>
  <si>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</si>
  <si>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</si>
  <si>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</si>
  <si>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</si>
  <si>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</si>
  <si>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</si>
  <si>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</si>
  <si>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</si>
  <si>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ejercicios corte, armado, costura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</si>
</sst>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1" sqref="U11:V1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JV1011-1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45971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1134</v>
      </c>
      <c r="F2" s="354"/>
      <c r="G2" s="354"/>
      <c r="H2" s="354"/>
      <c r="I2" s="354"/>
      <c r="J2" s="354"/>
      <c r="K2" s="355"/>
      <c r="L2" s="310" t="s">
        <v>6</v>
      </c>
      <c r="M2" s="311"/>
      <c r="N2" s="312"/>
      <c r="O2" s="313">
        <f>IF(E2="","",INDEX(Listas!H2:I30,MATCH('Soli_citud '!E2,Listas!H2:H30,0),2))</f>
        <v>71639999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7</v>
      </c>
      <c r="D3" s="360"/>
      <c r="E3" s="361" t="s">
        <v>1102</v>
      </c>
      <c r="F3" s="362"/>
      <c r="G3" s="362"/>
      <c r="H3" s="362"/>
      <c r="I3" s="362"/>
      <c r="J3" s="362"/>
      <c r="K3" s="363"/>
      <c r="L3" s="310" t="s">
        <v>8</v>
      </c>
      <c r="M3" s="311"/>
      <c r="N3" s="312"/>
      <c r="O3" s="286">
        <v>3375608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9</v>
      </c>
      <c r="B4" s="344"/>
      <c r="C4" s="344"/>
      <c r="D4" s="338" t="s">
        <v>1155</v>
      </c>
      <c r="E4" s="339"/>
      <c r="F4" s="339"/>
      <c r="G4" s="339"/>
      <c r="H4" s="339"/>
      <c r="I4" s="339"/>
      <c r="J4" s="339"/>
      <c r="K4" s="339"/>
      <c r="L4" s="340" t="s">
        <v>10</v>
      </c>
      <c r="M4" s="340"/>
      <c r="N4" s="340"/>
      <c r="O4" s="341" t="s">
        <v>1077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11</v>
      </c>
      <c r="B5" s="364"/>
      <c r="C5" s="364"/>
      <c r="D5" s="365">
        <f>IF(K5="","",(SUM(W10:Y28)-(SUMIF(U10:V28,"Restar_Pedido",W10:Y28)))/$K$5)</f>
        <v>14081.637665125494</v>
      </c>
      <c r="E5" s="366"/>
      <c r="F5" s="367"/>
      <c r="G5" s="351" t="s">
        <v>12</v>
      </c>
      <c r="H5" s="368"/>
      <c r="I5" s="368"/>
      <c r="J5" s="352"/>
      <c r="K5" s="326">
        <v>15</v>
      </c>
      <c r="L5" s="326"/>
      <c r="M5" s="327" t="s">
        <v>13</v>
      </c>
      <c r="N5" s="327"/>
      <c r="O5" s="316">
        <f>IFERROR(IF(K5=0,"",D5*K5),"")</f>
        <v>211224.56497688242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14</v>
      </c>
      <c r="B7" s="356"/>
      <c r="C7" s="356"/>
      <c r="D7" s="357" t="s">
        <v>15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16</v>
      </c>
      <c r="P7" s="305"/>
      <c r="Q7" s="358" t="s">
        <v>17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18</v>
      </c>
      <c r="T8" s="307"/>
      <c r="U8" s="307"/>
      <c r="V8" s="308">
        <f>IF(K5="","",1/K5)</f>
        <v>6.6666666666666666E-2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19</v>
      </c>
      <c r="T9" s="306"/>
      <c r="U9" s="305" t="s">
        <v>20</v>
      </c>
      <c r="V9" s="305"/>
      <c r="W9" s="305" t="s">
        <v>21</v>
      </c>
      <c r="X9" s="305"/>
      <c r="Y9" s="305"/>
    </row>
    <row r="10" spans="1:28" ht="17.25" customHeight="1">
      <c r="A10" s="279"/>
      <c r="B10" s="279"/>
      <c r="C10" s="280"/>
      <c r="D10" s="369"/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4" t="str">
        <f t="shared" ref="O10:O31" si="0">IFERROR(IF(D10="","",INDEX(Tabla_Completa,MATCH(D10,Materiales,0),6)),"")</f>
        <v/>
      </c>
      <c r="P10" s="285"/>
      <c r="Q10" s="286"/>
      <c r="R10" s="287"/>
      <c r="S10" s="288">
        <f>IFERROR(IF(Q10="Unidad","1",(Q10*$K$5)),"")</f>
        <v>0</v>
      </c>
      <c r="T10" s="289"/>
      <c r="U10" s="276"/>
      <c r="V10" s="372"/>
      <c r="W10" s="277" t="str">
        <f>IFERROR(IF(D10="","",INDEX(Tabla_Completa,MATCH('Soli_citud '!D10,Materiales,0),7)*S10),"")</f>
        <v/>
      </c>
      <c r="X10" s="277"/>
      <c r="Y10" s="277"/>
      <c r="Z10" s="37"/>
    </row>
    <row r="11" spans="1:28" ht="17.25" customHeight="1">
      <c r="A11" s="278" t="s">
        <v>46</v>
      </c>
      <c r="B11" s="279"/>
      <c r="C11" s="280"/>
      <c r="D11" s="369" t="s">
        <v>777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4" t="str">
        <f t="shared" si="0"/>
        <v>cm2</v>
      </c>
      <c r="P11" s="285"/>
      <c r="Q11" s="286">
        <v>7000</v>
      </c>
      <c r="R11" s="287"/>
      <c r="S11" s="288">
        <f t="shared" ref="S11:S31" si="1">IFERROR(IF(Q11="Unidad","1",(Q11*$K$5)),"")</f>
        <v>105000</v>
      </c>
      <c r="T11" s="289"/>
      <c r="U11" s="276"/>
      <c r="V11" s="276"/>
      <c r="W11" s="277">
        <f>IFERROR(IF(D11="","",INDEX(Tabla_Completa,MATCH('Soli_citud '!D11,Materiales,0),7)*S11),"")</f>
        <v>24850</v>
      </c>
      <c r="X11" s="277"/>
      <c r="Y11" s="277"/>
    </row>
    <row r="12" spans="1:28" ht="15.75" customHeight="1">
      <c r="A12" s="278" t="s">
        <v>46</v>
      </c>
      <c r="B12" s="279"/>
      <c r="C12" s="280"/>
      <c r="D12" s="373" t="s">
        <v>763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4" t="str">
        <f t="shared" ref="O12" si="2">IFERROR(IF(D12="","",INDEX(Tabla_Completa,MATCH(D12,Materiales,0),6)),"")</f>
        <v>cm2</v>
      </c>
      <c r="P12" s="285"/>
      <c r="Q12" s="286">
        <v>7000</v>
      </c>
      <c r="R12" s="287"/>
      <c r="S12" s="288">
        <f t="shared" si="1"/>
        <v>105000</v>
      </c>
      <c r="T12" s="289"/>
      <c r="U12" s="276"/>
      <c r="V12" s="276"/>
      <c r="W12" s="277">
        <f>IFERROR(IF(D12="","",INDEX(Tabla_Completa,MATCH('Soli_citud '!D12,Materiales,0),7)*S12),"")</f>
        <v>72219</v>
      </c>
      <c r="X12" s="277"/>
      <c r="Y12" s="277"/>
    </row>
    <row r="13" spans="1:28" ht="15.75" customHeight="1">
      <c r="A13" s="278" t="s">
        <v>27</v>
      </c>
      <c r="B13" s="279"/>
      <c r="C13" s="280"/>
      <c r="D13" s="369" t="s">
        <v>103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4" t="str">
        <f t="shared" si="0"/>
        <v>ml</v>
      </c>
      <c r="P13" s="285"/>
      <c r="Q13" s="286">
        <v>0.05</v>
      </c>
      <c r="R13" s="287"/>
      <c r="S13" s="288">
        <f t="shared" si="1"/>
        <v>0.75</v>
      </c>
      <c r="T13" s="289"/>
      <c r="U13" s="276"/>
      <c r="V13" s="276"/>
      <c r="W13" s="277">
        <f>IFERROR(IF(D13="","",INDEX(Tabla_Completa,MATCH('Soli_citud '!D13,Materiales,0),7)*S13),"")</f>
        <v>5.6274768824306474</v>
      </c>
      <c r="X13" s="277"/>
      <c r="Y13" s="277"/>
    </row>
    <row r="14" spans="1:28" ht="17.25" customHeight="1">
      <c r="A14" s="278" t="s">
        <v>976</v>
      </c>
      <c r="B14" s="279"/>
      <c r="C14" s="280"/>
      <c r="D14" s="369" t="s">
        <v>1021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4" t="str">
        <f t="shared" si="0"/>
        <v>gal</v>
      </c>
      <c r="P14" s="285"/>
      <c r="Q14" s="286">
        <v>0.05</v>
      </c>
      <c r="R14" s="287"/>
      <c r="S14" s="288">
        <f t="shared" si="1"/>
        <v>0.75</v>
      </c>
      <c r="T14" s="289"/>
      <c r="U14" s="276"/>
      <c r="V14" s="276"/>
      <c r="W14" s="277">
        <f>IFERROR(IF(D14="","",INDEX(Tabla_Completa,MATCH('Soli_citud '!D14,Materiales,0),7)*S14),"")</f>
        <v>0</v>
      </c>
      <c r="X14" s="277"/>
      <c r="Y14" s="277"/>
    </row>
    <row r="15" spans="1:28" ht="15.75" customHeight="1">
      <c r="A15" s="278" t="s">
        <v>222</v>
      </c>
      <c r="B15" s="279"/>
      <c r="C15" s="280"/>
      <c r="D15" s="369" t="s">
        <v>279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4" t="str">
        <f t="shared" si="0"/>
        <v>Cono</v>
      </c>
      <c r="P15" s="285"/>
      <c r="Q15" s="286">
        <v>0.5</v>
      </c>
      <c r="R15" s="287"/>
      <c r="S15" s="288">
        <f t="shared" si="1"/>
        <v>7.5</v>
      </c>
      <c r="T15" s="289"/>
      <c r="U15" s="276"/>
      <c r="V15" s="276"/>
      <c r="W15" s="277">
        <f>IFERROR(IF(D15="","",INDEX(Tabla_Completa,MATCH('Soli_citud '!D15,Materiales,0),7)*S15),"")</f>
        <v>54500</v>
      </c>
      <c r="X15" s="277"/>
      <c r="Y15" s="277"/>
    </row>
    <row r="16" spans="1:28" ht="15.75" customHeight="1">
      <c r="A16" s="278" t="s">
        <v>222</v>
      </c>
      <c r="B16" s="279"/>
      <c r="C16" s="280"/>
      <c r="D16" s="369" t="s">
        <v>280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4" t="str">
        <f t="shared" si="0"/>
        <v>Cono</v>
      </c>
      <c r="P16" s="285"/>
      <c r="Q16" s="286">
        <v>0.5</v>
      </c>
      <c r="R16" s="287"/>
      <c r="S16" s="288">
        <f t="shared" si="1"/>
        <v>7.5</v>
      </c>
      <c r="T16" s="289"/>
      <c r="U16" s="276"/>
      <c r="V16" s="276"/>
      <c r="W16" s="277">
        <f>IFERROR(IF(D16="","",INDEX(Tabla_Completa,MATCH('Soli_citud '!D16,Materiales,0),7)*S16),"")</f>
        <v>54499.987500000003</v>
      </c>
      <c r="X16" s="277"/>
      <c r="Y16" s="277"/>
    </row>
    <row r="17" spans="1:25" ht="15.75" customHeight="1">
      <c r="A17" s="278" t="s">
        <v>826</v>
      </c>
      <c r="B17" s="279"/>
      <c r="C17" s="280"/>
      <c r="D17" s="369" t="s">
        <v>831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4" t="str">
        <f t="shared" si="0"/>
        <v>U</v>
      </c>
      <c r="P17" s="285"/>
      <c r="Q17" s="286">
        <v>1</v>
      </c>
      <c r="R17" s="287"/>
      <c r="S17" s="288">
        <f t="shared" si="1"/>
        <v>15</v>
      </c>
      <c r="T17" s="289"/>
      <c r="U17" s="276"/>
      <c r="V17" s="276"/>
      <c r="W17" s="277">
        <f>IFERROR(IF(D17="","",INDEX(Tabla_Completa,MATCH('Soli_citud '!D17,Materiales,0),7)*S17),"")</f>
        <v>5149.95</v>
      </c>
      <c r="X17" s="277"/>
      <c r="Y17" s="277"/>
    </row>
    <row r="18" spans="1:25" ht="15.75" customHeight="1">
      <c r="A18" s="278" t="s">
        <v>46</v>
      </c>
      <c r="B18" s="279"/>
      <c r="C18" s="280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4" t="str">
        <f t="shared" si="0"/>
        <v/>
      </c>
      <c r="P18" s="285"/>
      <c r="Q18" s="286"/>
      <c r="R18" s="287"/>
      <c r="S18" s="288">
        <f t="shared" si="1"/>
        <v>0</v>
      </c>
      <c r="T18" s="289"/>
      <c r="U18" s="276"/>
      <c r="V18" s="276"/>
      <c r="W18" s="277" t="str">
        <f>IFERROR(IF(D18="","",INDEX(Tabla_Completa,MATCH('Soli_citud '!D18,Materiales,0),7)*S18),"")</f>
        <v/>
      </c>
      <c r="X18" s="277"/>
      <c r="Y18" s="277"/>
    </row>
    <row r="19" spans="1:25" ht="15.75">
      <c r="A19" s="278"/>
      <c r="B19" s="279"/>
      <c r="C19" s="280"/>
      <c r="D19" s="281"/>
      <c r="E19" s="282"/>
      <c r="F19" s="282"/>
      <c r="G19" s="282"/>
      <c r="H19" s="282"/>
      <c r="I19" s="282"/>
      <c r="J19" s="282"/>
      <c r="K19" s="282"/>
      <c r="L19" s="282"/>
      <c r="M19" s="282"/>
      <c r="N19" s="283"/>
      <c r="O19" s="284" t="str">
        <f t="shared" si="0"/>
        <v/>
      </c>
      <c r="P19" s="285"/>
      <c r="Q19" s="286"/>
      <c r="R19" s="287"/>
      <c r="S19" s="288">
        <f t="shared" si="1"/>
        <v>0</v>
      </c>
      <c r="T19" s="289"/>
      <c r="U19" s="276"/>
      <c r="V19" s="276"/>
      <c r="W19" s="277" t="str">
        <f>IFERROR(IF(D19="","",INDEX(Tabla_Completa,MATCH('Soli_citud '!D19,Materiales,0),7)*S19),"")</f>
        <v/>
      </c>
      <c r="X19" s="277"/>
      <c r="Y19" s="277"/>
    </row>
    <row r="20" spans="1:25" ht="15.75">
      <c r="A20" s="278"/>
      <c r="B20" s="279"/>
      <c r="C20" s="280"/>
      <c r="D20" s="281"/>
      <c r="E20" s="282"/>
      <c r="F20" s="282"/>
      <c r="G20" s="282"/>
      <c r="H20" s="282"/>
      <c r="I20" s="282"/>
      <c r="J20" s="282"/>
      <c r="K20" s="282"/>
      <c r="L20" s="282"/>
      <c r="M20" s="282"/>
      <c r="N20" s="283"/>
      <c r="O20" s="284" t="str">
        <f t="shared" si="0"/>
        <v/>
      </c>
      <c r="P20" s="285"/>
      <c r="Q20" s="286"/>
      <c r="R20" s="287"/>
      <c r="S20" s="288">
        <f t="shared" si="1"/>
        <v>0</v>
      </c>
      <c r="T20" s="289"/>
      <c r="U20" s="276"/>
      <c r="V20" s="276"/>
      <c r="W20" s="277" t="str">
        <f>IFERROR(IF(D20="","",INDEX(Tabla_Completa,MATCH('Soli_citud '!D20,Materiales,0),7)*S20),"")</f>
        <v/>
      </c>
      <c r="X20" s="277"/>
      <c r="Y20" s="277"/>
    </row>
    <row r="21" spans="1:25" ht="15.75">
      <c r="A21" s="278"/>
      <c r="B21" s="279"/>
      <c r="C21" s="280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3"/>
      <c r="O21" s="284" t="str">
        <f t="shared" si="0"/>
        <v/>
      </c>
      <c r="P21" s="285"/>
      <c r="Q21" s="286"/>
      <c r="R21" s="287"/>
      <c r="S21" s="288">
        <f t="shared" si="1"/>
        <v>0</v>
      </c>
      <c r="T21" s="289"/>
      <c r="U21" s="276"/>
      <c r="V21" s="276"/>
      <c r="W21" s="277" t="str">
        <f>IFERROR(IF(D21="","",INDEX(Tabla_Completa,MATCH('Soli_citud '!D21,Materiales,0),7)*S21),"")</f>
        <v/>
      </c>
      <c r="X21" s="277"/>
      <c r="Y21" s="277"/>
    </row>
    <row r="22" spans="1:25" ht="15.75">
      <c r="A22" s="278"/>
      <c r="B22" s="279"/>
      <c r="C22" s="280"/>
      <c r="D22" s="281"/>
      <c r="E22" s="282"/>
      <c r="F22" s="282"/>
      <c r="G22" s="282"/>
      <c r="H22" s="282"/>
      <c r="I22" s="282"/>
      <c r="J22" s="282"/>
      <c r="K22" s="282"/>
      <c r="L22" s="282"/>
      <c r="M22" s="282"/>
      <c r="N22" s="283"/>
      <c r="O22" s="284" t="str">
        <f t="shared" si="0"/>
        <v/>
      </c>
      <c r="P22" s="285"/>
      <c r="Q22" s="286"/>
      <c r="R22" s="287"/>
      <c r="S22" s="288">
        <f t="shared" si="1"/>
        <v>0</v>
      </c>
      <c r="T22" s="289"/>
      <c r="U22" s="276"/>
      <c r="V22" s="276"/>
      <c r="W22" s="277" t="str">
        <f>IFERROR(IF(D22="","",INDEX(Tabla_Completa,MATCH('Soli_citud '!D22,Materiales,0),7)*S22),"")</f>
        <v/>
      </c>
      <c r="X22" s="277"/>
      <c r="Y22" s="277"/>
    </row>
    <row r="23" spans="1:25" ht="15.75">
      <c r="A23" s="278"/>
      <c r="B23" s="279"/>
      <c r="C23" s="280"/>
      <c r="D23" s="281"/>
      <c r="E23" s="282"/>
      <c r="F23" s="282"/>
      <c r="G23" s="282"/>
      <c r="H23" s="282"/>
      <c r="I23" s="282"/>
      <c r="J23" s="282"/>
      <c r="K23" s="282"/>
      <c r="L23" s="282"/>
      <c r="M23" s="282"/>
      <c r="N23" s="283"/>
      <c r="O23" s="284" t="str">
        <f t="shared" si="0"/>
        <v/>
      </c>
      <c r="P23" s="285"/>
      <c r="Q23" s="286"/>
      <c r="R23" s="287"/>
      <c r="S23" s="288">
        <f t="shared" si="1"/>
        <v>0</v>
      </c>
      <c r="T23" s="289"/>
      <c r="U23" s="276"/>
      <c r="V23" s="276"/>
      <c r="W23" s="277" t="str">
        <f>IFERROR(IF(D23="","",INDEX(Tabla_Completa,MATCH('Soli_citud '!D23,Materiales,0),7)*S23),"")</f>
        <v/>
      </c>
      <c r="X23" s="277"/>
      <c r="Y23" s="277"/>
    </row>
    <row r="24" spans="1:25" ht="15.75">
      <c r="A24" s="278"/>
      <c r="B24" s="279"/>
      <c r="C24" s="280"/>
      <c r="D24" s="281"/>
      <c r="E24" s="282"/>
      <c r="F24" s="282"/>
      <c r="G24" s="282"/>
      <c r="H24" s="282"/>
      <c r="I24" s="282"/>
      <c r="J24" s="282"/>
      <c r="K24" s="282"/>
      <c r="L24" s="282"/>
      <c r="M24" s="282"/>
      <c r="N24" s="283"/>
      <c r="O24" s="284" t="str">
        <f t="shared" si="0"/>
        <v/>
      </c>
      <c r="P24" s="285"/>
      <c r="Q24" s="286"/>
      <c r="R24" s="287"/>
      <c r="S24" s="288">
        <f>IFERROR(IF(Q24="Unidad","1",(Q24*$K$5)),"")</f>
        <v>0</v>
      </c>
      <c r="T24" s="289"/>
      <c r="U24" s="276"/>
      <c r="V24" s="276"/>
      <c r="W24" s="277" t="str">
        <f>IFERROR(IF(D24="","",INDEX(Tabla_Completa,MATCH('Soli_citud '!D24,Materiales,0),7)*S24),"")</f>
        <v/>
      </c>
      <c r="X24" s="277"/>
      <c r="Y24" s="277"/>
    </row>
    <row r="25" spans="1:25" ht="15.75">
      <c r="A25" s="278"/>
      <c r="B25" s="279"/>
      <c r="C25" s="280"/>
      <c r="D25" s="281"/>
      <c r="E25" s="282"/>
      <c r="F25" s="282"/>
      <c r="G25" s="282"/>
      <c r="H25" s="282"/>
      <c r="I25" s="282"/>
      <c r="J25" s="282"/>
      <c r="K25" s="282"/>
      <c r="L25" s="282"/>
      <c r="M25" s="282"/>
      <c r="N25" s="283"/>
      <c r="O25" s="284" t="str">
        <f t="shared" si="0"/>
        <v/>
      </c>
      <c r="P25" s="285"/>
      <c r="Q25" s="286"/>
      <c r="R25" s="287"/>
      <c r="S25" s="288">
        <f>IFERROR(IF(Q25="Unidad","1",(Q25*$K$5)),"")</f>
        <v>0</v>
      </c>
      <c r="T25" s="289"/>
      <c r="U25" s="276"/>
      <c r="V25" s="276"/>
      <c r="W25" s="277" t="str">
        <f>IFERROR(IF(D25="","",INDEX(Tabla_Completa,MATCH('Soli_citud '!D25,Materiales,0),7)*S25),"")</f>
        <v/>
      </c>
      <c r="X25" s="277"/>
      <c r="Y25" s="277"/>
    </row>
    <row r="26" spans="1:25" ht="15.75">
      <c r="A26" s="278"/>
      <c r="B26" s="279"/>
      <c r="C26" s="280"/>
      <c r="D26" s="281"/>
      <c r="E26" s="282"/>
      <c r="F26" s="282"/>
      <c r="G26" s="282"/>
      <c r="H26" s="282"/>
      <c r="I26" s="282"/>
      <c r="J26" s="282"/>
      <c r="K26" s="282"/>
      <c r="L26" s="282"/>
      <c r="M26" s="282"/>
      <c r="N26" s="283"/>
      <c r="O26" s="284" t="str">
        <f t="shared" si="0"/>
        <v/>
      </c>
      <c r="P26" s="285"/>
      <c r="Q26" s="286"/>
      <c r="R26" s="287"/>
      <c r="S26" s="288">
        <f>IFERROR(IF(Q26="Unidad","1",(Q26*$K$5)),"")</f>
        <v>0</v>
      </c>
      <c r="T26" s="289"/>
      <c r="U26" s="276"/>
      <c r="V26" s="276"/>
      <c r="W26" s="277" t="str">
        <f>IFERROR(IF(D26="","",INDEX(Tabla_Completa,MATCH('Soli_citud '!D26,Materiales,0),7)*S26),"")</f>
        <v/>
      </c>
      <c r="X26" s="277"/>
      <c r="Y26" s="277"/>
    </row>
    <row r="27" spans="1:25" ht="15.75">
      <c r="A27" s="278"/>
      <c r="B27" s="279"/>
      <c r="C27" s="280"/>
      <c r="D27" s="281"/>
      <c r="E27" s="282"/>
      <c r="F27" s="282"/>
      <c r="G27" s="282"/>
      <c r="H27" s="282"/>
      <c r="I27" s="282"/>
      <c r="J27" s="282"/>
      <c r="K27" s="282"/>
      <c r="L27" s="282"/>
      <c r="M27" s="282"/>
      <c r="N27" s="283"/>
      <c r="O27" s="284" t="str">
        <f t="shared" si="0"/>
        <v/>
      </c>
      <c r="P27" s="285"/>
      <c r="Q27" s="286"/>
      <c r="R27" s="287"/>
      <c r="S27" s="288">
        <f t="shared" si="1"/>
        <v>0</v>
      </c>
      <c r="T27" s="289"/>
      <c r="U27" s="276"/>
      <c r="V27" s="276"/>
      <c r="W27" s="277" t="str">
        <f>IFERROR(IF(D27="","",INDEX(Tabla_Completa,MATCH('Soli_citud '!D27,Materiales,0),7)*S27),"")</f>
        <v/>
      </c>
      <c r="X27" s="277"/>
      <c r="Y27" s="277"/>
    </row>
    <row r="28" spans="1:25" ht="15.75">
      <c r="A28" s="278"/>
      <c r="B28" s="279"/>
      <c r="C28" s="280"/>
      <c r="D28" s="281"/>
      <c r="E28" s="282"/>
      <c r="F28" s="282"/>
      <c r="G28" s="282"/>
      <c r="H28" s="282"/>
      <c r="I28" s="282"/>
      <c r="J28" s="282"/>
      <c r="K28" s="282"/>
      <c r="L28" s="282"/>
      <c r="M28" s="282"/>
      <c r="N28" s="283"/>
      <c r="O28" s="284" t="str">
        <f t="shared" si="0"/>
        <v/>
      </c>
      <c r="P28" s="285"/>
      <c r="Q28" s="286"/>
      <c r="R28" s="287"/>
      <c r="S28" s="288">
        <f t="shared" si="1"/>
        <v>0</v>
      </c>
      <c r="T28" s="289"/>
      <c r="U28" s="276"/>
      <c r="V28" s="276"/>
      <c r="W28" s="277" t="str">
        <f>IFERROR(IF(D28="","",INDEX(Tabla_Completa,MATCH('Soli_citud '!D28,Materiales,0),7)*S28),"")</f>
        <v/>
      </c>
      <c r="X28" s="277"/>
      <c r="Y28" s="277"/>
    </row>
    <row r="29" spans="1:25" ht="15.75">
      <c r="A29" s="278"/>
      <c r="B29" s="279"/>
      <c r="C29" s="280"/>
      <c r="D29" s="281"/>
      <c r="E29" s="282"/>
      <c r="F29" s="282"/>
      <c r="G29" s="282"/>
      <c r="H29" s="282"/>
      <c r="I29" s="282"/>
      <c r="J29" s="282"/>
      <c r="K29" s="282"/>
      <c r="L29" s="282"/>
      <c r="M29" s="282"/>
      <c r="N29" s="283"/>
      <c r="O29" s="284" t="str">
        <f t="shared" si="0"/>
        <v/>
      </c>
      <c r="P29" s="285"/>
      <c r="Q29" s="286"/>
      <c r="R29" s="287"/>
      <c r="S29" s="288">
        <f t="shared" si="1"/>
        <v>0</v>
      </c>
      <c r="T29" s="289"/>
      <c r="U29" s="276"/>
      <c r="V29" s="276"/>
      <c r="W29" s="277" t="str">
        <f>IFERROR(IF(D29="","",INDEX(Tabla_Completa,MATCH('Soli_citud '!D29,Materiales,0),7)*S29),"")</f>
        <v/>
      </c>
      <c r="X29" s="277"/>
      <c r="Y29" s="277"/>
    </row>
    <row r="30" spans="1:25" ht="15.75">
      <c r="A30" s="278"/>
      <c r="B30" s="279"/>
      <c r="C30" s="280"/>
      <c r="D30" s="281"/>
      <c r="E30" s="282"/>
      <c r="F30" s="282"/>
      <c r="G30" s="282"/>
      <c r="H30" s="282"/>
      <c r="I30" s="282"/>
      <c r="J30" s="282"/>
      <c r="K30" s="282"/>
      <c r="L30" s="282"/>
      <c r="M30" s="282"/>
      <c r="N30" s="283"/>
      <c r="O30" s="284" t="str">
        <f t="shared" si="0"/>
        <v/>
      </c>
      <c r="P30" s="285"/>
      <c r="Q30" s="286"/>
      <c r="R30" s="287"/>
      <c r="S30" s="288">
        <f t="shared" si="1"/>
        <v>0</v>
      </c>
      <c r="T30" s="289"/>
      <c r="U30" s="276"/>
      <c r="V30" s="276"/>
      <c r="W30" s="277" t="str">
        <f>IFERROR(IF(D30="","",INDEX(Tabla_Completa,MATCH('Soli_citud '!D30,Materiales,0),7)*S30),"")</f>
        <v/>
      </c>
      <c r="X30" s="277"/>
      <c r="Y30" s="277"/>
    </row>
    <row r="31" spans="1:25" ht="15.75">
      <c r="A31" s="278"/>
      <c r="B31" s="279"/>
      <c r="C31" s="280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3"/>
      <c r="O31" s="284" t="str">
        <f t="shared" si="0"/>
        <v/>
      </c>
      <c r="P31" s="285"/>
      <c r="Q31" s="286"/>
      <c r="R31" s="287"/>
      <c r="S31" s="288">
        <f t="shared" si="1"/>
        <v>0</v>
      </c>
      <c r="T31" s="289"/>
      <c r="U31" s="276"/>
      <c r="V31" s="276"/>
      <c r="W31" s="277" t="str">
        <f>IFERROR(IF(D31="","",INDEX(Tabla_Completa,MATCH('Soli_citud '!D31,Materiales,0),7)*S31),"")</f>
        <v/>
      </c>
      <c r="X31" s="277"/>
      <c r="Y31" s="277"/>
    </row>
    <row r="32" spans="1:25" ht="15.75">
      <c r="A32" s="278"/>
      <c r="B32" s="279"/>
      <c r="C32" s="280"/>
      <c r="D32" s="281"/>
      <c r="E32" s="282"/>
      <c r="F32" s="282"/>
      <c r="G32" s="282"/>
      <c r="H32" s="282"/>
      <c r="I32" s="282"/>
      <c r="J32" s="282"/>
      <c r="K32" s="282"/>
      <c r="L32" s="282"/>
      <c r="M32" s="282"/>
      <c r="N32" s="283"/>
      <c r="O32" s="284" t="str">
        <f t="shared" ref="O32:O33" si="3">IFERROR(IF(D32="","",INDEX(Tabla_Completa,MATCH(D32,Materiales,0),6)),"")</f>
        <v/>
      </c>
      <c r="P32" s="285"/>
      <c r="Q32" s="286"/>
      <c r="R32" s="287"/>
      <c r="S32" s="288">
        <f t="shared" ref="S32:S33" si="4">IFERROR(IF(Q32="Unidad","1",(Q32*$K$5)),"")</f>
        <v>0</v>
      </c>
      <c r="T32" s="289"/>
      <c r="U32" s="276"/>
      <c r="V32" s="276"/>
      <c r="W32" s="277" t="str">
        <f>IFERROR(IF(D32="","",INDEX(Tabla_Completa,MATCH('Soli_citud '!D32,Materiales,0),7)*S32),"")</f>
        <v/>
      </c>
      <c r="X32" s="277"/>
      <c r="Y32" s="277"/>
    </row>
    <row r="33" spans="1:25" ht="15.75">
      <c r="A33" s="278"/>
      <c r="B33" s="279"/>
      <c r="C33" s="280"/>
      <c r="D33" s="281"/>
      <c r="E33" s="282"/>
      <c r="F33" s="282"/>
      <c r="G33" s="282"/>
      <c r="H33" s="282"/>
      <c r="I33" s="282"/>
      <c r="J33" s="282"/>
      <c r="K33" s="282"/>
      <c r="L33" s="282"/>
      <c r="M33" s="282"/>
      <c r="N33" s="283"/>
      <c r="O33" s="284" t="str">
        <f t="shared" si="3"/>
        <v/>
      </c>
      <c r="P33" s="285"/>
      <c r="Q33" s="286"/>
      <c r="R33" s="287"/>
      <c r="S33" s="288">
        <f t="shared" si="4"/>
        <v>0</v>
      </c>
      <c r="T33" s="289"/>
      <c r="U33" s="276"/>
      <c r="V33" s="276"/>
      <c r="W33" s="277" t="str">
        <f>IFERROR(IF(D33="","",INDEX(Tabla_Completa,MATCH('Soli_citud '!D33,Materiales,0),7)*S33),"")</f>
        <v/>
      </c>
      <c r="X33" s="277"/>
      <c r="Y33" s="277"/>
    </row>
    <row r="34" spans="1:25"/>
    <row r="35" spans="1:25"/>
    <row r="36" spans="1:25"/>
    <row r="37" spans="1:25"/>
    <row r="38" spans="1:25" ht="15" customHeight="1"/>
    <row r="39" spans="1:25" ht="33.75" customHeight="1">
      <c r="A39" s="290" t="s">
        <v>22</v>
      </c>
      <c r="B39" s="290"/>
      <c r="C39" s="290"/>
      <c r="D39" s="291" t="s">
        <v>23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292" t="s">
        <v>25</v>
      </c>
      <c r="B41" s="292"/>
      <c r="C41" s="292"/>
      <c r="D41" s="292"/>
      <c r="E41" s="292"/>
      <c r="F41" s="292"/>
      <c r="G41" s="292"/>
      <c r="H41" s="292"/>
      <c r="I41" s="292"/>
      <c r="J41" s="292"/>
      <c r="K41" s="292"/>
      <c r="L41" s="292"/>
      <c r="M41" s="292"/>
      <c r="N41" s="292"/>
      <c r="O41" s="292"/>
      <c r="P41" s="292"/>
      <c r="Q41" s="292"/>
    </row>
    <row r="42" spans="1:25">
      <c r="A42" s="293"/>
      <c r="B42" s="293"/>
      <c r="C42" s="293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1:25">
      <c r="A43" s="293"/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293"/>
      <c r="M43" s="293"/>
      <c r="N43" s="293"/>
      <c r="O43" s="293"/>
      <c r="P43" s="293"/>
      <c r="Q43" s="293"/>
    </row>
    <row r="44" spans="1:25" ht="19.5">
      <c r="A44" s="301" t="s">
        <v>26</v>
      </c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N44" s="303" t="s">
        <v>27</v>
      </c>
      <c r="O44" s="303"/>
      <c r="P44" s="303"/>
      <c r="Q44" s="303"/>
      <c r="R44" s="298" t="s">
        <v>28</v>
      </c>
      <c r="S44" s="298"/>
      <c r="T44" s="298"/>
      <c r="U44" s="298"/>
      <c r="V44" s="298"/>
      <c r="W44" s="298"/>
      <c r="X44" s="298"/>
    </row>
    <row r="45" spans="1:25" ht="29.25" customHeight="1">
      <c r="A45" s="302" t="s">
        <v>29</v>
      </c>
      <c r="B45" s="302"/>
      <c r="C45" s="302"/>
      <c r="D45" s="302"/>
      <c r="E45" s="302"/>
      <c r="F45" s="302"/>
      <c r="G45" s="302"/>
      <c r="H45" s="302"/>
      <c r="I45" s="302"/>
      <c r="J45" s="302"/>
      <c r="K45" s="302"/>
      <c r="L45" s="302"/>
      <c r="N45" s="303" t="s">
        <v>30</v>
      </c>
      <c r="O45" s="303"/>
      <c r="P45" s="303"/>
      <c r="Q45" s="303"/>
      <c r="R45" s="299" t="s">
        <v>31</v>
      </c>
      <c r="S45" s="299"/>
      <c r="T45" s="299"/>
      <c r="U45" s="299"/>
      <c r="V45" s="299"/>
      <c r="W45" s="299"/>
      <c r="X45" s="299"/>
    </row>
    <row r="46" spans="1:25" ht="31.5" customHeight="1">
      <c r="A46" s="294" t="s">
        <v>32</v>
      </c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N46" s="303" t="s">
        <v>33</v>
      </c>
      <c r="O46" s="303"/>
      <c r="P46" s="303"/>
      <c r="Q46" s="303"/>
      <c r="R46" s="300" t="s">
        <v>34</v>
      </c>
      <c r="S46" s="300"/>
      <c r="T46" s="300"/>
      <c r="U46" s="300"/>
      <c r="V46" s="300"/>
      <c r="W46" s="300"/>
      <c r="X46" s="300"/>
    </row>
    <row r="47" spans="1:25" ht="28.5" customHeight="1">
      <c r="A47" s="295" t="s">
        <v>35</v>
      </c>
      <c r="B47" s="295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N47" s="303" t="s">
        <v>36</v>
      </c>
      <c r="O47" s="303"/>
      <c r="P47" s="303"/>
      <c r="Q47" s="303"/>
      <c r="R47" s="300" t="s">
        <v>37</v>
      </c>
      <c r="S47" s="300"/>
      <c r="T47" s="300"/>
      <c r="U47" s="300"/>
      <c r="V47" s="300"/>
      <c r="W47" s="300"/>
      <c r="X47" s="300"/>
    </row>
    <row r="48" spans="1:25" ht="42.75" customHeight="1">
      <c r="A48" s="296" t="s">
        <v>38</v>
      </c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N48" s="303" t="s">
        <v>39</v>
      </c>
      <c r="O48" s="303"/>
      <c r="P48" s="303"/>
      <c r="Q48" s="303"/>
      <c r="R48" s="300" t="s">
        <v>40</v>
      </c>
      <c r="S48" s="300"/>
      <c r="T48" s="300"/>
      <c r="U48" s="300"/>
      <c r="V48" s="300"/>
      <c r="W48" s="300"/>
      <c r="X48" s="300"/>
    </row>
    <row r="49" spans="1:24" ht="36" customHeight="1">
      <c r="A49" s="296" t="s">
        <v>41</v>
      </c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N49" s="304" t="s">
        <v>42</v>
      </c>
      <c r="O49" s="304"/>
      <c r="P49" s="304"/>
      <c r="Q49" s="304"/>
      <c r="R49" s="299" t="s">
        <v>43</v>
      </c>
      <c r="S49" s="299"/>
      <c r="T49" s="299"/>
      <c r="U49" s="299"/>
      <c r="V49" s="299"/>
      <c r="W49" s="299"/>
      <c r="X49" s="299"/>
    </row>
    <row r="50" spans="1:24" ht="15.75">
      <c r="A50" s="297"/>
      <c r="B50" s="297"/>
      <c r="C50" s="297"/>
      <c r="D50" s="297"/>
      <c r="N50" s="303" t="s">
        <v>44</v>
      </c>
      <c r="O50" s="303"/>
      <c r="P50" s="303"/>
      <c r="Q50" s="303"/>
      <c r="R50" s="300" t="s">
        <v>45</v>
      </c>
      <c r="S50" s="300"/>
      <c r="T50" s="300"/>
      <c r="U50" s="300"/>
      <c r="V50" s="300"/>
      <c r="W50" s="300"/>
      <c r="X50" s="300"/>
    </row>
    <row r="51" spans="1:24" ht="15.75">
      <c r="N51" s="303" t="s">
        <v>46</v>
      </c>
      <c r="O51" s="303"/>
      <c r="P51" s="303"/>
      <c r="Q51" s="303"/>
      <c r="R51" s="300" t="s">
        <v>47</v>
      </c>
      <c r="S51" s="300"/>
      <c r="T51" s="300"/>
      <c r="U51" s="300"/>
      <c r="V51" s="300"/>
      <c r="W51" s="300"/>
      <c r="X51" s="300"/>
    </row>
    <row r="52" spans="1:24" ht="15.75">
      <c r="N52" s="303" t="s">
        <v>48</v>
      </c>
      <c r="O52" s="303"/>
      <c r="P52" s="303"/>
      <c r="Q52" s="303"/>
      <c r="R52" s="300" t="s">
        <v>37</v>
      </c>
      <c r="S52" s="300"/>
      <c r="T52" s="300"/>
      <c r="U52" s="300"/>
      <c r="V52" s="300"/>
      <c r="W52" s="300"/>
      <c r="X52" s="30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4" sqref="I1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82"/>
      <c r="B1" s="382"/>
      <c r="C1" s="383" t="s">
        <v>49</v>
      </c>
      <c r="D1" s="383"/>
      <c r="E1" s="383"/>
      <c r="F1" s="383"/>
      <c r="G1" s="383"/>
      <c r="H1" s="383"/>
      <c r="I1" s="389" t="s">
        <v>50</v>
      </c>
      <c r="J1" s="390"/>
      <c r="K1" s="390"/>
      <c r="L1" s="391"/>
      <c r="M1" s="384">
        <f>IF('Soli_citud '!O1="","",'Soli_citud '!O1)</f>
        <v>45971</v>
      </c>
      <c r="N1" s="385"/>
      <c r="O1" s="428" t="s">
        <v>51</v>
      </c>
      <c r="P1" s="429"/>
      <c r="Q1" s="424" t="str">
        <f>IF('Soli_citud '!D4="","",'Soli_citud '!D4)</f>
        <v>ejercicios corte, armado, costura</v>
      </c>
      <c r="R1" s="425"/>
      <c r="Z1" s="271" t="s">
        <v>52</v>
      </c>
    </row>
    <row r="2" spans="1:26" ht="15.75" customHeight="1" thickBot="1">
      <c r="A2" s="382"/>
      <c r="B2" s="382"/>
      <c r="C2" s="383"/>
      <c r="D2" s="383"/>
      <c r="E2" s="383"/>
      <c r="F2" s="383"/>
      <c r="G2" s="383"/>
      <c r="H2" s="383"/>
      <c r="I2" s="392" t="s">
        <v>53</v>
      </c>
      <c r="J2" s="393"/>
      <c r="K2" s="393"/>
      <c r="L2" s="394"/>
      <c r="M2" s="386" t="str">
        <f>'Soli_citud '!F1</f>
        <v>JV1011-1</v>
      </c>
      <c r="N2" s="387"/>
      <c r="O2" s="430"/>
      <c r="P2" s="431"/>
      <c r="Q2" s="426"/>
      <c r="R2" s="427"/>
    </row>
    <row r="3" spans="1:26" ht="15.75" customHeight="1">
      <c r="A3" s="382"/>
      <c r="B3" s="382"/>
      <c r="C3" s="383"/>
      <c r="D3" s="383"/>
      <c r="E3" s="383"/>
      <c r="F3" s="383"/>
      <c r="G3" s="383"/>
      <c r="H3" s="383"/>
      <c r="I3" s="388" t="s">
        <v>54</v>
      </c>
      <c r="J3" s="388"/>
      <c r="K3" s="388"/>
      <c r="L3" s="388"/>
      <c r="M3" s="395">
        <f>IF('Soli_citud '!O3="","",'Soli_citud '!O3)</f>
        <v>3375608</v>
      </c>
      <c r="N3" s="396"/>
      <c r="O3" s="430"/>
      <c r="P3" s="431"/>
      <c r="Q3" s="434" t="str" cm="1">
        <f t="array" ref="Q3">IFERROR(_xlfn.IFS(L4="Calzado Producción","Entrega de Producto",L4="Marroquinería  Producción","Entrega Producto"),"")</f>
        <v/>
      </c>
      <c r="R3" s="435"/>
    </row>
    <row r="4" spans="1:26" ht="15.75" customHeight="1">
      <c r="A4" s="382"/>
      <c r="B4" s="382"/>
      <c r="C4" s="383"/>
      <c r="D4" s="383"/>
      <c r="E4" s="383"/>
      <c r="F4" s="383"/>
      <c r="G4" s="383"/>
      <c r="H4" s="383"/>
      <c r="I4" s="377" t="s">
        <v>55</v>
      </c>
      <c r="J4" s="377"/>
      <c r="K4" s="377"/>
      <c r="L4" s="378" t="str">
        <f>IF('Soli_citud '!O4="","",'Soli_citud '!O4)</f>
        <v>Calzado Formación</v>
      </c>
      <c r="M4" s="378"/>
      <c r="N4" s="379"/>
      <c r="O4" s="430"/>
      <c r="P4" s="431"/>
      <c r="Q4" s="285"/>
      <c r="R4" s="436"/>
    </row>
    <row r="5" spans="1:26" ht="2.25" customHeight="1">
      <c r="O5" s="430"/>
      <c r="P5" s="431"/>
    </row>
    <row r="6" spans="1:26" ht="25.5" customHeight="1">
      <c r="A6" s="380" t="s">
        <v>56</v>
      </c>
      <c r="B6" s="380"/>
      <c r="C6" s="380"/>
      <c r="D6" s="397" t="s">
        <v>57</v>
      </c>
      <c r="E6" s="397"/>
      <c r="F6" s="397"/>
      <c r="G6" s="397"/>
      <c r="H6" s="398"/>
      <c r="I6" s="420" t="s">
        <v>58</v>
      </c>
      <c r="J6" s="421"/>
      <c r="K6" s="421"/>
      <c r="L6" s="421"/>
      <c r="M6" s="413"/>
      <c r="N6" s="413"/>
      <c r="O6" s="430"/>
      <c r="P6" s="431"/>
      <c r="Q6" s="409" t="str">
        <f>IF(Q3="","","Valor de Producción ($)")</f>
        <v/>
      </c>
      <c r="R6" s="410"/>
    </row>
    <row r="7" spans="1:26" ht="3" customHeight="1">
      <c r="A7" s="380"/>
      <c r="B7" s="380"/>
      <c r="C7" s="380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0"/>
      <c r="P7" s="431"/>
      <c r="Q7" s="411" t="str">
        <f>IFERROR(IF(Q3="","",F9*L10),"")</f>
        <v/>
      </c>
      <c r="R7" s="412"/>
    </row>
    <row r="8" spans="1:26" ht="20.25" customHeight="1">
      <c r="A8" s="381">
        <f>IF('Soli_citud '!D5&lt;= 0,"",'Soli_citud '!D5)</f>
        <v>14081.637665125494</v>
      </c>
      <c r="B8" s="381"/>
      <c r="C8" s="381"/>
      <c r="D8" s="399" t="s">
        <v>59</v>
      </c>
      <c r="E8" s="400"/>
      <c r="F8" s="400"/>
      <c r="G8" s="400"/>
      <c r="H8" s="401"/>
      <c r="I8" s="422" t="str">
        <f>IF('Soli_citud '!E2="","",'Soli_citud '!E2)</f>
        <v>Juan Villa Salazar</v>
      </c>
      <c r="J8" s="423"/>
      <c r="K8" s="423"/>
      <c r="L8" s="423"/>
      <c r="M8" s="423"/>
      <c r="N8" s="423"/>
      <c r="O8" s="430"/>
      <c r="P8" s="431"/>
      <c r="Q8" s="411"/>
      <c r="R8" s="412"/>
    </row>
    <row r="9" spans="1:26" ht="3.75" customHeight="1">
      <c r="A9" s="406" t="s">
        <v>60</v>
      </c>
      <c r="B9" s="406"/>
      <c r="C9" s="402"/>
      <c r="D9" s="408" t="s">
        <v>61</v>
      </c>
      <c r="E9" s="408"/>
      <c r="F9" s="414" t="str">
        <f>IFERROR(IF(C9="","",ROUNDUP(A8*(1+C9),-2)),"")</f>
        <v/>
      </c>
      <c r="G9" s="415"/>
      <c r="H9" s="416"/>
      <c r="I9" s="113"/>
      <c r="J9" s="113"/>
      <c r="K9" s="113"/>
      <c r="L9" s="113"/>
      <c r="M9" s="113"/>
      <c r="N9" s="113"/>
      <c r="O9" s="430"/>
      <c r="P9" s="431"/>
    </row>
    <row r="10" spans="1:26" ht="27.75" customHeight="1" thickBot="1">
      <c r="A10" s="407"/>
      <c r="B10" s="407"/>
      <c r="C10" s="402"/>
      <c r="D10" s="408"/>
      <c r="E10" s="408"/>
      <c r="F10" s="417"/>
      <c r="G10" s="418"/>
      <c r="H10" s="419"/>
      <c r="I10" s="440" t="s">
        <v>62</v>
      </c>
      <c r="J10" s="440"/>
      <c r="K10" s="441"/>
      <c r="L10" s="259">
        <f>'Soli_citud '!K5</f>
        <v>15</v>
      </c>
      <c r="M10" s="437" t="s">
        <v>63</v>
      </c>
      <c r="N10" s="438"/>
      <c r="O10" s="432"/>
      <c r="P10" s="433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03" t="s">
        <v>66</v>
      </c>
      <c r="C11" s="404"/>
      <c r="D11" s="404"/>
      <c r="E11" s="405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87" t="s">
        <v>20</v>
      </c>
      <c r="L11" s="439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376" t="str">
        <f>IFERROR(IF('Soli_citud '!D10="","",'Soli_citud '!D10),"")</f>
        <v/>
      </c>
      <c r="C12" s="376"/>
      <c r="D12" s="376"/>
      <c r="E12" s="376"/>
      <c r="F12" s="239" t="str">
        <f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74"/>
      <c r="L12" s="375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6" t="str">
        <f>IFERROR(IF('Soli_citud '!D11="","",'Soli_citud '!D11),"")</f>
        <v>POLITEX-KAMBREL 100 GR</v>
      </c>
      <c r="C13" s="376"/>
      <c r="D13" s="376"/>
      <c r="E13" s="376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105000</v>
      </c>
      <c r="H13" s="240">
        <v>45975</v>
      </c>
      <c r="I13" s="242">
        <v>105000</v>
      </c>
      <c r="J13" s="215" t="str" cm="1">
        <f t="array" ref="J13">IFERROR(_xlfn.IFS(G13="","",I13=G13,"Cumplido",I13&lt;G13,G13-I13,I13&gt;G13,"Revisar"),"")</f>
        <v>Cumplido</v>
      </c>
      <c r="K13" s="374"/>
      <c r="L13" s="375"/>
      <c r="M13" s="241">
        <v>140</v>
      </c>
      <c r="N13" s="216">
        <f t="shared" si="0"/>
        <v>750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6" t="str">
        <f>IFERROR(IF('Soli_citud '!D12="","",'Soli_citud '!D12),"")</f>
        <v>INTERLON</v>
      </c>
      <c r="C14" s="376"/>
      <c r="D14" s="376"/>
      <c r="E14" s="376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105000</v>
      </c>
      <c r="H14" s="240">
        <v>45975</v>
      </c>
      <c r="I14" s="242"/>
      <c r="J14" s="215" cm="1">
        <f t="array" ref="J14">IFERROR(_xlfn.IFS(G14="","",I14=G14,"Cumplido",I14&lt;G14,G14-I14,I14&gt;G14,"Revisar"),"")</f>
        <v>105000</v>
      </c>
      <c r="K14" s="374"/>
      <c r="L14" s="375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6" t="str">
        <f>IFERROR(IF('Soli_citud '!D13="","",'Soli_citud '!D13),"")</f>
        <v>SOLUCIÓN DE CAUCHO</v>
      </c>
      <c r="C15" s="376"/>
      <c r="D15" s="376"/>
      <c r="E15" s="376"/>
      <c r="F15" s="239" t="str">
        <f>IF('Soli_citud '!O13="","",'Soli_citud '!O13)</f>
        <v>ml</v>
      </c>
      <c r="G15" s="239" cm="1">
        <f t="array" ref="G15">_xlfn.IFS('Soli_citud '!S13="","",'Soli_citud '!S13&lt;=0,"",'Soli_citud '!S13&gt;0,'Soli_citud '!S13)</f>
        <v>0.75</v>
      </c>
      <c r="H15" s="240">
        <v>45975</v>
      </c>
      <c r="I15" s="242"/>
      <c r="J15" s="215" cm="1">
        <f t="array" ref="J15">IFERROR(_xlfn.IFS(G15="","",I15=G15,"Cumplido",I15&lt;G15,G15-I15,I15&gt;G15,"Revisar"),"")</f>
        <v>0.75</v>
      </c>
      <c r="K15" s="374"/>
      <c r="L15" s="375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6" t="str">
        <f>IFERROR(IF('Soli_citud '!D14="","",'Soli_citud '!D14),"")</f>
        <v>Pegante de policloropreno</v>
      </c>
      <c r="C16" s="376"/>
      <c r="D16" s="376"/>
      <c r="E16" s="376"/>
      <c r="F16" s="239" t="str">
        <f>IF('Soli_citud '!O14="","",'Soli_citud '!O14)</f>
        <v>gal</v>
      </c>
      <c r="G16" s="239" cm="1">
        <f t="array" ref="G16">_xlfn.IFS('Soli_citud '!S14="","",'Soli_citud '!S14&lt;=0,"",'Soli_citud '!S14&gt;0,'Soli_citud '!S14)</f>
        <v>0.75</v>
      </c>
      <c r="H16" s="240">
        <v>45975</v>
      </c>
      <c r="I16" s="242"/>
      <c r="J16" s="215" cm="1">
        <f t="array" ref="J16">IFERROR(_xlfn.IFS(G16="","",I16=G16,"Cumplido",I16&lt;G16,G16-I16,I16&gt;G16,"Revisar"),"")</f>
        <v>0.75</v>
      </c>
      <c r="K16" s="374"/>
      <c r="L16" s="375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6" t="str">
        <f>IFERROR(IF('Soli_citud '!D15="","",'Soli_citud '!D15),"")</f>
        <v xml:space="preserve">HILO NYLON #40
</v>
      </c>
      <c r="C17" s="376"/>
      <c r="D17" s="376"/>
      <c r="E17" s="376"/>
      <c r="F17" s="239" t="str">
        <f>IF('Soli_citud '!O15="","",'Soli_citud '!O15)</f>
        <v>Cono</v>
      </c>
      <c r="G17" s="239" cm="1">
        <f t="array" ref="G17">_xlfn.IFS('Soli_citud '!S15="","",'Soli_citud '!S15&lt;=0,"",'Soli_citud '!S15&gt;0,'Soli_citud '!S15)</f>
        <v>7.5</v>
      </c>
      <c r="H17" s="240">
        <v>45975</v>
      </c>
      <c r="I17" s="242"/>
      <c r="J17" s="215" cm="1">
        <f t="array" ref="J17">IFERROR(_xlfn.IFS(G17="","",I17=G17,"Cumplido",I17&lt;G17,G17-I17,I17&gt;G17,"Revisar"),"")</f>
        <v>7.5</v>
      </c>
      <c r="K17" s="374"/>
      <c r="L17" s="375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6" t="str">
        <f>IFERROR(IF('Soli_citud '!D16="","",'Soli_citud '!D16),"")</f>
        <v xml:space="preserve">HILO NYLON #60
</v>
      </c>
      <c r="C18" s="376"/>
      <c r="D18" s="376"/>
      <c r="E18" s="376"/>
      <c r="F18" s="239" t="str">
        <f>IF('Soli_citud '!O16="","",'Soli_citud '!O16)</f>
        <v>Cono</v>
      </c>
      <c r="G18" s="239" cm="1">
        <f t="array" ref="G18">_xlfn.IFS('Soli_citud '!S16="","",'Soli_citud '!S16&lt;=0,"",'Soli_citud '!S16&gt;0,'Soli_citud '!S16)</f>
        <v>7.5</v>
      </c>
      <c r="H18" s="240">
        <v>45975</v>
      </c>
      <c r="I18" s="242"/>
      <c r="J18" s="215" cm="1">
        <f t="array" ref="J18">IFERROR(_xlfn.IFS(G18="","",I18=G18,"Cumplido",I18&lt;G18,G18-I18,I18&gt;G18,"Revisar"),"")</f>
        <v>7.5</v>
      </c>
      <c r="K18" s="374"/>
      <c r="L18" s="375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6" t="str">
        <f>IFERROR(IF('Soli_citud '!D17="","",'Soli_citud '!D17),"")</f>
        <v>AGUJA CORTA CABO GRUESO 100</v>
      </c>
      <c r="C19" s="376"/>
      <c r="D19" s="376"/>
      <c r="E19" s="376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15</v>
      </c>
      <c r="H19" s="240">
        <v>45975</v>
      </c>
      <c r="I19" s="242"/>
      <c r="J19" s="215" cm="1">
        <f t="array" ref="J19">IFERROR(_xlfn.IFS(G19="","",I19=G19,"Cumplido",I19&lt;G19,G19-I19,I19&gt;G19,"Revisar"),"")</f>
        <v>15</v>
      </c>
      <c r="K19" s="374"/>
      <c r="L19" s="375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6" t="str">
        <f>IFERROR(IF('Soli_citud '!D18="","",'Soli_citud '!D18),"")</f>
        <v/>
      </c>
      <c r="C20" s="376"/>
      <c r="D20" s="376"/>
      <c r="E20" s="376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74"/>
      <c r="L20" s="375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6" t="str">
        <f>IFERROR(IF('Soli_citud '!D19="","",'Soli_citud '!D19),"")</f>
        <v/>
      </c>
      <c r="C21" s="376"/>
      <c r="D21" s="376"/>
      <c r="E21" s="376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74"/>
      <c r="L21" s="375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6" t="str">
        <f>IFERROR(IF('Soli_citud '!D20="","",'Soli_citud '!D20),"")</f>
        <v/>
      </c>
      <c r="C22" s="376"/>
      <c r="D22" s="376"/>
      <c r="E22" s="376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74"/>
      <c r="L22" s="375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6" t="str">
        <f>IFERROR(IF('Soli_citud '!D21="","",'Soli_citud '!D21),"")</f>
        <v/>
      </c>
      <c r="C23" s="376"/>
      <c r="D23" s="376"/>
      <c r="E23" s="376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74"/>
      <c r="L23" s="375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6" t="str">
        <f>IFERROR(IF('Soli_citud '!D22="","",'Soli_citud '!D22),"")</f>
        <v/>
      </c>
      <c r="C24" s="376"/>
      <c r="D24" s="376"/>
      <c r="E24" s="376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74"/>
      <c r="L24" s="375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6" t="str">
        <f>IFERROR(IF('Soli_citud '!D23="","",'Soli_citud '!D23),"")</f>
        <v/>
      </c>
      <c r="C25" s="376"/>
      <c r="D25" s="376"/>
      <c r="E25" s="376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74"/>
      <c r="L25" s="375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6" t="str">
        <f>IFERROR(IF('Soli_citud '!D24="","",'Soli_citud '!D24),"")</f>
        <v/>
      </c>
      <c r="C26" s="376"/>
      <c r="D26" s="376"/>
      <c r="E26" s="376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74"/>
      <c r="L26" s="375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6" t="str">
        <f>IFERROR(IF('Soli_citud '!D25="","",'Soli_citud '!D25),"")</f>
        <v/>
      </c>
      <c r="C27" s="376"/>
      <c r="D27" s="376"/>
      <c r="E27" s="376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74"/>
      <c r="L27" s="375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6" t="str">
        <f>IFERROR(IF('Soli_citud '!D26="","",'Soli_citud '!D26),"")</f>
        <v/>
      </c>
      <c r="C28" s="376"/>
      <c r="D28" s="376"/>
      <c r="E28" s="376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74"/>
      <c r="L28" s="375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6" t="str">
        <f>IFERROR(IF('Soli_citud '!D27="","",'Soli_citud '!D27),"")</f>
        <v/>
      </c>
      <c r="C29" s="376"/>
      <c r="D29" s="376"/>
      <c r="E29" s="376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74"/>
      <c r="L29" s="375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6" t="str">
        <f>IFERROR(IF('Soli_citud '!D28="","",'Soli_citud '!D28),"")</f>
        <v/>
      </c>
      <c r="C30" s="376"/>
      <c r="D30" s="376"/>
      <c r="E30" s="376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74"/>
      <c r="L30" s="375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376" t="str">
        <f>IFERROR(IF('Soli_citud '!D29="","",'Soli_citud '!D29),"")</f>
        <v/>
      </c>
      <c r="C31" s="376"/>
      <c r="D31" s="376"/>
      <c r="E31" s="376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74"/>
      <c r="L31" s="375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376" t="str">
        <f>IFERROR(IF('Soli_citud '!D30="","",'Soli_citud '!D30),"")</f>
        <v/>
      </c>
      <c r="C32" s="376"/>
      <c r="D32" s="376"/>
      <c r="E32" s="376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74"/>
      <c r="L32" s="375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B18:E18"/>
    <mergeCell ref="B19:E19"/>
    <mergeCell ref="B20:E20"/>
    <mergeCell ref="B22:E22"/>
    <mergeCell ref="B23:E23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31:E31"/>
    <mergeCell ref="K31:L31"/>
    <mergeCell ref="B32:E32"/>
    <mergeCell ref="K32:L32"/>
    <mergeCell ref="B30:E30"/>
    <mergeCell ref="K29:L29"/>
    <mergeCell ref="K22:L22"/>
    <mergeCell ref="B25:E25"/>
    <mergeCell ref="B26:E26"/>
    <mergeCell ref="B27:E27"/>
    <mergeCell ref="B28:E28"/>
    <mergeCell ref="B29:E29"/>
    <mergeCell ref="B24:E24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7"/>
      <c r="B1" s="447"/>
      <c r="C1" s="447"/>
      <c r="D1" s="447"/>
      <c r="E1" s="450" t="s">
        <v>78</v>
      </c>
      <c r="F1" s="450"/>
      <c r="Z1" s="271" t="s">
        <v>52</v>
      </c>
    </row>
    <row r="2" spans="1:26" ht="18.75" customHeight="1">
      <c r="A2" s="447"/>
      <c r="B2" s="447"/>
      <c r="C2" s="447"/>
      <c r="D2" s="447"/>
      <c r="E2" s="450"/>
      <c r="F2" s="450"/>
    </row>
    <row r="3" spans="1:26" ht="24" customHeight="1">
      <c r="A3" s="447"/>
      <c r="B3" s="447"/>
      <c r="C3" s="447"/>
      <c r="D3" s="447"/>
      <c r="E3" s="451">
        <f>SUM(Total_AdhySol,Total_SECUNDARIO_MEDULAR,Total_Cuero,Total_Herrajes,Total_Sint_y_Tex,Total_Suelas,Total_Herramientas,Total_Ins_Compl)</f>
        <v>659</v>
      </c>
      <c r="F3" s="451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8"/>
      <c r="D6" s="449"/>
      <c r="H6" s="446" t="s">
        <v>80</v>
      </c>
      <c r="I6" s="446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2"/>
      <c r="D517" s="442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3"/>
      <c r="D563" s="444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2"/>
      <c r="D1012" s="442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5"/>
      <c r="D1067" s="444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2"/>
      <c r="D1108" s="442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2"/>
      <c r="D1155" s="442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2"/>
      <c r="D1255" s="442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2"/>
      <c r="D1349" s="442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2025-11-14T16:20:26Z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