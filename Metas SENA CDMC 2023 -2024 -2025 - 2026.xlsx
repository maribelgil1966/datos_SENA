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um\Documents\UdeA\2026-2\metas por centro\"/>
    </mc:Choice>
  </mc:AlternateContent>
  <xr:revisionPtr revIDLastSave="0" documentId="8_{348E918F-56BA-485D-9481-1754FAE4A067}" xr6:coauthVersionLast="47" xr6:coauthVersionMax="47" xr10:uidLastSave="{00000000-0000-0000-0000-000000000000}"/>
  <bookViews>
    <workbookView xWindow="-108" yWindow="-108" windowWidth="23256" windowHeight="12456" xr2:uid="{CD1F2D77-E791-4C5D-8FB4-A32D280F272E}"/>
  </bookViews>
  <sheets>
    <sheet name="2023" sheetId="1" r:id="rId1"/>
    <sheet name="2024" sheetId="5" r:id="rId2"/>
    <sheet name="2025" sheetId="4" r:id="rId3"/>
    <sheet name="2026" sheetId="6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5" l="1"/>
  <c r="W4" i="5"/>
  <c r="W5" i="5"/>
  <c r="W6" i="5"/>
  <c r="W7" i="5"/>
  <c r="W8" i="5"/>
  <c r="W9" i="5"/>
  <c r="W10" i="5"/>
  <c r="W11" i="5"/>
  <c r="W12" i="5"/>
  <c r="EA3" i="5"/>
  <c r="EA4" i="5"/>
  <c r="EA5" i="5"/>
  <c r="EA6" i="5"/>
  <c r="EA7" i="5"/>
  <c r="EA8" i="5"/>
  <c r="EA9" i="5"/>
  <c r="EA10" i="5"/>
  <c r="EA11" i="5"/>
  <c r="EA12" i="5"/>
  <c r="DX3" i="5"/>
  <c r="DX4" i="5"/>
  <c r="DX5" i="5"/>
  <c r="DX6" i="5"/>
  <c r="DX7" i="5"/>
  <c r="DX8" i="5"/>
  <c r="DX9" i="5"/>
  <c r="DX10" i="5"/>
  <c r="DX11" i="5"/>
  <c r="DX12" i="5"/>
  <c r="DU3" i="5"/>
  <c r="DU4" i="5"/>
  <c r="DU5" i="5"/>
  <c r="DU6" i="5"/>
  <c r="DU7" i="5"/>
  <c r="DU8" i="5"/>
  <c r="DU9" i="5"/>
  <c r="DU10" i="5"/>
  <c r="DU11" i="5"/>
  <c r="DU12" i="5"/>
  <c r="DR3" i="5"/>
  <c r="DR4" i="5"/>
  <c r="DR5" i="5"/>
  <c r="DR6" i="5"/>
  <c r="DR7" i="5"/>
  <c r="DR8" i="5"/>
  <c r="DR9" i="5"/>
  <c r="DR10" i="5"/>
  <c r="DR11" i="5"/>
  <c r="DR12" i="5"/>
  <c r="DO3" i="5"/>
  <c r="DO4" i="5"/>
  <c r="DO5" i="5"/>
  <c r="DO6" i="5"/>
  <c r="DO7" i="5"/>
  <c r="DO8" i="5"/>
  <c r="DO9" i="5"/>
  <c r="DO10" i="5"/>
  <c r="DO11" i="5"/>
  <c r="DO12" i="5"/>
  <c r="EA2" i="5"/>
  <c r="DX2" i="5"/>
  <c r="DU2" i="5"/>
  <c r="DR2" i="5"/>
  <c r="DO2" i="5"/>
  <c r="DL3" i="5"/>
  <c r="DL4" i="5"/>
  <c r="DL5" i="5"/>
  <c r="DL6" i="5"/>
  <c r="DL7" i="5"/>
  <c r="DL8" i="5"/>
  <c r="DL9" i="5"/>
  <c r="DL10" i="5"/>
  <c r="DL11" i="5"/>
  <c r="DL12" i="5"/>
  <c r="DL2" i="5"/>
  <c r="DI3" i="5"/>
  <c r="DI4" i="5"/>
  <c r="DI5" i="5"/>
  <c r="DI6" i="5"/>
  <c r="DI7" i="5"/>
  <c r="DI8" i="5"/>
  <c r="DI9" i="5"/>
  <c r="DI10" i="5"/>
  <c r="DI11" i="5"/>
  <c r="DI12" i="5"/>
  <c r="DI2" i="5"/>
  <c r="CZ3" i="5"/>
  <c r="CZ4" i="5"/>
  <c r="CZ5" i="5"/>
  <c r="CZ6" i="5"/>
  <c r="CZ7" i="5"/>
  <c r="CZ8" i="5"/>
  <c r="CZ9" i="5"/>
  <c r="CZ10" i="5"/>
  <c r="CZ11" i="5"/>
  <c r="CZ12" i="5"/>
  <c r="DC3" i="5"/>
  <c r="DC4" i="5"/>
  <c r="DC5" i="5"/>
  <c r="DC6" i="5"/>
  <c r="DC7" i="5"/>
  <c r="DC8" i="5"/>
  <c r="DC9" i="5"/>
  <c r="DC10" i="5"/>
  <c r="DC11" i="5"/>
  <c r="DC12" i="5"/>
  <c r="DF3" i="5"/>
  <c r="DF4" i="5"/>
  <c r="DF5" i="5"/>
  <c r="DF6" i="5"/>
  <c r="DF7" i="5"/>
  <c r="DF8" i="5"/>
  <c r="DF2" i="5"/>
  <c r="DF10" i="5"/>
  <c r="DF11" i="5"/>
  <c r="DF12" i="5"/>
  <c r="DF9" i="5"/>
  <c r="DC2" i="5"/>
  <c r="CZ2" i="5"/>
  <c r="CW3" i="5"/>
  <c r="CW4" i="5"/>
  <c r="CW5" i="5"/>
  <c r="CW6" i="5"/>
  <c r="CW7" i="5"/>
  <c r="CW8" i="5"/>
  <c r="CW9" i="5"/>
  <c r="CW10" i="5"/>
  <c r="CW11" i="5"/>
  <c r="CW12" i="5"/>
  <c r="CW2" i="5"/>
  <c r="CT3" i="5"/>
  <c r="CT4" i="5"/>
  <c r="CT5" i="5"/>
  <c r="CT6" i="5"/>
  <c r="CT7" i="5"/>
  <c r="CT8" i="5"/>
  <c r="CT9" i="5"/>
  <c r="CT10" i="5"/>
  <c r="CT11" i="5"/>
  <c r="CT12" i="5"/>
  <c r="CT2" i="5"/>
  <c r="CQ3" i="5"/>
  <c r="CQ4" i="5"/>
  <c r="CQ5" i="5"/>
  <c r="CQ6" i="5"/>
  <c r="CQ7" i="5"/>
  <c r="CQ8" i="5"/>
  <c r="CQ9" i="5"/>
  <c r="CQ10" i="5"/>
  <c r="CQ11" i="5"/>
  <c r="CQ12" i="5"/>
  <c r="CQ2" i="5"/>
  <c r="CN3" i="5"/>
  <c r="CN4" i="5"/>
  <c r="CN5" i="5"/>
  <c r="CN6" i="5"/>
  <c r="CN7" i="5"/>
  <c r="CN8" i="5"/>
  <c r="CN9" i="5"/>
  <c r="CN10" i="5"/>
  <c r="CN11" i="5"/>
  <c r="CN2" i="5"/>
  <c r="CK3" i="5"/>
  <c r="CK4" i="5"/>
  <c r="CK5" i="5"/>
  <c r="CK6" i="5"/>
  <c r="CK7" i="5"/>
  <c r="CK8" i="5"/>
  <c r="CK9" i="5"/>
  <c r="CK10" i="5"/>
  <c r="CK11" i="5"/>
  <c r="CK12" i="5"/>
  <c r="CK2" i="5"/>
  <c r="CH3" i="5"/>
  <c r="CH4" i="5"/>
  <c r="CH5" i="5"/>
  <c r="CH6" i="5"/>
  <c r="CH7" i="5"/>
  <c r="CH8" i="5"/>
  <c r="CH9" i="5"/>
  <c r="CH10" i="5"/>
  <c r="CH11" i="5"/>
  <c r="CH12" i="5"/>
  <c r="CH2" i="5"/>
  <c r="CE3" i="5"/>
  <c r="CE4" i="5"/>
  <c r="CE5" i="5"/>
  <c r="CE6" i="5"/>
  <c r="CE7" i="5"/>
  <c r="CE8" i="5"/>
  <c r="CE9" i="5"/>
  <c r="CE10" i="5"/>
  <c r="CE11" i="5"/>
  <c r="CE12" i="5"/>
  <c r="CE2" i="5"/>
  <c r="CB3" i="5"/>
  <c r="CB4" i="5"/>
  <c r="CB5" i="5"/>
  <c r="CB6" i="5"/>
  <c r="CB7" i="5"/>
  <c r="CB8" i="5"/>
  <c r="CB9" i="5"/>
  <c r="CB10" i="5"/>
  <c r="CB11" i="5"/>
  <c r="CB12" i="5"/>
  <c r="CB2" i="5"/>
  <c r="BY3" i="5"/>
  <c r="BY4" i="5"/>
  <c r="BY5" i="5"/>
  <c r="BY6" i="5"/>
  <c r="BY7" i="5"/>
  <c r="BY8" i="5"/>
  <c r="BY9" i="5"/>
  <c r="BY10" i="5"/>
  <c r="BY11" i="5"/>
  <c r="BY12" i="5"/>
  <c r="BY2" i="5"/>
  <c r="BV3" i="5"/>
  <c r="BV4" i="5"/>
  <c r="BV5" i="5"/>
  <c r="BV6" i="5"/>
  <c r="BV7" i="5"/>
  <c r="BV8" i="5"/>
  <c r="BV9" i="5"/>
  <c r="BV10" i="5"/>
  <c r="BV11" i="5"/>
  <c r="BV12" i="5"/>
  <c r="BV2" i="5"/>
  <c r="BS3" i="5"/>
  <c r="BS4" i="5"/>
  <c r="BS5" i="5"/>
  <c r="BS6" i="5"/>
  <c r="BS7" i="5"/>
  <c r="BS8" i="5"/>
  <c r="BS9" i="5"/>
  <c r="BS10" i="5"/>
  <c r="BS11" i="5"/>
  <c r="BS12" i="5"/>
  <c r="BS2" i="5"/>
  <c r="BP3" i="5"/>
  <c r="BP4" i="5"/>
  <c r="BP5" i="5"/>
  <c r="BP6" i="5"/>
  <c r="BP7" i="5"/>
  <c r="BP8" i="5"/>
  <c r="BP9" i="5"/>
  <c r="BP10" i="5"/>
  <c r="BP11" i="5"/>
  <c r="BP12" i="5"/>
  <c r="BP2" i="5"/>
  <c r="BM3" i="5"/>
  <c r="BM4" i="5"/>
  <c r="BM5" i="5"/>
  <c r="BM6" i="5"/>
  <c r="BM7" i="5"/>
  <c r="BM8" i="5"/>
  <c r="BM9" i="5"/>
  <c r="BM10" i="5"/>
  <c r="BM11" i="5"/>
  <c r="BM12" i="5"/>
  <c r="BM2" i="5"/>
  <c r="BJ3" i="5"/>
  <c r="BJ4" i="5"/>
  <c r="BJ5" i="5"/>
  <c r="BJ6" i="5"/>
  <c r="BJ7" i="5"/>
  <c r="BJ8" i="5"/>
  <c r="BJ9" i="5"/>
  <c r="BJ10" i="5"/>
  <c r="BJ11" i="5"/>
  <c r="BJ12" i="5"/>
  <c r="BJ2" i="5"/>
  <c r="BG3" i="5"/>
  <c r="BG4" i="5"/>
  <c r="BG5" i="5"/>
  <c r="BG6" i="5"/>
  <c r="BG7" i="5"/>
  <c r="BG8" i="5"/>
  <c r="BG9" i="5"/>
  <c r="BG10" i="5"/>
  <c r="BG11" i="5"/>
  <c r="BG12" i="5"/>
  <c r="BG2" i="5"/>
  <c r="BD3" i="5"/>
  <c r="BD4" i="5"/>
  <c r="BD5" i="5"/>
  <c r="BD6" i="5"/>
  <c r="BD7" i="5"/>
  <c r="BD8" i="5"/>
  <c r="BD9" i="5"/>
  <c r="BD10" i="5"/>
  <c r="BD11" i="5"/>
  <c r="BD12" i="5"/>
  <c r="BD2" i="5"/>
  <c r="BA3" i="5"/>
  <c r="BA4" i="5"/>
  <c r="BA5" i="5"/>
  <c r="BA6" i="5"/>
  <c r="BA7" i="5"/>
  <c r="BA8" i="5"/>
  <c r="BA9" i="5"/>
  <c r="BA10" i="5"/>
  <c r="BA11" i="5"/>
  <c r="BA12" i="5"/>
  <c r="BA2" i="5"/>
  <c r="AX3" i="5"/>
  <c r="AX4" i="5"/>
  <c r="AX5" i="5"/>
  <c r="AX6" i="5"/>
  <c r="AX7" i="5"/>
  <c r="AX8" i="5"/>
  <c r="AX9" i="5"/>
  <c r="AX10" i="5"/>
  <c r="AX11" i="5"/>
  <c r="AX12" i="5"/>
  <c r="AX2" i="5"/>
  <c r="AU3" i="5"/>
  <c r="AU4" i="5"/>
  <c r="AU5" i="5"/>
  <c r="AU6" i="5"/>
  <c r="AU7" i="5"/>
  <c r="AU8" i="5"/>
  <c r="AU9" i="5"/>
  <c r="AU10" i="5"/>
  <c r="AU11" i="5"/>
  <c r="AU12" i="5"/>
  <c r="AU2" i="5"/>
  <c r="AR3" i="5"/>
  <c r="AR4" i="5"/>
  <c r="AR5" i="5"/>
  <c r="AR6" i="5"/>
  <c r="AR7" i="5"/>
  <c r="AR8" i="5"/>
  <c r="AR9" i="5"/>
  <c r="AR10" i="5"/>
  <c r="AR11" i="5"/>
  <c r="AR12" i="5"/>
  <c r="AR2" i="5"/>
  <c r="AO3" i="5"/>
  <c r="AO4" i="5"/>
  <c r="AO5" i="5"/>
  <c r="AO6" i="5"/>
  <c r="AO7" i="5"/>
  <c r="AO8" i="5"/>
  <c r="AO9" i="5"/>
  <c r="AO10" i="5"/>
  <c r="AO11" i="5"/>
  <c r="AO12" i="5"/>
  <c r="AO2" i="5"/>
  <c r="AL3" i="5"/>
  <c r="AL4" i="5"/>
  <c r="AL5" i="5"/>
  <c r="AL6" i="5"/>
  <c r="AL7" i="5"/>
  <c r="AL8" i="5"/>
  <c r="AL9" i="5"/>
  <c r="AL10" i="5"/>
  <c r="AL11" i="5"/>
  <c r="AL12" i="5"/>
  <c r="AL2" i="5"/>
  <c r="AI3" i="5"/>
  <c r="AI4" i="5"/>
  <c r="AI5" i="5"/>
  <c r="AI6" i="5"/>
  <c r="AI7" i="5"/>
  <c r="AI8" i="5"/>
  <c r="AI9" i="5"/>
  <c r="AI10" i="5"/>
  <c r="AI11" i="5"/>
  <c r="AI12" i="5"/>
  <c r="AI2" i="5"/>
  <c r="AF3" i="5"/>
  <c r="AF4" i="5"/>
  <c r="AF5" i="5"/>
  <c r="AF6" i="5"/>
  <c r="AF7" i="5"/>
  <c r="AF8" i="5"/>
  <c r="AF9" i="5"/>
  <c r="AF10" i="5"/>
  <c r="AF11" i="5"/>
  <c r="AF12" i="5"/>
  <c r="AF2" i="5"/>
  <c r="AC3" i="5"/>
  <c r="AC4" i="5"/>
  <c r="AC5" i="5"/>
  <c r="AC6" i="5"/>
  <c r="AC7" i="5"/>
  <c r="AC8" i="5"/>
  <c r="AC9" i="5"/>
  <c r="AC10" i="5"/>
  <c r="AC11" i="5"/>
  <c r="AC12" i="5"/>
  <c r="AC2" i="5"/>
  <c r="Z3" i="5"/>
  <c r="Z4" i="5"/>
  <c r="Z5" i="5"/>
  <c r="Z6" i="5"/>
  <c r="Z7" i="5"/>
  <c r="Z8" i="5"/>
  <c r="Z9" i="5"/>
  <c r="Z10" i="5"/>
  <c r="Z11" i="5"/>
  <c r="Z12" i="5"/>
  <c r="Z2" i="5"/>
  <c r="W2" i="5"/>
  <c r="T3" i="5"/>
  <c r="T4" i="5"/>
  <c r="T5" i="5"/>
  <c r="T6" i="5"/>
  <c r="T7" i="5"/>
  <c r="T8" i="5"/>
  <c r="T9" i="5"/>
  <c r="T10" i="5"/>
  <c r="T11" i="5"/>
  <c r="T12" i="5"/>
  <c r="T2" i="5"/>
  <c r="Q3" i="5"/>
  <c r="Q4" i="5"/>
  <c r="Q5" i="5"/>
  <c r="Q6" i="5"/>
  <c r="Q7" i="5"/>
  <c r="Q8" i="5"/>
  <c r="Q9" i="5"/>
  <c r="Q10" i="5"/>
  <c r="Q11" i="5"/>
  <c r="Q12" i="5"/>
  <c r="Q2" i="5"/>
  <c r="N3" i="5"/>
  <c r="N4" i="5"/>
  <c r="N5" i="5"/>
  <c r="N6" i="5"/>
  <c r="N7" i="5"/>
  <c r="N8" i="5"/>
  <c r="N9" i="5"/>
  <c r="N10" i="5"/>
  <c r="N11" i="5"/>
  <c r="N12" i="5"/>
  <c r="N2" i="5"/>
  <c r="K2" i="5"/>
  <c r="K3" i="5"/>
  <c r="K4" i="5"/>
  <c r="K5" i="5"/>
  <c r="K6" i="5"/>
  <c r="K7" i="5"/>
  <c r="K8" i="5"/>
  <c r="K9" i="5"/>
  <c r="K10" i="5"/>
  <c r="K11" i="5"/>
  <c r="K12" i="5"/>
  <c r="H2" i="5"/>
  <c r="H3" i="5"/>
  <c r="H4" i="5"/>
  <c r="H5" i="5"/>
  <c r="H6" i="5"/>
  <c r="H7" i="5"/>
  <c r="H8" i="5"/>
  <c r="H9" i="5"/>
  <c r="H10" i="5"/>
  <c r="H11" i="5"/>
  <c r="H12" i="5"/>
  <c r="BA3" i="1"/>
  <c r="BA4" i="1"/>
  <c r="BA5" i="1"/>
  <c r="BA6" i="1"/>
  <c r="BA7" i="1"/>
  <c r="BA8" i="1"/>
  <c r="BA9" i="1"/>
  <c r="BA10" i="1"/>
  <c r="BA11" i="1"/>
  <c r="BA12" i="1"/>
  <c r="BA13" i="1"/>
  <c r="BA2" i="1"/>
  <c r="AX3" i="1"/>
  <c r="AX4" i="1"/>
  <c r="AX5" i="1"/>
  <c r="AX6" i="1"/>
  <c r="AX7" i="1"/>
  <c r="AX8" i="1"/>
  <c r="AX9" i="1"/>
  <c r="AX10" i="1"/>
  <c r="AX11" i="1"/>
  <c r="AX12" i="1"/>
  <c r="AX13" i="1"/>
  <c r="AX2" i="1"/>
  <c r="AU3" i="1"/>
  <c r="AU4" i="1"/>
  <c r="AU5" i="1"/>
  <c r="AU6" i="1"/>
  <c r="AU7" i="1"/>
  <c r="AU8" i="1"/>
  <c r="AU9" i="1"/>
  <c r="AU10" i="1"/>
  <c r="AU11" i="1"/>
  <c r="AU12" i="1"/>
  <c r="AU13" i="1"/>
  <c r="AU2" i="1"/>
  <c r="AR3" i="1"/>
  <c r="AR4" i="1"/>
  <c r="AR5" i="1"/>
  <c r="AR6" i="1"/>
  <c r="AR7" i="1"/>
  <c r="AR8" i="1"/>
  <c r="AR9" i="1"/>
  <c r="AR10" i="1"/>
  <c r="AR11" i="1"/>
  <c r="AR12" i="1"/>
  <c r="AR13" i="1"/>
  <c r="AR2" i="1"/>
  <c r="AO3" i="1"/>
  <c r="AO4" i="1"/>
  <c r="AO5" i="1"/>
  <c r="AO6" i="1"/>
  <c r="AO7" i="1"/>
  <c r="AO8" i="1"/>
  <c r="AO9" i="1"/>
  <c r="AO10" i="1"/>
  <c r="AO11" i="1"/>
  <c r="AO12" i="1"/>
  <c r="AO13" i="1"/>
  <c r="AO2" i="1"/>
  <c r="AI13" i="1"/>
  <c r="AL3" i="1"/>
  <c r="AL4" i="1"/>
  <c r="AL5" i="1"/>
  <c r="AL6" i="1"/>
  <c r="AL7" i="1"/>
  <c r="AL8" i="1"/>
  <c r="AL9" i="1"/>
  <c r="AL10" i="1"/>
  <c r="AL11" i="1"/>
  <c r="AL12" i="1"/>
  <c r="AL13" i="1"/>
  <c r="AL2" i="1"/>
  <c r="AI3" i="1"/>
  <c r="AI4" i="1"/>
  <c r="AI5" i="1"/>
  <c r="AI6" i="1"/>
  <c r="AI7" i="1"/>
  <c r="AI8" i="1"/>
  <c r="AI9" i="1"/>
  <c r="AI10" i="1"/>
  <c r="AI11" i="1"/>
  <c r="AI12" i="1"/>
  <c r="AI2" i="1"/>
  <c r="AF3" i="1"/>
  <c r="AF4" i="1"/>
  <c r="AF5" i="1"/>
  <c r="AF6" i="1"/>
  <c r="AF7" i="1"/>
  <c r="AF8" i="1"/>
  <c r="AF9" i="1"/>
  <c r="AF10" i="1"/>
  <c r="AF11" i="1"/>
  <c r="AF12" i="1"/>
  <c r="AF13" i="1"/>
  <c r="AF2" i="1"/>
  <c r="AC3" i="1"/>
  <c r="AC4" i="1"/>
  <c r="AC5" i="1"/>
  <c r="AC6" i="1"/>
  <c r="AC7" i="1"/>
  <c r="AC8" i="1"/>
  <c r="AC9" i="1"/>
  <c r="AC10" i="1"/>
  <c r="AC11" i="1"/>
  <c r="AC12" i="1"/>
  <c r="AC13" i="1"/>
  <c r="AC2" i="1"/>
  <c r="Z3" i="1"/>
  <c r="Z4" i="1"/>
  <c r="Z5" i="1"/>
  <c r="Z6" i="1"/>
  <c r="Z7" i="1"/>
  <c r="Z8" i="1"/>
  <c r="Z9" i="1"/>
  <c r="Z10" i="1"/>
  <c r="Z11" i="1"/>
  <c r="Z12" i="1"/>
  <c r="Z13" i="1"/>
  <c r="Z2" i="1"/>
  <c r="W3" i="1"/>
  <c r="W4" i="1"/>
  <c r="W5" i="1"/>
  <c r="W6" i="1"/>
  <c r="W7" i="1"/>
  <c r="W8" i="1"/>
  <c r="W9" i="1"/>
  <c r="W10" i="1"/>
  <c r="W11" i="1"/>
  <c r="W12" i="1"/>
  <c r="W13" i="1"/>
  <c r="W2" i="1"/>
  <c r="T3" i="1"/>
  <c r="T4" i="1"/>
  <c r="T5" i="1"/>
  <c r="T6" i="1"/>
  <c r="T7" i="1"/>
  <c r="T8" i="1"/>
  <c r="T9" i="1"/>
  <c r="T10" i="1"/>
  <c r="T11" i="1"/>
  <c r="T12" i="1"/>
  <c r="T13" i="1"/>
  <c r="T2" i="1"/>
  <c r="Q3" i="1"/>
  <c r="Q4" i="1"/>
  <c r="Q5" i="1"/>
  <c r="Q6" i="1"/>
  <c r="Q7" i="1"/>
  <c r="Q8" i="1"/>
  <c r="Q9" i="1"/>
  <c r="Q10" i="1"/>
  <c r="Q11" i="1"/>
  <c r="Q12" i="1"/>
  <c r="Q13" i="1"/>
  <c r="Q2" i="1"/>
  <c r="N3" i="1"/>
  <c r="N4" i="1"/>
  <c r="N5" i="1"/>
  <c r="N6" i="1"/>
  <c r="N7" i="1"/>
  <c r="N8" i="1"/>
  <c r="N9" i="1"/>
  <c r="N10" i="1"/>
  <c r="N11" i="1"/>
  <c r="N12" i="1"/>
  <c r="N13" i="1"/>
  <c r="N2" i="1"/>
  <c r="K3" i="1"/>
  <c r="K4" i="1"/>
  <c r="K5" i="1"/>
  <c r="K6" i="1"/>
  <c r="K7" i="1"/>
  <c r="K8" i="1"/>
  <c r="K9" i="1"/>
  <c r="K10" i="1"/>
  <c r="K11" i="1"/>
  <c r="K12" i="1"/>
  <c r="K13" i="1"/>
  <c r="K2" i="1"/>
  <c r="H3" i="1"/>
  <c r="H4" i="1"/>
  <c r="H5" i="1"/>
  <c r="H6" i="1"/>
  <c r="H7" i="1"/>
  <c r="H8" i="1"/>
  <c r="H9" i="1"/>
  <c r="H10" i="1"/>
  <c r="H11" i="1"/>
  <c r="H12" i="1"/>
  <c r="H13" i="1"/>
  <c r="H2" i="1"/>
  <c r="EY3" i="4"/>
  <c r="EY5" i="4"/>
  <c r="EY6" i="4"/>
  <c r="EY7" i="4"/>
  <c r="EY8" i="4"/>
  <c r="EY9" i="4"/>
  <c r="EY10" i="4"/>
  <c r="EY11" i="4"/>
  <c r="EY13" i="4"/>
  <c r="EY2" i="4"/>
  <c r="EV3" i="4"/>
  <c r="EV5" i="4"/>
  <c r="EV6" i="4"/>
  <c r="EV7" i="4"/>
  <c r="EV8" i="4"/>
  <c r="EV9" i="4"/>
  <c r="EV10" i="4"/>
  <c r="EV11" i="4"/>
  <c r="EV13" i="4"/>
  <c r="EV2" i="4"/>
  <c r="ES3" i="4"/>
  <c r="ES5" i="4"/>
  <c r="ES6" i="4"/>
  <c r="ES7" i="4"/>
  <c r="ES8" i="4"/>
  <c r="ES9" i="4"/>
  <c r="ES10" i="4"/>
  <c r="ES11" i="4"/>
  <c r="ES13" i="4"/>
  <c r="ES2" i="4"/>
  <c r="EP3" i="4"/>
  <c r="EP5" i="4"/>
  <c r="EP6" i="4"/>
  <c r="EP7" i="4"/>
  <c r="EP8" i="4"/>
  <c r="EP9" i="4"/>
  <c r="EP10" i="4"/>
  <c r="EP11" i="4"/>
  <c r="EP13" i="4"/>
  <c r="EP2" i="4"/>
  <c r="EM3" i="4"/>
  <c r="EM5" i="4"/>
  <c r="EM6" i="4"/>
  <c r="EM7" i="4"/>
  <c r="EM8" i="4"/>
  <c r="EM9" i="4"/>
  <c r="EM10" i="4"/>
  <c r="EM11" i="4"/>
  <c r="EM13" i="4"/>
  <c r="EM2" i="4"/>
  <c r="EJ3" i="4"/>
  <c r="EJ5" i="4"/>
  <c r="EJ6" i="4"/>
  <c r="EJ7" i="4"/>
  <c r="EJ8" i="4"/>
  <c r="EJ9" i="4"/>
  <c r="EJ10" i="4"/>
  <c r="EJ11" i="4"/>
  <c r="EJ13" i="4"/>
  <c r="EJ2" i="4"/>
  <c r="EG3" i="4"/>
  <c r="EG5" i="4"/>
  <c r="EG6" i="4"/>
  <c r="EG7" i="4"/>
  <c r="EG8" i="4"/>
  <c r="EG9" i="4"/>
  <c r="EG10" i="4"/>
  <c r="EG11" i="4"/>
  <c r="EG13" i="4"/>
  <c r="EG2" i="4"/>
  <c r="ED3" i="4"/>
  <c r="ED5" i="4"/>
  <c r="ED6" i="4"/>
  <c r="ED7" i="4"/>
  <c r="ED8" i="4"/>
  <c r="ED9" i="4"/>
  <c r="ED10" i="4"/>
  <c r="ED11" i="4"/>
  <c r="ED13" i="4"/>
  <c r="ED2" i="4"/>
  <c r="EA3" i="4"/>
  <c r="EA5" i="4"/>
  <c r="EA6" i="4"/>
  <c r="EA7" i="4"/>
  <c r="EA8" i="4"/>
  <c r="EA9" i="4"/>
  <c r="EA10" i="4"/>
  <c r="EA11" i="4"/>
  <c r="EA13" i="4"/>
  <c r="EA2" i="4"/>
  <c r="DX3" i="4"/>
  <c r="DX5" i="4"/>
  <c r="DX6" i="4"/>
  <c r="DX7" i="4"/>
  <c r="DX8" i="4"/>
  <c r="DX9" i="4"/>
  <c r="DX10" i="4"/>
  <c r="DX11" i="4"/>
  <c r="DX13" i="4"/>
  <c r="DX2" i="4"/>
  <c r="DU3" i="4"/>
  <c r="DU5" i="4"/>
  <c r="DU6" i="4"/>
  <c r="DU7" i="4"/>
  <c r="DU8" i="4"/>
  <c r="DU9" i="4"/>
  <c r="DU10" i="4"/>
  <c r="DU11" i="4"/>
  <c r="DU13" i="4"/>
  <c r="DU2" i="4"/>
  <c r="DR3" i="4"/>
  <c r="DR5" i="4"/>
  <c r="DR6" i="4"/>
  <c r="DR7" i="4"/>
  <c r="DR8" i="4"/>
  <c r="DR9" i="4"/>
  <c r="DR10" i="4"/>
  <c r="DR11" i="4"/>
  <c r="DR13" i="4"/>
  <c r="DR2" i="4"/>
  <c r="DO3" i="4"/>
  <c r="DO5" i="4"/>
  <c r="DO6" i="4"/>
  <c r="DO7" i="4"/>
  <c r="DO8" i="4"/>
  <c r="DO9" i="4"/>
  <c r="DO10" i="4"/>
  <c r="DO11" i="4"/>
  <c r="DO13" i="4"/>
  <c r="DO2" i="4"/>
  <c r="DL3" i="4"/>
  <c r="DL5" i="4"/>
  <c r="DL6" i="4"/>
  <c r="DL7" i="4"/>
  <c r="DL8" i="4"/>
  <c r="DL9" i="4"/>
  <c r="DL10" i="4"/>
  <c r="DL11" i="4"/>
  <c r="DL13" i="4"/>
  <c r="DL2" i="4"/>
  <c r="DI3" i="4"/>
  <c r="DI5" i="4"/>
  <c r="DI6" i="4"/>
  <c r="DI7" i="4"/>
  <c r="DI8" i="4"/>
  <c r="DI9" i="4"/>
  <c r="DI10" i="4"/>
  <c r="DI11" i="4"/>
  <c r="DI13" i="4"/>
  <c r="DI2" i="4"/>
  <c r="DF3" i="4"/>
  <c r="DF5" i="4"/>
  <c r="DF6" i="4"/>
  <c r="DF7" i="4"/>
  <c r="DF8" i="4"/>
  <c r="DF9" i="4"/>
  <c r="DF10" i="4"/>
  <c r="DF11" i="4"/>
  <c r="DF13" i="4"/>
  <c r="DF2" i="4"/>
  <c r="DC3" i="4"/>
  <c r="DC5" i="4"/>
  <c r="DC6" i="4"/>
  <c r="DC7" i="4"/>
  <c r="DC8" i="4"/>
  <c r="DC9" i="4"/>
  <c r="DC10" i="4"/>
  <c r="DC11" i="4"/>
  <c r="DC13" i="4"/>
  <c r="DC2" i="4"/>
  <c r="CZ3" i="4"/>
  <c r="CZ5" i="4"/>
  <c r="CZ6" i="4"/>
  <c r="CZ7" i="4"/>
  <c r="CZ8" i="4"/>
  <c r="CZ9" i="4"/>
  <c r="CZ10" i="4"/>
  <c r="CZ11" i="4"/>
  <c r="CZ13" i="4"/>
  <c r="CZ2" i="4"/>
  <c r="CW3" i="4"/>
  <c r="CW5" i="4"/>
  <c r="CW6" i="4"/>
  <c r="CW7" i="4"/>
  <c r="CW8" i="4"/>
  <c r="CW9" i="4"/>
  <c r="CW10" i="4"/>
  <c r="CW11" i="4"/>
  <c r="CW13" i="4"/>
  <c r="CW2" i="4"/>
  <c r="CT3" i="4"/>
  <c r="CT5" i="4"/>
  <c r="CT6" i="4"/>
  <c r="CT7" i="4"/>
  <c r="CT8" i="4"/>
  <c r="CT9" i="4"/>
  <c r="CT10" i="4"/>
  <c r="CT11" i="4"/>
  <c r="CT13" i="4"/>
  <c r="CT2" i="4"/>
  <c r="CQ3" i="4"/>
  <c r="CQ5" i="4"/>
  <c r="CQ6" i="4"/>
  <c r="CQ7" i="4"/>
  <c r="CQ8" i="4"/>
  <c r="CQ9" i="4"/>
  <c r="CQ10" i="4"/>
  <c r="CQ11" i="4"/>
  <c r="CQ13" i="4"/>
  <c r="CQ2" i="4"/>
  <c r="CN3" i="4"/>
  <c r="CN5" i="4"/>
  <c r="CN6" i="4"/>
  <c r="CN7" i="4"/>
  <c r="CN8" i="4"/>
  <c r="CN9" i="4"/>
  <c r="CN10" i="4"/>
  <c r="CN11" i="4"/>
  <c r="CN13" i="4"/>
  <c r="CN2" i="4"/>
  <c r="CK3" i="4"/>
  <c r="CK5" i="4"/>
  <c r="CK6" i="4"/>
  <c r="CK7" i="4"/>
  <c r="CK8" i="4"/>
  <c r="CK9" i="4"/>
  <c r="CK10" i="4"/>
  <c r="CK11" i="4"/>
  <c r="CK13" i="4"/>
  <c r="CK2" i="4"/>
  <c r="CH3" i="4"/>
  <c r="CH5" i="4"/>
  <c r="CH6" i="4"/>
  <c r="CH7" i="4"/>
  <c r="CH8" i="4"/>
  <c r="CH9" i="4"/>
  <c r="CH10" i="4"/>
  <c r="CH11" i="4"/>
  <c r="CH13" i="4"/>
  <c r="CH2" i="4"/>
  <c r="CE3" i="4"/>
  <c r="CE5" i="4"/>
  <c r="CE6" i="4"/>
  <c r="CE7" i="4"/>
  <c r="CE8" i="4"/>
  <c r="CE9" i="4"/>
  <c r="CE10" i="4"/>
  <c r="CE11" i="4"/>
  <c r="CE13" i="4"/>
  <c r="CE2" i="4"/>
  <c r="CB3" i="4"/>
  <c r="CB5" i="4"/>
  <c r="CB6" i="4"/>
  <c r="CB7" i="4"/>
  <c r="CB8" i="4"/>
  <c r="CB9" i="4"/>
  <c r="CB10" i="4"/>
  <c r="CB11" i="4"/>
  <c r="CB12" i="4"/>
  <c r="CB13" i="4"/>
  <c r="CB2" i="4"/>
  <c r="BY3" i="4"/>
  <c r="BY5" i="4"/>
  <c r="BY6" i="4"/>
  <c r="BY7" i="4"/>
  <c r="BY8" i="4"/>
  <c r="BY9" i="4"/>
  <c r="BY10" i="4"/>
  <c r="BY11" i="4"/>
  <c r="BY13" i="4"/>
  <c r="BY2" i="4"/>
  <c r="BV3" i="4"/>
  <c r="BV5" i="4"/>
  <c r="BV6" i="4"/>
  <c r="BV7" i="4"/>
  <c r="BV8" i="4"/>
  <c r="BV9" i="4"/>
  <c r="BV10" i="4"/>
  <c r="BV11" i="4"/>
  <c r="BV13" i="4"/>
  <c r="BV2" i="4"/>
  <c r="BS3" i="4"/>
  <c r="BS5" i="4"/>
  <c r="BS6" i="4"/>
  <c r="BS7" i="4"/>
  <c r="BS8" i="4"/>
  <c r="BS9" i="4"/>
  <c r="BS10" i="4"/>
  <c r="BS11" i="4"/>
  <c r="BS13" i="4"/>
  <c r="BS2" i="4"/>
  <c r="BP3" i="4"/>
  <c r="BP5" i="4"/>
  <c r="BP6" i="4"/>
  <c r="BP7" i="4"/>
  <c r="BP8" i="4"/>
  <c r="BP9" i="4"/>
  <c r="BP10" i="4"/>
  <c r="BP11" i="4"/>
  <c r="BP13" i="4"/>
  <c r="BP2" i="4"/>
  <c r="BM3" i="4"/>
  <c r="BM5" i="4"/>
  <c r="BM6" i="4"/>
  <c r="BM7" i="4"/>
  <c r="BM8" i="4"/>
  <c r="BM9" i="4"/>
  <c r="BM10" i="4"/>
  <c r="BM11" i="4"/>
  <c r="BM13" i="4"/>
  <c r="BM2" i="4"/>
  <c r="BJ3" i="4"/>
  <c r="BJ5" i="4"/>
  <c r="BJ6" i="4"/>
  <c r="BJ7" i="4"/>
  <c r="BJ8" i="4"/>
  <c r="BJ9" i="4"/>
  <c r="BJ10" i="4"/>
  <c r="BJ11" i="4"/>
  <c r="BJ13" i="4"/>
  <c r="BJ2" i="4"/>
  <c r="BG3" i="4"/>
  <c r="BG5" i="4"/>
  <c r="BG6" i="4"/>
  <c r="BG7" i="4"/>
  <c r="BG8" i="4"/>
  <c r="BG9" i="4"/>
  <c r="BG10" i="4"/>
  <c r="BG11" i="4"/>
  <c r="BG13" i="4"/>
  <c r="BG2" i="4"/>
  <c r="BD3" i="4"/>
  <c r="BD5" i="4"/>
  <c r="BD6" i="4"/>
  <c r="BD7" i="4"/>
  <c r="BD8" i="4"/>
  <c r="BD9" i="4"/>
  <c r="BD10" i="4"/>
  <c r="BD11" i="4"/>
  <c r="BD13" i="4"/>
  <c r="BD2" i="4"/>
  <c r="BA3" i="4"/>
  <c r="BA5" i="4"/>
  <c r="BA6" i="4"/>
  <c r="BA7" i="4"/>
  <c r="BA8" i="4"/>
  <c r="BA9" i="4"/>
  <c r="BA10" i="4"/>
  <c r="BA11" i="4"/>
  <c r="BA13" i="4"/>
  <c r="BA2" i="4"/>
  <c r="AX3" i="4"/>
  <c r="AX5" i="4"/>
  <c r="AX6" i="4"/>
  <c r="AX7" i="4"/>
  <c r="AX8" i="4"/>
  <c r="AX9" i="4"/>
  <c r="AX10" i="4"/>
  <c r="AX11" i="4"/>
  <c r="AX13" i="4"/>
  <c r="AX2" i="4"/>
  <c r="AU3" i="4"/>
  <c r="AU5" i="4"/>
  <c r="AU6" i="4"/>
  <c r="AU7" i="4"/>
  <c r="AU8" i="4"/>
  <c r="AU9" i="4"/>
  <c r="AU10" i="4"/>
  <c r="AU11" i="4"/>
  <c r="AU13" i="4"/>
  <c r="AU2" i="4"/>
  <c r="AR3" i="4"/>
  <c r="AR5" i="4"/>
  <c r="AR6" i="4"/>
  <c r="AR7" i="4"/>
  <c r="AR8" i="4"/>
  <c r="AR9" i="4"/>
  <c r="AR10" i="4"/>
  <c r="AR11" i="4"/>
  <c r="AR13" i="4"/>
  <c r="AR2" i="4"/>
  <c r="AO3" i="4"/>
  <c r="AO5" i="4"/>
  <c r="AO6" i="4"/>
  <c r="AO7" i="4"/>
  <c r="AO8" i="4"/>
  <c r="AO9" i="4"/>
  <c r="AO10" i="4"/>
  <c r="AO11" i="4"/>
  <c r="AO13" i="4"/>
  <c r="AO2" i="4"/>
  <c r="AL3" i="4"/>
  <c r="AL5" i="4"/>
  <c r="AL6" i="4"/>
  <c r="AL7" i="4"/>
  <c r="AL8" i="4"/>
  <c r="AL9" i="4"/>
  <c r="AL10" i="4"/>
  <c r="AL11" i="4"/>
  <c r="AL13" i="4"/>
  <c r="AL2" i="4"/>
  <c r="AI3" i="4"/>
  <c r="AI5" i="4"/>
  <c r="AI6" i="4"/>
  <c r="AI7" i="4"/>
  <c r="AI8" i="4"/>
  <c r="AI9" i="4"/>
  <c r="AI10" i="4"/>
  <c r="AI11" i="4"/>
  <c r="AI13" i="4"/>
  <c r="AI2" i="4"/>
  <c r="AF3" i="4"/>
  <c r="AF5" i="4"/>
  <c r="AF6" i="4"/>
  <c r="AF7" i="4"/>
  <c r="AF8" i="4"/>
  <c r="AF9" i="4"/>
  <c r="AF10" i="4"/>
  <c r="AF11" i="4"/>
  <c r="AF13" i="4"/>
  <c r="AF2" i="4"/>
  <c r="AC3" i="4"/>
  <c r="AC5" i="4"/>
  <c r="AC6" i="4"/>
  <c r="AC7" i="4"/>
  <c r="AC8" i="4"/>
  <c r="AC9" i="4"/>
  <c r="AC10" i="4"/>
  <c r="AC11" i="4"/>
  <c r="AC13" i="4"/>
  <c r="AC2" i="4"/>
  <c r="Z3" i="4"/>
  <c r="Z5" i="4"/>
  <c r="Z6" i="4"/>
  <c r="Z7" i="4"/>
  <c r="Z8" i="4"/>
  <c r="Z9" i="4"/>
  <c r="Z10" i="4"/>
  <c r="Z11" i="4"/>
  <c r="Z13" i="4"/>
  <c r="Z2" i="4"/>
  <c r="W3" i="4"/>
  <c r="W5" i="4"/>
  <c r="W6" i="4"/>
  <c r="W7" i="4"/>
  <c r="W8" i="4"/>
  <c r="W9" i="4"/>
  <c r="W10" i="4"/>
  <c r="W11" i="4"/>
  <c r="W13" i="4"/>
  <c r="W2" i="4"/>
  <c r="T3" i="4"/>
  <c r="T5" i="4"/>
  <c r="T6" i="4"/>
  <c r="T7" i="4"/>
  <c r="T8" i="4"/>
  <c r="T9" i="4"/>
  <c r="T10" i="4"/>
  <c r="T11" i="4"/>
  <c r="T13" i="4"/>
  <c r="T2" i="4"/>
  <c r="Q3" i="4"/>
  <c r="Q5" i="4"/>
  <c r="Q6" i="4"/>
  <c r="Q7" i="4"/>
  <c r="Q8" i="4"/>
  <c r="Q9" i="4"/>
  <c r="Q10" i="4"/>
  <c r="Q11" i="4"/>
  <c r="Q13" i="4"/>
  <c r="Q2" i="4"/>
  <c r="N3" i="4"/>
  <c r="N5" i="4"/>
  <c r="N6" i="4"/>
  <c r="N7" i="4"/>
  <c r="N8" i="4"/>
  <c r="N9" i="4"/>
  <c r="N10" i="4"/>
  <c r="N11" i="4"/>
  <c r="N13" i="4"/>
  <c r="N2" i="4"/>
  <c r="K3" i="4"/>
  <c r="K5" i="4"/>
  <c r="K6" i="4"/>
  <c r="K7" i="4"/>
  <c r="K8" i="4"/>
  <c r="K9" i="4"/>
  <c r="K10" i="4"/>
  <c r="K11" i="4"/>
  <c r="K13" i="4"/>
  <c r="K2" i="4"/>
  <c r="H3" i="4"/>
  <c r="H5" i="4"/>
  <c r="H6" i="4"/>
  <c r="H7" i="4"/>
  <c r="H8" i="4"/>
  <c r="H9" i="4"/>
  <c r="H10" i="4"/>
  <c r="H11" i="4"/>
  <c r="H13" i="4"/>
  <c r="H2" i="4"/>
  <c r="FN2" i="6"/>
  <c r="FN3" i="6"/>
  <c r="FT3" i="6"/>
  <c r="FT4" i="6"/>
  <c r="FT5" i="6"/>
  <c r="FT6" i="6"/>
  <c r="FT7" i="6"/>
  <c r="FQ3" i="6"/>
  <c r="FQ4" i="6"/>
  <c r="FQ5" i="6"/>
  <c r="FQ6" i="6"/>
  <c r="FQ7" i="6"/>
  <c r="FN4" i="6"/>
  <c r="FN5" i="6"/>
  <c r="FN6" i="6"/>
  <c r="FN7" i="6"/>
  <c r="FK3" i="6"/>
  <c r="FK4" i="6"/>
  <c r="FK5" i="6"/>
  <c r="FK6" i="6"/>
  <c r="FK7" i="6"/>
  <c r="FH3" i="6"/>
  <c r="FH4" i="6"/>
  <c r="FH5" i="6"/>
  <c r="FH6" i="6"/>
  <c r="FH7" i="6"/>
  <c r="FE3" i="6"/>
  <c r="FE4" i="6"/>
  <c r="FE5" i="6"/>
  <c r="FE6" i="6"/>
  <c r="FE7" i="6"/>
  <c r="FB3" i="6"/>
  <c r="FB4" i="6"/>
  <c r="FB5" i="6"/>
  <c r="FB6" i="6"/>
  <c r="FB7" i="6"/>
  <c r="EY3" i="6"/>
  <c r="EY4" i="6"/>
  <c r="EY5" i="6"/>
  <c r="EY6" i="6"/>
  <c r="EY7" i="6"/>
  <c r="EV3" i="6"/>
  <c r="EV4" i="6"/>
  <c r="EV5" i="6"/>
  <c r="EV6" i="6"/>
  <c r="EV7" i="6"/>
  <c r="ES3" i="6"/>
  <c r="ES4" i="6"/>
  <c r="ES5" i="6"/>
  <c r="ES6" i="6"/>
  <c r="ES7" i="6"/>
  <c r="EP3" i="6"/>
  <c r="EP4" i="6"/>
  <c r="EP5" i="6"/>
  <c r="EP6" i="6"/>
  <c r="EP7" i="6"/>
  <c r="EM3" i="6"/>
  <c r="EM4" i="6"/>
  <c r="EM5" i="6"/>
  <c r="EM6" i="6"/>
  <c r="EM7" i="6"/>
  <c r="EJ3" i="6"/>
  <c r="EJ4" i="6"/>
  <c r="EJ5" i="6"/>
  <c r="EJ6" i="6"/>
  <c r="EJ7" i="6"/>
  <c r="EG3" i="6"/>
  <c r="EG4" i="6"/>
  <c r="EG5" i="6"/>
  <c r="EG6" i="6"/>
  <c r="EG7" i="6"/>
  <c r="ED3" i="6"/>
  <c r="ED4" i="6"/>
  <c r="ED5" i="6"/>
  <c r="ED6" i="6"/>
  <c r="ED7" i="6"/>
  <c r="EA3" i="6"/>
  <c r="EA4" i="6"/>
  <c r="EA5" i="6"/>
  <c r="EA6" i="6"/>
  <c r="EA7" i="6"/>
  <c r="DX3" i="6"/>
  <c r="DX4" i="6"/>
  <c r="DX5" i="6"/>
  <c r="DX6" i="6"/>
  <c r="DX7" i="6"/>
  <c r="DU3" i="6"/>
  <c r="DU4" i="6"/>
  <c r="DU5" i="6"/>
  <c r="DU6" i="6"/>
  <c r="DU7" i="6"/>
  <c r="DU2" i="6"/>
  <c r="DR3" i="6"/>
  <c r="DR4" i="6"/>
  <c r="DR5" i="6"/>
  <c r="DR6" i="6"/>
  <c r="DR7" i="6"/>
  <c r="DO4" i="6"/>
  <c r="DO5" i="6"/>
  <c r="DO6" i="6"/>
  <c r="DO7" i="6"/>
  <c r="DL4" i="6"/>
  <c r="DL5" i="6"/>
  <c r="DL6" i="6"/>
  <c r="DL7" i="6"/>
  <c r="DI4" i="6"/>
  <c r="DI5" i="6"/>
  <c r="DI6" i="6"/>
  <c r="DI7" i="6"/>
  <c r="DF4" i="6"/>
  <c r="DF5" i="6"/>
  <c r="DF6" i="6"/>
  <c r="DF7" i="6"/>
  <c r="DC4" i="6"/>
  <c r="DC5" i="6"/>
  <c r="DC6" i="6"/>
  <c r="DC7" i="6"/>
  <c r="CZ3" i="6"/>
  <c r="CZ4" i="6"/>
  <c r="CZ5" i="6"/>
  <c r="CZ6" i="6"/>
  <c r="CZ7" i="6"/>
  <c r="CW3" i="6"/>
  <c r="CW4" i="6"/>
  <c r="CW5" i="6"/>
  <c r="CW6" i="6"/>
  <c r="CW7" i="6"/>
  <c r="CT4" i="6"/>
  <c r="CT5" i="6"/>
  <c r="CT6" i="6"/>
  <c r="CT7" i="6"/>
  <c r="CQ3" i="6"/>
  <c r="CQ4" i="6"/>
  <c r="CQ5" i="6"/>
  <c r="CQ6" i="6"/>
  <c r="CQ7" i="6"/>
  <c r="CN3" i="6"/>
  <c r="CN4" i="6"/>
  <c r="CN5" i="6"/>
  <c r="CN6" i="6"/>
  <c r="CN7" i="6"/>
  <c r="CK3" i="6"/>
  <c r="CK4" i="6"/>
  <c r="CK5" i="6"/>
  <c r="CK6" i="6"/>
  <c r="CK7" i="6"/>
  <c r="CH3" i="6"/>
  <c r="CH4" i="6"/>
  <c r="CH5" i="6"/>
  <c r="CH6" i="6"/>
  <c r="CH7" i="6"/>
  <c r="CE3" i="6"/>
  <c r="CE4" i="6"/>
  <c r="CE5" i="6"/>
  <c r="CE6" i="6"/>
  <c r="CE7" i="6"/>
  <c r="CB3" i="6"/>
  <c r="CB4" i="6"/>
  <c r="CB5" i="6"/>
  <c r="CB6" i="6"/>
  <c r="CB7" i="6"/>
  <c r="BY4" i="6"/>
  <c r="BY5" i="6"/>
  <c r="BY6" i="6"/>
  <c r="BY7" i="6"/>
  <c r="BY3" i="6"/>
  <c r="BV3" i="6"/>
  <c r="BV4" i="6"/>
  <c r="BV5" i="6"/>
  <c r="BV6" i="6"/>
  <c r="BV7" i="6"/>
  <c r="BS3" i="6"/>
  <c r="BS4" i="6"/>
  <c r="BS5" i="6"/>
  <c r="BS6" i="6"/>
  <c r="BS7" i="6"/>
  <c r="BP3" i="6"/>
  <c r="BP4" i="6"/>
  <c r="BP5" i="6"/>
  <c r="BP6" i="6"/>
  <c r="BP7" i="6"/>
  <c r="BM3" i="6"/>
  <c r="BM4" i="6"/>
  <c r="BM5" i="6"/>
  <c r="BM6" i="6"/>
  <c r="BM7" i="6"/>
  <c r="BJ3" i="6"/>
  <c r="BJ4" i="6"/>
  <c r="BJ5" i="6"/>
  <c r="BJ6" i="6"/>
  <c r="BJ7" i="6"/>
  <c r="BG3" i="6"/>
  <c r="BG4" i="6"/>
  <c r="BG5" i="6"/>
  <c r="BG6" i="6"/>
  <c r="BG7" i="6"/>
  <c r="BD3" i="6"/>
  <c r="BD4" i="6"/>
  <c r="BD5" i="6"/>
  <c r="BD6" i="6"/>
  <c r="BD7" i="6"/>
  <c r="BA4" i="6"/>
  <c r="BA5" i="6"/>
  <c r="BA6" i="6"/>
  <c r="BA7" i="6"/>
  <c r="AX3" i="6"/>
  <c r="AX4" i="6"/>
  <c r="AX5" i="6"/>
  <c r="AX6" i="6"/>
  <c r="AX7" i="6"/>
  <c r="AU3" i="6"/>
  <c r="AU4" i="6"/>
  <c r="AU5" i="6"/>
  <c r="AU6" i="6"/>
  <c r="AU7" i="6"/>
  <c r="AR3" i="6"/>
  <c r="AR4" i="6"/>
  <c r="AR5" i="6"/>
  <c r="AR6" i="6"/>
  <c r="AR7" i="6"/>
  <c r="AO4" i="6"/>
  <c r="AO5" i="6"/>
  <c r="AO6" i="6"/>
  <c r="AO7" i="6"/>
  <c r="AL3" i="6"/>
  <c r="AL4" i="6"/>
  <c r="AL5" i="6"/>
  <c r="AL6" i="6"/>
  <c r="AL7" i="6"/>
  <c r="AI3" i="6"/>
  <c r="AI4" i="6"/>
  <c r="AI5" i="6"/>
  <c r="AI6" i="6"/>
  <c r="AI7" i="6"/>
  <c r="AF3" i="6"/>
  <c r="AF4" i="6"/>
  <c r="AF5" i="6"/>
  <c r="AF6" i="6"/>
  <c r="AF7" i="6"/>
  <c r="AC3" i="6"/>
  <c r="AC4" i="6"/>
  <c r="AC5" i="6"/>
  <c r="AC6" i="6"/>
  <c r="AC7" i="6"/>
  <c r="AC2" i="6"/>
  <c r="Z4" i="6"/>
  <c r="Z5" i="6"/>
  <c r="Z6" i="6"/>
  <c r="Z7" i="6"/>
  <c r="W3" i="6"/>
  <c r="W4" i="6"/>
  <c r="W5" i="6"/>
  <c r="W6" i="6"/>
  <c r="W7" i="6"/>
  <c r="T3" i="6"/>
  <c r="T4" i="6"/>
  <c r="T5" i="6"/>
  <c r="T6" i="6"/>
  <c r="T7" i="6"/>
  <c r="Q3" i="6"/>
  <c r="Q4" i="6"/>
  <c r="Q5" i="6"/>
  <c r="Q6" i="6"/>
  <c r="Q7" i="6"/>
  <c r="N3" i="6"/>
  <c r="N4" i="6"/>
  <c r="N5" i="6"/>
  <c r="N6" i="6"/>
  <c r="N7" i="6"/>
  <c r="K3" i="6"/>
  <c r="K4" i="6"/>
  <c r="K5" i="6"/>
  <c r="K6" i="6"/>
  <c r="K7" i="6"/>
  <c r="H3" i="6"/>
  <c r="H4" i="6"/>
  <c r="H5" i="6"/>
  <c r="H6" i="6"/>
  <c r="H7" i="6"/>
  <c r="ER16" i="6" l="1"/>
  <c r="S12" i="4" l="1"/>
  <c r="T12" i="4" s="1"/>
  <c r="S4" i="4"/>
  <c r="T4" i="4" s="1"/>
  <c r="DA3" i="6" l="1"/>
  <c r="AY3" i="6"/>
  <c r="BA3" i="6" s="1"/>
  <c r="AM3" i="6"/>
  <c r="AO3" i="6" s="1"/>
  <c r="DM3" i="6" l="1"/>
  <c r="DO3" i="6" s="1"/>
  <c r="DC3" i="6"/>
  <c r="X3" i="6"/>
  <c r="Z3" i="6" s="1"/>
  <c r="CR3" i="6"/>
  <c r="CT3" i="6" s="1"/>
  <c r="DJ3" i="6" l="1"/>
  <c r="DL3" i="6" s="1"/>
  <c r="DD3" i="6"/>
  <c r="DF3" i="6" s="1"/>
  <c r="DG3" i="6" l="1"/>
  <c r="DI3" i="6" s="1"/>
  <c r="FT2" i="6" l="1"/>
  <c r="FQ2" i="6"/>
  <c r="FK2" i="6"/>
  <c r="FH2" i="6"/>
  <c r="FE2" i="6"/>
  <c r="FB2" i="6"/>
  <c r="EY2" i="6"/>
  <c r="EV2" i="6"/>
  <c r="ES2" i="6"/>
  <c r="EP2" i="6"/>
  <c r="EM2" i="6"/>
  <c r="EJ2" i="6"/>
  <c r="EG2" i="6"/>
  <c r="ED2" i="6"/>
  <c r="EA2" i="6"/>
  <c r="DX2" i="6"/>
  <c r="DR2" i="6"/>
  <c r="CZ2" i="6"/>
  <c r="CW2" i="6"/>
  <c r="DA2" i="6" s="1"/>
  <c r="DM2" i="6" s="1"/>
  <c r="DO2" i="6" s="1"/>
  <c r="CQ2" i="6"/>
  <c r="CK2" i="6"/>
  <c r="CH2" i="6"/>
  <c r="CE2" i="6"/>
  <c r="BY2" i="6"/>
  <c r="BV2" i="6"/>
  <c r="BS2" i="6"/>
  <c r="BP2" i="6"/>
  <c r="BM2" i="6"/>
  <c r="BJ2" i="6"/>
  <c r="BG2" i="6"/>
  <c r="BD2" i="6"/>
  <c r="AX2" i="6"/>
  <c r="AU2" i="6"/>
  <c r="AR2" i="6"/>
  <c r="AL2" i="6"/>
  <c r="AI2" i="6"/>
  <c r="AF2" i="6"/>
  <c r="W2" i="6"/>
  <c r="T2" i="6"/>
  <c r="Q2" i="6"/>
  <c r="N2" i="6"/>
  <c r="K2" i="6"/>
  <c r="H2" i="6"/>
  <c r="AY2" i="6" l="1"/>
  <c r="BA2" i="6" s="1"/>
  <c r="AM2" i="6"/>
  <c r="AO2" i="6" s="1"/>
  <c r="X2" i="6"/>
  <c r="Z2" i="6" s="1"/>
  <c r="BZ2" i="6"/>
  <c r="CB2" i="6" s="1"/>
  <c r="DC2" i="6"/>
  <c r="CN2" i="6"/>
  <c r="CR2" i="6" s="1"/>
  <c r="DJ2" i="6" s="1"/>
  <c r="DL2" i="6" s="1"/>
  <c r="DD2" i="6" l="1"/>
  <c r="DG2" i="6" s="1"/>
  <c r="DI2" i="6" s="1"/>
  <c r="CT2" i="6"/>
  <c r="DF2" i="6" l="1"/>
  <c r="EX12" i="4"/>
  <c r="EY12" i="4" s="1"/>
  <c r="EU12" i="4"/>
  <c r="EV12" i="4" s="1"/>
  <c r="ER12" i="4"/>
  <c r="ES12" i="4" s="1"/>
  <c r="EO12" i="4"/>
  <c r="EP12" i="4" s="1"/>
  <c r="EL12" i="4"/>
  <c r="EM12" i="4" s="1"/>
  <c r="EI12" i="4"/>
  <c r="EJ12" i="4" s="1"/>
  <c r="EF12" i="4"/>
  <c r="EG12" i="4" s="1"/>
  <c r="EC12" i="4"/>
  <c r="ED12" i="4" s="1"/>
  <c r="DZ12" i="4"/>
  <c r="EA12" i="4" s="1"/>
  <c r="DW12" i="4"/>
  <c r="DX12" i="4" s="1"/>
  <c r="DT12" i="4"/>
  <c r="DU12" i="4" s="1"/>
  <c r="DQ12" i="4"/>
  <c r="DR12" i="4" s="1"/>
  <c r="DN12" i="4"/>
  <c r="DO12" i="4" s="1"/>
  <c r="DK12" i="4"/>
  <c r="DL12" i="4" s="1"/>
  <c r="DH12" i="4"/>
  <c r="DI12" i="4" s="1"/>
  <c r="DE12" i="4"/>
  <c r="DF12" i="4" s="1"/>
  <c r="DB12" i="4"/>
  <c r="DC12" i="4" s="1"/>
  <c r="CY12" i="4"/>
  <c r="CZ12" i="4" s="1"/>
  <c r="CV12" i="4"/>
  <c r="CW12" i="4" s="1"/>
  <c r="CS12" i="4"/>
  <c r="CT12" i="4" s="1"/>
  <c r="CP12" i="4"/>
  <c r="CQ12" i="4" s="1"/>
  <c r="CM12" i="4"/>
  <c r="CN12" i="4" s="1"/>
  <c r="CJ12" i="4"/>
  <c r="CK12" i="4" s="1"/>
  <c r="CG12" i="4"/>
  <c r="CH12" i="4" s="1"/>
  <c r="CD12" i="4"/>
  <c r="CE12" i="4" s="1"/>
  <c r="BX12" i="4"/>
  <c r="BY12" i="4" s="1"/>
  <c r="BU12" i="4"/>
  <c r="BV12" i="4" s="1"/>
  <c r="BR12" i="4"/>
  <c r="BS12" i="4" s="1"/>
  <c r="BO12" i="4"/>
  <c r="BP12" i="4" s="1"/>
  <c r="BL12" i="4"/>
  <c r="BM12" i="4" s="1"/>
  <c r="BI12" i="4"/>
  <c r="BJ12" i="4" s="1"/>
  <c r="BF12" i="4"/>
  <c r="BG12" i="4" s="1"/>
  <c r="BC12" i="4"/>
  <c r="BD12" i="4" s="1"/>
  <c r="AZ12" i="4"/>
  <c r="BA12" i="4" s="1"/>
  <c r="AW12" i="4"/>
  <c r="AX12" i="4" s="1"/>
  <c r="AT12" i="4"/>
  <c r="AU12" i="4" s="1"/>
  <c r="AQ12" i="4"/>
  <c r="AR12" i="4" s="1"/>
  <c r="AN12" i="4"/>
  <c r="AO12" i="4" s="1"/>
  <c r="AK12" i="4"/>
  <c r="AL12" i="4" s="1"/>
  <c r="AH12" i="4"/>
  <c r="AI12" i="4" s="1"/>
  <c r="AE12" i="4"/>
  <c r="AF12" i="4" s="1"/>
  <c r="AB12" i="4"/>
  <c r="AC12" i="4" s="1"/>
  <c r="Y12" i="4"/>
  <c r="Z12" i="4" s="1"/>
  <c r="V12" i="4"/>
  <c r="W12" i="4" s="1"/>
  <c r="P12" i="4"/>
  <c r="Q12" i="4" s="1"/>
  <c r="M12" i="4"/>
  <c r="N12" i="4" s="1"/>
  <c r="J12" i="4"/>
  <c r="I12" i="4"/>
  <c r="G12" i="4"/>
  <c r="F12" i="4"/>
  <c r="K12" i="4" l="1"/>
  <c r="H12" i="4"/>
  <c r="EX4" i="4"/>
  <c r="EY4" i="4" s="1"/>
  <c r="EU4" i="4"/>
  <c r="EV4" i="4" s="1"/>
  <c r="ER4" i="4"/>
  <c r="ES4" i="4" s="1"/>
  <c r="EO4" i="4"/>
  <c r="EP4" i="4" s="1"/>
  <c r="EL4" i="4"/>
  <c r="EM4" i="4" s="1"/>
  <c r="EI4" i="4"/>
  <c r="EJ4" i="4" s="1"/>
  <c r="EF4" i="4"/>
  <c r="EG4" i="4" s="1"/>
  <c r="EC4" i="4"/>
  <c r="ED4" i="4" s="1"/>
  <c r="DZ4" i="4"/>
  <c r="EA4" i="4" s="1"/>
  <c r="DW4" i="4"/>
  <c r="DX4" i="4" s="1"/>
  <c r="DT4" i="4"/>
  <c r="DU4" i="4" s="1"/>
  <c r="DQ4" i="4"/>
  <c r="DR4" i="4" s="1"/>
  <c r="DN4" i="4"/>
  <c r="DO4" i="4" s="1"/>
  <c r="DK4" i="4"/>
  <c r="DL4" i="4" s="1"/>
  <c r="DH4" i="4"/>
  <c r="DI4" i="4" s="1"/>
  <c r="DE4" i="4"/>
  <c r="DF4" i="4" s="1"/>
  <c r="DB4" i="4"/>
  <c r="DC4" i="4" s="1"/>
  <c r="CY4" i="4"/>
  <c r="CZ4" i="4" s="1"/>
  <c r="CV4" i="4"/>
  <c r="CW4" i="4" s="1"/>
  <c r="CS4" i="4"/>
  <c r="CT4" i="4" s="1"/>
  <c r="CP4" i="4"/>
  <c r="CQ4" i="4" s="1"/>
  <c r="CM4" i="4"/>
  <c r="CN4" i="4" s="1"/>
  <c r="CJ4" i="4"/>
  <c r="CK4" i="4" s="1"/>
  <c r="CG4" i="4"/>
  <c r="CH4" i="4" s="1"/>
  <c r="CD4" i="4"/>
  <c r="CE4" i="4" s="1"/>
  <c r="CA4" i="4"/>
  <c r="CB4" i="4" s="1"/>
  <c r="BX4" i="4"/>
  <c r="BY4" i="4" s="1"/>
  <c r="BU4" i="4"/>
  <c r="BV4" i="4" s="1"/>
  <c r="BR4" i="4"/>
  <c r="BS4" i="4" s="1"/>
  <c r="BO4" i="4"/>
  <c r="BP4" i="4" s="1"/>
  <c r="BL4" i="4"/>
  <c r="BM4" i="4" s="1"/>
  <c r="BI4" i="4"/>
  <c r="BJ4" i="4" s="1"/>
  <c r="BF4" i="4"/>
  <c r="BG4" i="4" s="1"/>
  <c r="BC4" i="4"/>
  <c r="BD4" i="4" s="1"/>
  <c r="AZ4" i="4"/>
  <c r="BA4" i="4" s="1"/>
  <c r="AW4" i="4"/>
  <c r="AX4" i="4" s="1"/>
  <c r="AT4" i="4"/>
  <c r="AU4" i="4" s="1"/>
  <c r="AQ4" i="4"/>
  <c r="AR4" i="4" s="1"/>
  <c r="AN4" i="4"/>
  <c r="AO4" i="4" s="1"/>
  <c r="AK4" i="4"/>
  <c r="AL4" i="4" s="1"/>
  <c r="AH4" i="4"/>
  <c r="AI4" i="4" s="1"/>
  <c r="AE4" i="4"/>
  <c r="AF4" i="4" s="1"/>
  <c r="AB4" i="4"/>
  <c r="AC4" i="4" s="1"/>
  <c r="Y4" i="4"/>
  <c r="Z4" i="4" s="1"/>
  <c r="V4" i="4"/>
  <c r="W4" i="4" s="1"/>
  <c r="P4" i="4"/>
  <c r="Q4" i="4" s="1"/>
  <c r="M4" i="4"/>
  <c r="N4" i="4" s="1"/>
  <c r="J4" i="4"/>
  <c r="K4" i="4" s="1"/>
  <c r="G4" i="4"/>
  <c r="H4" i="4" s="1"/>
</calcChain>
</file>

<file path=xl/sharedStrings.xml><?xml version="1.0" encoding="utf-8"?>
<sst xmlns="http://schemas.openxmlformats.org/spreadsheetml/2006/main" count="697" uniqueCount="526">
  <si>
    <t>Cod. Regional</t>
  </si>
  <si>
    <t>Regional</t>
  </si>
  <si>
    <t>Cod. Centro</t>
  </si>
  <si>
    <t>Centro</t>
  </si>
  <si>
    <t>REGIONAL ANTIOQUIA</t>
  </si>
  <si>
    <t>CENTRO DEL DISEÑO Y MANUFACTURA DEL CUERO</t>
  </si>
  <si>
    <t/>
  </si>
  <si>
    <t>CÓDIGO REGIONAL</t>
  </si>
  <si>
    <t>Código Regional</t>
  </si>
  <si>
    <t>Código Centro</t>
  </si>
  <si>
    <t>Centro de Formación</t>
  </si>
  <si>
    <t>Auxiliares-Meta Cupos</t>
  </si>
  <si>
    <t>Auxiliares-Ejecución Cupos</t>
  </si>
  <si>
    <t>Auxiliares-% de Ejecución Cupos</t>
  </si>
  <si>
    <t>Auxiliares-Meta Aprendices</t>
  </si>
  <si>
    <t>Auxiliares-Ejecución Aprendices</t>
  </si>
  <si>
    <t>Auxiliares-% de Ejecución Aprendices</t>
  </si>
  <si>
    <t>Operarios-Meta Cupos</t>
  </si>
  <si>
    <t>Operarios-Ejecución Cupos</t>
  </si>
  <si>
    <t>Operarios-% de Ejecución Cupos</t>
  </si>
  <si>
    <t>Operarios-Meta Aprendices</t>
  </si>
  <si>
    <t>Operarios-Ejecución Aprendices</t>
  </si>
  <si>
    <t>Operarios-% de Ejecución Aprendices</t>
  </si>
  <si>
    <t>Técnico Laboral-Meta Cupos</t>
  </si>
  <si>
    <t>Técnico Laboral-Ejecución Cupos</t>
  </si>
  <si>
    <t>Técnico Laboral-% de Ejecución Cupos</t>
  </si>
  <si>
    <t>Técnico Laboral-Meta Aprendices</t>
  </si>
  <si>
    <t>Técnico Laboral-Ejecución Aprendices</t>
  </si>
  <si>
    <t>Técnico Laboral-% de Ejecución Aprendices</t>
  </si>
  <si>
    <t>Profundización Técnica-Meta Cupos</t>
  </si>
  <si>
    <t>Profundización Técnica-Ejecución Cupos</t>
  </si>
  <si>
    <t>Profundización Técnica-% de Ejecución Cupos</t>
  </si>
  <si>
    <t>Profundización Técnica-Meta Aprendices</t>
  </si>
  <si>
    <t>Profundización Técnica-Ejecución Aprendices</t>
  </si>
  <si>
    <t>Profundización Técnica-% de Ejecución Aprendices</t>
  </si>
  <si>
    <t>Total Técnico Laboral y Otros-Meta Cupos</t>
  </si>
  <si>
    <t>Total Técnico Laboral y Otros-Ejecución Cupos</t>
  </si>
  <si>
    <t>Total Técnico Laboral y Otros-% de Ejecución Cupos</t>
  </si>
  <si>
    <t>Total Técnico Laboral y Otros-Meta Aprendices</t>
  </si>
  <si>
    <t>Total Técnico Laboral y Otros-Ejecución Aprendices</t>
  </si>
  <si>
    <t>Total Técnico Laboral y Otros-% de Ejecución Aprendices</t>
  </si>
  <si>
    <t>Tecnólogo-Meta Cupos</t>
  </si>
  <si>
    <t>Tecnólogo-Ejecución Cupos</t>
  </si>
  <si>
    <t>Tecnólogo-% de Ejecución Cupos</t>
  </si>
  <si>
    <t>Tecnólogo-Meta Aprendices</t>
  </si>
  <si>
    <t>Tecnólogo-Ejecución Aprendices</t>
  </si>
  <si>
    <t>Tecnólogo-% de Ejecución Aprendices</t>
  </si>
  <si>
    <t>Educación Superior-Meta Cupos</t>
  </si>
  <si>
    <t>Educación Superior-Ejecución Cupos</t>
  </si>
  <si>
    <t>Educación Superior-% de Ejecución Cupos</t>
  </si>
  <si>
    <t>Educación Superior-Meta Aprendices</t>
  </si>
  <si>
    <t>Educación Superior-Ejecución Aprendices</t>
  </si>
  <si>
    <t>Educación Superior-% de Ejecución Aprendices</t>
  </si>
  <si>
    <t>Formación Titulada-Meta Cupos</t>
  </si>
  <si>
    <t>Formación Titulada-Ejecución Cupos</t>
  </si>
  <si>
    <t>Formación Titulada-% de Ejecución Cupos</t>
  </si>
  <si>
    <t>Formación Titulada-Meta Aprendices</t>
  </si>
  <si>
    <t>Formación Titulada-Ejecución Aprendices</t>
  </si>
  <si>
    <t>Formación Titulada-% de Ejecución Aprendices</t>
  </si>
  <si>
    <t>Formación Complementaria-Meta Cupos</t>
  </si>
  <si>
    <t>Formación Complementaria-Ejecución Cupos</t>
  </si>
  <si>
    <t>Formación Complementaria-% de Ejecución Cupos</t>
  </si>
  <si>
    <t>Formación Complementaria-Meta Aprendices</t>
  </si>
  <si>
    <t>Formación Complementaria-Ejecución Aprendices</t>
  </si>
  <si>
    <t>Formación Complementaria-% de Ejecución Aprendices</t>
  </si>
  <si>
    <t>Formación Profesional Integral-Meta Cupos</t>
  </si>
  <si>
    <t>Formación Profesional Integral-Ejecución Cupos</t>
  </si>
  <si>
    <t>Formación Profesional Integral-% de Ejecución Cupos</t>
  </si>
  <si>
    <t>Formación Profesional Integral-Meta Aprendices</t>
  </si>
  <si>
    <t>Formación Profesional Integral-Ejecución Aprendices</t>
  </si>
  <si>
    <t>Formación Profesional Integral-% de Ejecución Aprendices</t>
  </si>
  <si>
    <t xml:space="preserve"> Formación Complementaria-Ejecución Cupos</t>
  </si>
  <si>
    <t xml:space="preserve"> Programa SER (Sólo CampeSENA)-Meta Cupos</t>
  </si>
  <si>
    <t xml:space="preserve"> Programa SER (Sólo CampeSENA)-Ejecución Cupos</t>
  </si>
  <si>
    <t xml:space="preserve"> Programa SER (Sólo CampeSENA)-% de Ejecución Cupos</t>
  </si>
  <si>
    <t xml:space="preserve"> Programa SER (Sólo CampeSENA)-Meta Aprendices</t>
  </si>
  <si>
    <t xml:space="preserve"> Programa SER (Sólo CampeSENA)-Ejecución Aprendices</t>
  </si>
  <si>
    <t xml:space="preserve"> Programa SER (Sólo CampeSENA)-% de Ejecución Aprendices</t>
  </si>
  <si>
    <t>Cód. Reg.</t>
  </si>
  <si>
    <t>CENTRO DE DISEÑO Y MANUFACTURA DEL CUERO</t>
  </si>
  <si>
    <t>Metas del mes CDMC año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</si>
  <si>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</si>
  <si>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</si>
  <si>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</si>
  <si>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</si>
  <si>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</si>
  <si>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</si>
  <si>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</si>
  <si>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</si>
  <si>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</si>
  <si>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</si>
  <si>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</si>
  <si>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</si>
  <si>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Metas del mes CDMC año 2023</t>
  </si>
  <si>
    <t>Metas del mes CDMC año 2024</t>
  </si>
  <si>
    <t>noviemre</t>
  </si>
  <si>
    <t>NOMBRE REGIONAL</t>
  </si>
  <si>
    <t>Metas del mes CDMC año 2026</t>
  </si>
  <si>
    <t>TECNÓLOGO  Metas Aprendices</t>
  </si>
  <si>
    <t xml:space="preserve"> TECNÓLOGO Ejecución Aprendices </t>
  </si>
  <si>
    <t xml:space="preserve">TECNÓLOGO  % Ejecución Aprendices   </t>
  </si>
  <si>
    <t xml:space="preserve"> TECNÓLOGO Metas Cupos </t>
  </si>
  <si>
    <t xml:space="preserve"> TECNÓLOGO Ejecución Cupos </t>
  </si>
  <si>
    <t xml:space="preserve">TECNÓLOGO % Ejecución Cupos                        </t>
  </si>
  <si>
    <t>TOTAL EDUCACIÓN SUPERIOR  (a)  Metas Aprendices</t>
  </si>
  <si>
    <t xml:space="preserve"> TOTAL EDUCACIÓN SUPERIOR  (a) Ejecución Aprendices </t>
  </si>
  <si>
    <t xml:space="preserve"> TOTAL EDUCACIÓN SUPERIOR  (a) % Ejecución Aprendices  </t>
  </si>
  <si>
    <t xml:space="preserve"> TOTAL EDUCACIÓN SUPERIOR  (a) Metas Cupos </t>
  </si>
  <si>
    <t xml:space="preserve">TOTAL EDUCACIÓN SUPERIOR  (a)  Ejecución Cupos </t>
  </si>
  <si>
    <t xml:space="preserve">TOTAL EDUCACIÓN SUPERIOR  (a)  % Ejecución Cupos                     </t>
  </si>
  <si>
    <t>OPERARIOS  Metas Aprendices</t>
  </si>
  <si>
    <t xml:space="preserve"> OPERARIOS Ejecución Aprendices </t>
  </si>
  <si>
    <t xml:space="preserve">OPERARIOS  % Ejecución Aprendices   </t>
  </si>
  <si>
    <t xml:space="preserve">OPERARIOS  Metas Cupos </t>
  </si>
  <si>
    <t xml:space="preserve">OPERARIOS  Ejecución Cupos </t>
  </si>
  <si>
    <t xml:space="preserve">OPERARIOS  % Ejecución Cupos                       </t>
  </si>
  <si>
    <t xml:space="preserve"> TÉCNICOS  Metas Aprendices</t>
  </si>
  <si>
    <t xml:space="preserve"> TÉCNICOS  Ejecución Aprendices </t>
  </si>
  <si>
    <t xml:space="preserve"> TÉCNICOS  % Ejecución Aprendices </t>
  </si>
  <si>
    <t xml:space="preserve"> TÉCNICOS  Metas Cupos </t>
  </si>
  <si>
    <t xml:space="preserve">  TÉCNICOS Ejecución Cupos </t>
  </si>
  <si>
    <t xml:space="preserve"> TÉCNICOS  % Ejecución Cupos                         </t>
  </si>
  <si>
    <t>TOTAL TÉCNICO LABORAL Y OTROS (b)  Metas Aprendices</t>
  </si>
  <si>
    <t xml:space="preserve">TOTAL TÉCNICO LABORAL Y OTROS (b)  Ejecución Aprendices </t>
  </si>
  <si>
    <t xml:space="preserve"> TOTAL TÉCNICO LABORAL Y OTROS (b) % Ejecución Aprendices </t>
  </si>
  <si>
    <t xml:space="preserve">TOTAL TÉCNICO LABORAL Y OTROS (b)  Metas Cupos </t>
  </si>
  <si>
    <t xml:space="preserve">TOTAL TÉCNICO LABORAL Y OTROS (b)  Ejecución Cupos </t>
  </si>
  <si>
    <t xml:space="preserve">TOTAL TÉCNICO LABORAL Y OTROS (b)  % Ejecución Cupos                         </t>
  </si>
  <si>
    <t>TOTAL  FORMACIÓN TITULADA  Metas Aprendices</t>
  </si>
  <si>
    <t xml:space="preserve"> TOTAL  FORMACIÓN TITULADA Ejecución Aprendices </t>
  </si>
  <si>
    <t xml:space="preserve">TOTAL  FORMACIÓN TITULADA  % Ejecución Aprendices </t>
  </si>
  <si>
    <t xml:space="preserve">TOTAL  FORMACIÓN TITULADA  Metas Cupos </t>
  </si>
  <si>
    <t xml:space="preserve">TOTAL  FORMACIÓN TITULADA  Ejecución Cupos </t>
  </si>
  <si>
    <t xml:space="preserve">TOTAL  FORMACIÓN TITULADA  % Ejecución Cupos                         </t>
  </si>
  <si>
    <t>(c)
FORMACIÓN COMPLEMENTARIA Metas Aprendices</t>
  </si>
  <si>
    <t xml:space="preserve">(c)
FORMACIÓN COMPLEMENTARIA Ejecución Aprendices </t>
  </si>
  <si>
    <t xml:space="preserve">(c)
FORMACIÓN COMPLEMENTARIA % Ejecución Aprendices </t>
  </si>
  <si>
    <t xml:space="preserve">(c)
FORMACIÓN COMPLEMENTARIA Metas Cupos </t>
  </si>
  <si>
    <t xml:space="preserve">(c)
FORMACIÓN COMPLEMENTARIA  Ejecución Cupos </t>
  </si>
  <si>
    <t xml:space="preserve">(c)
FORMACIÓN COMPLEMENTARIA  % Ejecución Cupos                        </t>
  </si>
  <si>
    <t>(a+b+c)
TOTAL FORMACIÓN PROFESIONAL INTEGRAL  Metas Aprendices</t>
  </si>
  <si>
    <t xml:space="preserve"> (a+b+c)
TOTAL FORMACIÓN PROFESIONAL INTEGRAL Ejecución Aprendices </t>
  </si>
  <si>
    <t xml:space="preserve">(a+b+c)
TOTAL FORMACIÓN PROFESIONAL INTEGRAL  % Ejecución Aprendices </t>
  </si>
  <si>
    <t xml:space="preserve">(a+b+c)
TOTAL FORMACIÓN PROFESIONAL INTEGRAL  Metas Cupos </t>
  </si>
  <si>
    <t xml:space="preserve">(a+b+c)
TOTAL FORMACIÓN PROFESIONAL INTEGRAL Ejecución Cupos </t>
  </si>
  <si>
    <t xml:space="preserve">(a+b+c)
TOTAL FORMACIÓN PROFESIONAL INTEGRAL  % Ejecución Cupos             </t>
  </si>
  <si>
    <t xml:space="preserve"> EDUCACION SUPERIOR Tecnólogos Regular - Presencial Cupos</t>
  </si>
  <si>
    <t xml:space="preserve"> EDUCACION SUPERIOR Tecnólogos Regular - Presencial Ejecución</t>
  </si>
  <si>
    <t xml:space="preserve"> EDUCACION SUPERIOR Tecnólogos Regular - Presencial % Ejecución</t>
  </si>
  <si>
    <t>EDUCACION SUPERIOR Tecnólogos Regular - A Distancia Cupos</t>
  </si>
  <si>
    <t>EDUCACION SUPERIOR Tecnólogos Regular - A Distancia Ejecución</t>
  </si>
  <si>
    <t>EDUCACION SUPERIOR Tecnólogos Regular - A Distancia % Ejecución</t>
  </si>
  <si>
    <t>EDUCACION SUPERIOR Tecnólogos CampeSENA Cupos</t>
  </si>
  <si>
    <t>EDUCACION SUPERIOR Tecnólogos CampeSENA Ejecución</t>
  </si>
  <si>
    <t>EDUCACION SUPERIOR Tecnólogos CampeSENA % Ejecución</t>
  </si>
  <si>
    <t>EDUCACION SUPERIORTecnólogos Full Popular Cupos</t>
  </si>
  <si>
    <t>EDUCACION SUPERIORTecnólogos Full Popular Ejecución</t>
  </si>
  <si>
    <t>EDUCACION SUPERIORTecnólogos Full Popular % Ejecución</t>
  </si>
  <si>
    <t>EDUCACION SUPERIOR SubTotal Tecnólogos (E)Cupos</t>
  </si>
  <si>
    <t>EDUCACION SUPERIOR SubTotal Tecnólogos € Ejecución</t>
  </si>
  <si>
    <t>EDUCACION SUPERIOR SubTotal Tecnólogos € % Ejecución</t>
  </si>
  <si>
    <t>EDUCACION SUPERIOR (=E) Cupos</t>
  </si>
  <si>
    <t>EDUCACION SUPERIOR (=E) Ejecución</t>
  </si>
  <si>
    <t>EDUCACION SUPERIOR (=E) % Ejecución</t>
  </si>
  <si>
    <t>FORMACIÓN LABORAL (Técnicos + Auxiliares + Operarios + Profundización Técnica) Operarios Regular Cupos</t>
  </si>
  <si>
    <t>FORMACIÓN LABORAL (Técnicos + Auxiliares + Operarios + Profundización Técnica) Operarios Regular Ejecución</t>
  </si>
  <si>
    <t>FORMACIÓN LABORAL (Técnicos + Auxiliares + Operarios + Profundización Técnica) Operarios Regular % Ejecución</t>
  </si>
  <si>
    <t>FORMACIÓN LABORAL (Técnicos + Auxiliares + Operarios + Profundización Técnica) Operarios CampeSENA Cupos</t>
  </si>
  <si>
    <t>FORMACIÓN LABORAL (Técnicos + Auxiliares + Operarios + Profundización Técnica) Operarios CampeSENA Ejecución</t>
  </si>
  <si>
    <t>FORMACIÓN LABORAL (Técnicos + Auxiliares + Operarios + Profundización Técnica) Operarios CampeSENA % Ejecución</t>
  </si>
  <si>
    <t>FORMACIÓN LABORAL (Técnicos + Auxiliares + Operarios + Profundización Técnica) Operarios Full PopularCupos</t>
  </si>
  <si>
    <t>FORMACIÓN LABORAL (Técnicos + Auxiliares + Operarios + Profundización Técnica) Operarios Full Popular Ejecución</t>
  </si>
  <si>
    <t>FORMACIÓN LABORAL (Técnicos + Auxiliares + Operarios + Profundización Técnica) Operarios Full Popular % Ejecución</t>
  </si>
  <si>
    <t>FORMACIÓN LABORAL (Técnicos + Auxiliares + Operarios + Profundización Técnica) SubTotal Operarios (B) Cupos</t>
  </si>
  <si>
    <t>FORMACIÓN LABORAL (Técnicos + Auxiliares + Operarios + Profundización Técnica) SubTotal Operarios (B) Ejecución</t>
  </si>
  <si>
    <t>FORMACIÓN LABORAL (Técnicos + Auxiliares + Operarios + Profundización Técnica) SubTotal Operarios (B) % Ejecución</t>
  </si>
  <si>
    <t>FORMACIÓN LABORAL (Técnicos + Auxiliares + Operarios + Profundización Técnica) Auxiliares Regular Cupos</t>
  </si>
  <si>
    <t>FORMACIÓN LABORAL (Técnicos + Auxiliares + Operarios + Profundización Técnica) Auxiliares Regular Ejecución</t>
  </si>
  <si>
    <t>FORMACIÓN LABORAL (Técnicos + Auxiliares + Operarios + Profundización Técnica) Auxiliares Regular % Ejecución</t>
  </si>
  <si>
    <t>FORMACIÓN LABORAL (Técnicos + Auxiliares + Operarios + Profundización Técnica) Auxiliares CampeSENACupos</t>
  </si>
  <si>
    <t>FORMACIÓN LABORAL (Técnicos + Auxiliares + Operarios + Profundización Técnica) Auxiliares CampeSENAEjecución</t>
  </si>
  <si>
    <t>FORMACIÓN LABORAL (Técnicos + Auxiliares + Operarios + Profundización Técnica) Auxiliares CampeSENA % Ejecución</t>
  </si>
  <si>
    <t>FORMACIÓN LABORAL (Técnicos + Auxiliares + Operarios + Profundización Técnica) Auxiliares Full PopularCupos</t>
  </si>
  <si>
    <t>FORMACIÓN LABORAL (Técnicos + Auxiliares + Operarios + Profundización Técnica) Auxiliares Full PopularEjecución</t>
  </si>
  <si>
    <t>FORMACIÓN LABORAL (Técnicos + Auxiliares + Operarios + Profundización Técnica) Auxiliares Full Popular% Ejecución</t>
  </si>
  <si>
    <t>FORMACIÓN LABORAL (Técnicos + Auxiliares + Operarios + Profundización Técnica) SubTotal Auxiliares (A)Cupos</t>
  </si>
  <si>
    <t>FORMACIÓN LABORAL (Técnicos + Auxiliares + Operarios + Profundización Técnica) SubTotal Auxiliares (A)Ejecución</t>
  </si>
  <si>
    <t>FORMACIÓN LABORAL (Técnicos + Auxiliares + Operarios + Profundización Técnica) SubTotal Auxiliares (A)% Ejecución</t>
  </si>
  <si>
    <t>FORMACIÓN LABORAL (Técnicos + Auxiliares + Operarios + Profundización Técnica) Técnico Laboral Regular - PresencialCupos</t>
  </si>
  <si>
    <t>FORMACIÓN LABORAL (Técnicos + Auxiliares + Operarios + Profundización Técnica) Técnico Laboral Regular - PresencialEjecución</t>
  </si>
  <si>
    <t>FORMACIÓN LABORAL (Técnicos + Auxiliares + Operarios + Profundización Técnica) Técnico Laboral Regular - Presencial % Ejecución</t>
  </si>
  <si>
    <t>FORMACIÓN LABORAL (Técnicos + Auxiliares + Operarios + Profundización Técnica) Técnico Laboral CampeSENA Cupos</t>
  </si>
  <si>
    <t>FORMACIÓN LABORAL (Técnicos + Auxiliares + Operarios + Profundización Técnica) Técnico Laboral CampeSENA Ejecución</t>
  </si>
  <si>
    <t>FORMACIÓN LABORAL (Técnicos + Auxiliares + Operarios + Profundización Técnica) Técnico Laboral CampeSENA % Ejecución</t>
  </si>
  <si>
    <t>FORMACIÓN LABORAL (Técnicos + Auxiliares + Operarios + Profundización Técnica) Técnico Laboral Full Popular Cupos</t>
  </si>
  <si>
    <t>FORMACIÓN LABORAL (Técnicos + Auxiliares + Operarios + Profundización Técnica) Técnico Laboral Full Popular Ejecución</t>
  </si>
  <si>
    <t>FORMACIÓN LABORAL (Técnicos + Auxiliares + Operarios + Profundización Técnica) Técnico Laboral Full Popular % Ejecución</t>
  </si>
  <si>
    <t>FORMACIÓN LABORAL (Técnicos + Auxiliares + Operarios + Profundización Técnica) Técnico Laboral Articulación con la Media Cupos</t>
  </si>
  <si>
    <t>FORMACIÓN LABORAL (Técnicos + Auxiliares + Operarios + Profundización Técnica) Técnico Laboral Articulación con la Media Ejecución</t>
  </si>
  <si>
    <t>FORMACIÓN LABORAL (Técnicos + Auxiliares + Operarios + Profundización Técnica) Técnico Laboral Articulación con la Media % Ejecución</t>
  </si>
  <si>
    <t>FORMACIÓN LABORAL (Técnicos + Auxiliares + Operarios + Profundización Técnica) SubTotal Técnico Laboral © Cupos</t>
  </si>
  <si>
    <t>FORMACIÓN LABORAL (Técnicos + Auxiliares + Operarios + Profundización Técnica) SubTotal Técnico Laboral © Ejecución</t>
  </si>
  <si>
    <t>FORMACIÓN LABORAL (Técnicos + Auxiliares + Operarios + Profundización Técnica) SubTotal Técnico Laboral © % Ejecución</t>
  </si>
  <si>
    <t>FORMACIÓN LABORAL (Técnicos + Auxiliares + Operarios + Profundización Técnica) Profundización Técnica (T) Cupos</t>
  </si>
  <si>
    <t>FORMACIÓN LABORAL (Técnicos + Auxiliares + Operarios + Profundización Técnica) Profundización Técnica (T) Ejecución</t>
  </si>
  <si>
    <t>FORMACIÓN LABORAL (Técnicos + Auxiliares + Operarios + Profundización Técnica) Profundización Técnica (T) % Ejecución</t>
  </si>
  <si>
    <t>FORMACIÓN LABORAL (Técnicos + Auxiliares + Operarios + Profundización Técnica) TOTAL FORMACIÓN LABORAL (D=A+B+C+T)Cupos</t>
  </si>
  <si>
    <t>FORMACIÓN LABORAL (Técnicos + Auxiliares + Operarios + Profundización Técnica) TOTAL FORMACIÓN LABORAL (D=A+B+C+T) Ejecución</t>
  </si>
  <si>
    <t>FORMACIÓN LABORAL (Técnicos + Auxiliares + Operarios + Profundización Técnica) TOTAL FORMACIÓN LABORAL (D=A+B+C+T) % Ejecución</t>
  </si>
  <si>
    <t>TOTAL FORMACION TITULADA (F =D+E)  Cupos</t>
  </si>
  <si>
    <t>TOTAL FORMACION TITULADA (F =D+E)  Ejecución</t>
  </si>
  <si>
    <t>TOTAL FORMACION TITULADA (F =D+E)  % Ejecución</t>
  </si>
  <si>
    <t>FORMACIÓN COMPLEMENTARIA Programa de Bilingüismo - Presencial (J) Cupos</t>
  </si>
  <si>
    <t>FORMACIÓN COMPLEMENTARIA Programa de Bilingüismo - Presencial (J) Ejecución</t>
  </si>
  <si>
    <t>FORMACIÓN COMPLEMENTARIA Programa de Bilingüismo - Presencial (J) % Ejecución</t>
  </si>
  <si>
    <t>FORMACIÓN COMPLEMENTARIA SubTotal Programa de Bilinguïsmo (K = I + J)Cupos</t>
  </si>
  <si>
    <t>FORMACIÓN COMPLEMENTARIA SubTotal Programa de Bilinguïsmo (K = I + J) Ejecución</t>
  </si>
  <si>
    <t>FORMACIÓN COMPLEMENTARIA SubTotal Programa de Bilinguïsmo (K = I + J) % Ejecución</t>
  </si>
  <si>
    <t>Formación Complementaria CampeSENA (L) Cupos</t>
  </si>
  <si>
    <t>Formación Complementaria CampeSENA (L) Ejecución</t>
  </si>
  <si>
    <t>Formación Complementaria CampeSENA (L) % Ejecución</t>
  </si>
  <si>
    <t>Formación Complementaria Full Popular (M) Cupos</t>
  </si>
  <si>
    <t>Formación Complementaria Full Popular (M) Ejecución</t>
  </si>
  <si>
    <t>Formación Complementaria Full Popular (M) % Ejecución</t>
  </si>
  <si>
    <t>TOTAL FORMACION COMPLEMENTARIA (N = G+H+K+L+M) Cupos</t>
  </si>
  <si>
    <t>TOTAL FORMACION COMPLEMENTARIA (N = G+H+K+L+M) Ejecución</t>
  </si>
  <si>
    <t>TOTAL FORMACION COMPLEMENTARIA (N = G+H+K+L+M) % Ejecución</t>
  </si>
  <si>
    <t>TOTAL FORMACION PROFESIONAL INTEGRAL (O=N+F)Cupos</t>
  </si>
  <si>
    <t>TOTAL FORMACION PROFESIONAL INTEGRAL (O=N+F)Ejecución</t>
  </si>
  <si>
    <t>TOTAL FORMACION PROFESIONAL INTEGRAL (O=N+F) % Ejecución</t>
  </si>
  <si>
    <t>METAS PROGRAMAS RELEVANTES Total Formación Profesional CampeSENA Cupos</t>
  </si>
  <si>
    <t>METAS PROGRAMAS RELEVANTES Total Formación Profesional CampeSENA Ejecución</t>
  </si>
  <si>
    <t>METAS PROGRAMAS RELEVANTES Total Formación Profesional CampeSENA % Ejecución</t>
  </si>
  <si>
    <t>METAS PROGRAMAS RELEVANTES Total Formación Profesional Full PopularCupos</t>
  </si>
  <si>
    <t>METAS PROGRAMAS RELEVANTES Total Formación Profesional Full Popular Ejecución</t>
  </si>
  <si>
    <t>METAS PROGRAMAS RELEVANTES Total Formación Profesional Full Popular % Ejecución</t>
  </si>
  <si>
    <t>OTRAS METAS DE FORMACIÓN (Retención)  FORMACIÓN LABORAL  - Presencial
Meta</t>
  </si>
  <si>
    <t>OTRAS METAS DE FORMACIÓN (Retención   FORMACIÓN LABORAL  - Presencial
Ejecución</t>
  </si>
  <si>
    <t xml:space="preserve"> OTRAS METAS DE FORMACIÓN (Retención )FORMACIÓN LABORAL  - Presencial
% Ejecución</t>
  </si>
  <si>
    <t>OTRAS METAS DE FORMACIÓN (Retención ) TOTAL FORMACIÓN LABORAL
Meta</t>
  </si>
  <si>
    <t>OTRAS METAS DE FORMACIÓN (Retención ) TOTAL FORMACIÓN LABORAL
Ejecución</t>
  </si>
  <si>
    <t>OTRAS METAS DE FORMACIÓN (Retención ) TOTAL FORMACIÓN LABORAL
% Ejecución</t>
  </si>
  <si>
    <t>OTRAS METAS DE FORMACIÓN (Retención) EDUCACION SUPERIOR -   Presencial
Meta</t>
  </si>
  <si>
    <t>OTRAS METAS DE FORMACIÓN (Retención ) EDUCACION SUPERIOR -   Presencial
Ejecución</t>
  </si>
  <si>
    <t>OTRAS METAS DE FORMACIÓN (Retención) EDUCACION SUPERIOR -   Presencial
% Ejecución</t>
  </si>
  <si>
    <t xml:space="preserve">OTRAS METAS DE FORMACIÓN (Retención ) TOTAL EDUCACION SUPERIOR
Meta </t>
  </si>
  <si>
    <t xml:space="preserve">OTRAS METAS DE FORMACIÓN (Retención ) TOTAL EDUCACION SUPERIOR
Ejecución </t>
  </si>
  <si>
    <t xml:space="preserve">OTRAS METAS DE FORMACIÓN (Retención) TOTAL EDUCACION SUPERIOR
% Ejecución </t>
  </si>
  <si>
    <t xml:space="preserve">OTRAS METAS DE FORMACIÓN (Retención ) TOTAL TITULADA -Presencial
Meta  </t>
  </si>
  <si>
    <t xml:space="preserve">OTRAS METAS DE FORMACIÓN (Retención ) TOTAL TITULADA -Presencial
Ejecución </t>
  </si>
  <si>
    <t xml:space="preserve">OTRAS METAS DE FORMACIÓN (Retención ) TOTAL TITULADA -Presencial
% Ejecución  </t>
  </si>
  <si>
    <t>OTRAS METAS DE FORMACIÓN (Retención ) TOTAL TITULADA
Meta</t>
  </si>
  <si>
    <t>OTRAS METAS DE FORMACIÓN (Retención ) TOTAL TITULADA
Ejecución</t>
  </si>
  <si>
    <t>OTRAS METAS DE FORMACIÓN (Retención) TOTAL TITULADA
% Ejecución</t>
  </si>
  <si>
    <t>OTRAS METAS DE FORMACIÓN (Retención)COMPLEMENTARIA - Presencial
Meta</t>
  </si>
  <si>
    <t>OTRAS METAS DE FORMACIÓN (Retención)COMPLEMENTARIA - Presencial
Ejecución</t>
  </si>
  <si>
    <t>OTRAS METAS DE FORMACIÓN (Retención)COMPLEMENTARIA - Presencial
% Ejecución</t>
  </si>
  <si>
    <t>OTRAS METAS DE FORMACIÓN (Retención)TOTAL COMPLEMENTARIA
Meta</t>
  </si>
  <si>
    <t>OTRAS METAS DE FORMACIÓN (Retención) TOTAL COMPLEMENTARIA
Ejecución</t>
  </si>
  <si>
    <t>OTRAS METAS DE FORMACIÓN (Retención) TOTAL COMPLEMENTARIA
% Ejecución</t>
  </si>
  <si>
    <t>OTRAS METAS DE FORMACIÓN (Retención) TOTAL FORMACIÓN PROFESIONAL - Presencial
Meta</t>
  </si>
  <si>
    <t>OTRAS METAS DE FORMACIÓN (Retención) TOTAL FORMACIÓN PROFESIONAL - Presencial
Ejecución</t>
  </si>
  <si>
    <t>OTRAS METAS DE FORMACIÓN (Retención) TOTAL FORMACIÓN PROFESIONAL - Presencial
% Ejecución</t>
  </si>
  <si>
    <t>OTRAS METAS DE FORMACIÓN (Retención) TOTAL FORMACIÓN PROFESIONAL
Meta</t>
  </si>
  <si>
    <t>OTRAS METAS DE FORMACIÓN (Retención) TOTAL FORMACIÓN PROFESIONAL
Ejecución</t>
  </si>
  <si>
    <t>OTRAS METAS DE FORMACIÓN (Retención) TOTAL FORMACIÓN PROFESIONAL
% Ejecución</t>
  </si>
  <si>
    <t>OTRAS METAS DE FORMACIÓN (Retención) CampeSENA
Meta</t>
  </si>
  <si>
    <t>OTRAS METAS DE FORMACIÓN (Retención) CampeSENA
Ejecución</t>
  </si>
  <si>
    <t>OTRAS METAS DE FORMACIÓN (Retención) CampeSENA
% Ejecución</t>
  </si>
  <si>
    <t>OTRAS METAS DE FORMACIÓN (Retención) Full Popular
Meta</t>
  </si>
  <si>
    <t>OTRAS METAS DE FORMACIÓN (Retención) Full Popular
Ejecución</t>
  </si>
  <si>
    <t>OTRAS METAS DE FORMACIÓN (Retención) Full Popular
% Ejecución</t>
  </si>
  <si>
    <t>OTRAS METAS DE FORMACIÓN (Certificación) FORMACIÓN LABORAL
Meta</t>
  </si>
  <si>
    <t>OTRAS METAS DE FORMACIÓN (Certificación)FORMACIÓN LABORAL
Ejecución</t>
  </si>
  <si>
    <t>OTRAS METAS DE FORMACIÓN (Certificación)FORMACIÓN LABORAL
% Ejecución</t>
  </si>
  <si>
    <t xml:space="preserve">OTRAS METAS DE FORMACIÓN (Certificación)EDUCACIÓN SUPERIOR
Meta </t>
  </si>
  <si>
    <t xml:space="preserve">OTRAS METAS DE FORMACIÓN (Certificación)EDUCACIÓN SUPERIOR
Ejecución </t>
  </si>
  <si>
    <t xml:space="preserve">OTRAS METAS DE FORMACIÓN (Certificación)EDUCACIÓN SUPERIOR
% Ejecución </t>
  </si>
  <si>
    <t xml:space="preserve">OTRAS METAS DE FORMACIÓN (Certificación)TOTAL FORMACIÓN TITULADA
Meta </t>
  </si>
  <si>
    <t xml:space="preserve">OTRAS METAS DE FORMACIÓN (Certificación)TOTAL FORMACIÓN TITULADA
Ejecución </t>
  </si>
  <si>
    <t xml:space="preserve">OTRAS METAS DE FORMACIÓN (Certificación)TOTAL FORMACIÓN TITULADA
% Ejecución </t>
  </si>
  <si>
    <t xml:space="preserve">OTRAS METAS DE FORMACIÓN (Certificación)TOTAL FORMACIÓN COMPLEMENTARIA 
Meta </t>
  </si>
  <si>
    <t xml:space="preserve">OTRAS METAS DE FORMACIÓN (Certificación)TOTAL FORMACIÓN COMPLEMENTARIA
Ejecución </t>
  </si>
  <si>
    <t xml:space="preserve">OTRAS METAS DE FORMACIÓN (Certificación)TOTAL FORMACIÓN COMPLEMENTARIA
% Ejecución </t>
  </si>
  <si>
    <t>OTRAS METAS DE FORMACIÓN (Certificación)TOTAL FORMACIÓN PROFESIONAL INTEGRAL
Meta</t>
  </si>
  <si>
    <t>OTRAS METAS DE FORMACIÓN (Certificación)TOTAL FORMACIÓN PROFESIONAL INTEGRAL
Ejecución</t>
  </si>
  <si>
    <t>OTRAS METAS DE FORMACIÓN (Certificación)TOTAL FORMACIÓN PROFESIONAL INTEGRAL
% Ejecución</t>
  </si>
  <si>
    <t>OTRAS METAS DE FORMACIÓN (Certificación)ARTICULACION CON LA MEDIA - (Incluidas en Formación laboral)
Meta</t>
  </si>
  <si>
    <t>OTRAS METAS DE FORMACIÓN (Certificación) ARTICULACION CON LA MEDIA - (Incluidas en Formación laboral)
Ejecución</t>
  </si>
  <si>
    <t>OTRAS METAS DE FORMACIÓN (Certificación) ARTICULACION CON LA MEDIA - (Incluidas en Formación laboral)
% Ejecución</t>
  </si>
  <si>
    <t>OTRAS METAS DE FORMACIÓN (Certificación) CampeSENA (Incluidas en Formación Profesional Integral)
Meta</t>
  </si>
  <si>
    <t>OTRAS METAS DE FORMACIÓN (Certificación) CampeSENA (Incluidas en Formación Profesional Integral)
Ejecución</t>
  </si>
  <si>
    <t>OTRAS METAS DE FORMACIÓN (Certificación) CampeSENA (Incluidas en Formación Profesional Integral)
% Ejecución</t>
  </si>
  <si>
    <t>OTRAS METAS DE FORMACIÓN (Certificación) Full Popular (Incluidas en Formación Profesional Integral)
Meta</t>
  </si>
  <si>
    <t>OTRAS METAS DE FORMACIÓN (Certificación) Full Popular (Incluidas en Formación Profesional Integral)
Ejecución</t>
  </si>
  <si>
    <t>OTRAS METAS DE FORMACIÓN (Certificación) Full Popular (Incluidas en Formación Profesional Integral)
% Ejecución</t>
  </si>
  <si>
    <t>FORMACIÓN PROFESIONAL INTEGRAL Meta
Tecnólogos Regular - Presencial</t>
  </si>
  <si>
    <t>FORMACIÓN PROFESIONAL INTEGRAL Ejecución
Regular - Presencial</t>
  </si>
  <si>
    <t>FORMACIÓN PROFESIONAL INTEGRAL % 
Ejecución Regular - Presencial</t>
  </si>
  <si>
    <t>FORMACIÓN PROFESIONAL INTEGRAL Meta Tecnólogos Regular - A Distancia</t>
  </si>
  <si>
    <t>FORMACIÓN PROFESIONAL INTEGRAL Ejecución Tecnólogos Regular - A Distancia</t>
  </si>
  <si>
    <t>FORMACIÓN PROFESIONAL INTEGRAL % Ejecución Tecnólogos Regular - A Distancia</t>
  </si>
  <si>
    <t>FORMACIÓN PROFESIONAL INTEGRAL Meta Tecnólogos- CampeSENA</t>
  </si>
  <si>
    <t>FORMACIÓN PROFESIONAL INTEGRAL Ejecución 
Tecnólogos- CampeSENA</t>
  </si>
  <si>
    <t>FORMACIÓN PROFESIONAL INTEGRAL % Ejecución Tecnólogos- CampeSENA</t>
  </si>
  <si>
    <t>FORMACIÓN PROFESIONAL INTEGRAL Meta Tecnólogos- Full Popular</t>
  </si>
  <si>
    <t>FORMACIÓN PROFESIONAL INTEGRAL Ejecución Tecnólogos- Full Popular</t>
  </si>
  <si>
    <t>FORMACIÓN PROFESIONAL INTEGRAL % ejecución Tecnólogos- Full Popular</t>
  </si>
  <si>
    <t>FORMACIÓN PROFESIONAL INTEGRAL Meta Tecnólogos- FIC</t>
  </si>
  <si>
    <t>FORMACIÓN PROFESIONAL INTEGRAL Ejecución Tecnólogos- FIC</t>
  </si>
  <si>
    <t>FORMACIÓN PROFESIONAL INTEGRAL % Ejecución Tecnólogos- FIC</t>
  </si>
  <si>
    <t>FORMACIÓN PROFESIONAL INTEGRAL Meta Total Tecnólogos (A)</t>
  </si>
  <si>
    <t xml:space="preserve">FORMACIÓN PROFESIONAL INTEGRAL Ejecución Total Tecnólogos </t>
  </si>
  <si>
    <t xml:space="preserve">FORMACIÓN PROFESIONAL INTEGRAL % Ejecución Total Tecnólogos </t>
  </si>
  <si>
    <t>FORMACIÓN PROFESIONAL INTEGRAL Meta 
Formación Tecnológica 
(B) = (A)</t>
  </si>
  <si>
    <t xml:space="preserve">FORMACIÓN PROFESIONAL INTEGRAL Ejecución  Formación Tecnológica </t>
  </si>
  <si>
    <t xml:space="preserve">FORMACIÓN PROFESIONAL INTEGRAL % Formación Tecnológica </t>
  </si>
  <si>
    <t>FORMACIÓN PROFESIONAL INTEGRAL Meta Operarios -Regular</t>
  </si>
  <si>
    <t>FORMACIÓN PROFESIONAL INTEGRAL Ejecución Operarios -Regular</t>
  </si>
  <si>
    <t>FORMACIÓN PROFESIONAL INTEGRAL % Ejecución Operarios -Regular</t>
  </si>
  <si>
    <t>FORMACIÓN PROFESIONAL INTEGRAL Meta Operarios- CampeSENA</t>
  </si>
  <si>
    <t>FORMACIÓN PROFESIONAL INTEGRAL Ejecución Operarios- CampeSENA</t>
  </si>
  <si>
    <t>FORMACIÓN PROFESIONAL INTEGRAL % Ejecución Operarios- CampeSENA</t>
  </si>
  <si>
    <t>FORMACIÓN PROFESIONAL INTEGRAL Meta Operarios- Full Popular</t>
  </si>
  <si>
    <t>FORMACIÓN PROFESIONAL INTEGRAL Ejecución Operarios- Full Popular</t>
  </si>
  <si>
    <t>FORMACIÓN PROFESIONAL INTEGRAL % Ejecución Operarios- Full Popular</t>
  </si>
  <si>
    <t>FORMACIÓN PROFESIONAL INTEGRAL Meta Operarios -FIC</t>
  </si>
  <si>
    <t>FORMACIÓN PROFESIONAL INTEGRAL Ejecución Operarios -FIC</t>
  </si>
  <si>
    <t>FORMACIÓN PROFESIONAL INTEGRAL % Ejecución Operarios -FIC</t>
  </si>
  <si>
    <t>FORMACIÓN PROFESIONAL INTEGRAL Meta Total Operarios (C)</t>
  </si>
  <si>
    <t xml:space="preserve">FORMACIÓN PROFESIONAL INTEGRAL Ejecución Total Operarios </t>
  </si>
  <si>
    <t xml:space="preserve">FORMACIÓN PROFESIONAL INTEGRAL % Ejecución Total Operarios </t>
  </si>
  <si>
    <t>FORMACIÓN PROFESIONAL INTEGRAL Meta Auxiliares- Regular</t>
  </si>
  <si>
    <t>FORMACIÓN PROFESIONAL INTEGRAL Ejecución Auxiliares- Regular</t>
  </si>
  <si>
    <t>FORMACIÓN PROFESIONAL INTEGRAL % Ejecución Auxiliares- Regular</t>
  </si>
  <si>
    <t>FORMACIÓN PROFESIONAL INTEGRAL Meta Auxiliares- CampeSENA</t>
  </si>
  <si>
    <t>FORMACIÓN PROFESIONAL INTEGRAL Ejecución Auxiliares- CampeSENA</t>
  </si>
  <si>
    <t>FORMACIÓN PROFESIONAL INTEGRAL % Ejecución Auxiliares- CampeSENA</t>
  </si>
  <si>
    <t>FORMACIÓN PROFESIONAL INTEGRAL Meta Auxiliares- Full Popular</t>
  </si>
  <si>
    <t>FORMACIÓN PROFESIONAL INTEGRAL Ejecución Auxiliares- Full Popular</t>
  </si>
  <si>
    <t>FORMACIÓN PROFESIONAL INTEGRAL % Ejecución Auxiliares- Full Popular</t>
  </si>
  <si>
    <t>FORMACIÓN PROFESIONAL INTEGRAL Meta Total Auxiliares (D)</t>
  </si>
  <si>
    <t xml:space="preserve">FORMACIÓN PROFESIONAL INTEGRAL Ejecución Total Auxiliares </t>
  </si>
  <si>
    <t xml:space="preserve">FORMACIÓN PROFESIONAL INTEGRAL % Ejecución Total Auxiliares </t>
  </si>
  <si>
    <t>FORMACIÓN PROFESIONAL INTEGRAL Meta Técnico Regular - Presencial y a Distancia</t>
  </si>
  <si>
    <t>FORMACIÓN PROFESIONAL INTEGRAL Meta
 Ejecución Técnico Regular - Presencial y a Distancia</t>
  </si>
  <si>
    <t>FORMACIÓN PROFESIONAL INTEGRAL % ejecución Técnico Regular - Presencial y a Distancia</t>
  </si>
  <si>
    <t>FORMACIÓN PROFESIONAL INTEGRAL Meta Técnico- CampeSENA</t>
  </si>
  <si>
    <t>FORMACIÓN PROFESIONAL INTEGRAL Ejecución Técnico- CampeSENA</t>
  </si>
  <si>
    <t>FORMACIÓN PROFESIONAL INTEGRAL % Ejecución Técnico- CampeSENA</t>
  </si>
  <si>
    <t>FORMACIÓN PROFESIONAL INTEGRAL Meta Técnico - Full Popular</t>
  </si>
  <si>
    <t>FORMACIÓN PROFESIONAL INTEGRAL Ejecución Técnico - Full Popular</t>
  </si>
  <si>
    <t>FORMACIÓN PROFESIONAL INTEGRAL % Ejecución Técnico - Full Popular</t>
  </si>
  <si>
    <t>FORMACIÓN PROFESIONAL INTEGRAL Meta 
Técnico - Articulación con la Media</t>
  </si>
  <si>
    <t>FORMACIÓN PROFESIONAL INTEGRAL Ejecución Técnico - Articulación con la Media</t>
  </si>
  <si>
    <t>FORMACIÓN PROFESIONAL INTEGRAL % Ejecución Técnico - Articulación con la Media</t>
  </si>
  <si>
    <t>FORMACIÓN PROFESIONAL INTEGRAL Meta Técnico- FIC</t>
  </si>
  <si>
    <t>FORMACIÓN PROFESIONAL INTEGRAL Ejecución  Técnico- FIC</t>
  </si>
  <si>
    <t>FORMACIÓN PROFESIONAL INTEGRAL % Ejecución Técnico- FIC</t>
  </si>
  <si>
    <t>FORMACIÓN PROFESIONAL INTEGRAL Meta Total Técnico  (E)</t>
  </si>
  <si>
    <t xml:space="preserve">FORMACIÓN PROFESIONAL INTEGRAL Ejecución Total Técnico  </t>
  </si>
  <si>
    <t xml:space="preserve">FORMACIÓN PROFESIONAL INTEGRAL % Ejecución Total Técnico </t>
  </si>
  <si>
    <t>FORMACIÓN PROFESIONAL INTEGRAL Meta 
Total Profundización Técnica (F)</t>
  </si>
  <si>
    <t>FORMACIÓN PROFESIONAL INTEGRAL Ejecución  Total Profundización Técnica</t>
  </si>
  <si>
    <t xml:space="preserve">FORMACIÓN PROFESIONAL INTEGRAL % Ejecución Total Profundización Técnica </t>
  </si>
  <si>
    <t>FORMACIÓN PROFESIONAL INTEGRAL Meta Formación Ocupacional (G) = (C+D+E+F)</t>
  </si>
  <si>
    <t xml:space="preserve">FORMACIÓN PROFESIONAL INTEGRAL Ejecución Formación Ocupacional </t>
  </si>
  <si>
    <t>FORMACIÓN PROFESIONAL INTEGRAL % Ejecución Formación Ocupacional</t>
  </si>
  <si>
    <t>FORMACIÓN PROFESIONAL INTEGRAL META FORMACION TITULADA
 (H) = (B+G)</t>
  </si>
  <si>
    <t xml:space="preserve">FORMACIÓN PROFESIONAL INTEGRAL Ejecución FORMACION TITULADA </t>
  </si>
  <si>
    <t xml:space="preserve">FORMACIÓN PROFESIONAL INTEGRAL % Ejecución FORMACION TITULADA </t>
  </si>
  <si>
    <t>FORMACIÓN PROFESIONAL INTEGRAL Meta
 Formación Complementaria Regular - Presencial (Sin Bilingüismo) (J)</t>
  </si>
  <si>
    <t>FORMACIÓN PROFESIONAL INTEGRAL Ejecución Formación Complementaria Regular - Presencial (Sin Bilingüismo)</t>
  </si>
  <si>
    <t>FORMACIÓN PROFESIONAL INTEGRAL % Ejecución Formación Complementaria Regular - Presencial (Sin Bilingüismo)</t>
  </si>
  <si>
    <r>
      <t xml:space="preserve">FORMACIÓN PROFESIONAL INTEGRAL Meta 
Placa huella 6 
</t>
    </r>
    <r>
      <rPr>
        <b/>
        <i/>
        <sz val="8"/>
        <rFont val="Aptos Narrow"/>
        <family val="2"/>
        <scheme val="minor"/>
      </rPr>
      <t>(incluida en FEC)  (Código 2435)</t>
    </r>
  </si>
  <si>
    <r>
      <t xml:space="preserve">FORMACIÓN PROFESIONAL INTEGRAL  Ejecución Placa huella 6 
(incluida en FEC) 
 </t>
    </r>
    <r>
      <rPr>
        <b/>
        <i/>
        <sz val="8"/>
        <rFont val="Aptos Narrow"/>
        <family val="2"/>
        <scheme val="minor"/>
      </rPr>
      <t>(Código 2435)</t>
    </r>
  </si>
  <si>
    <r>
      <t xml:space="preserve">FORMACIÓN PROFESIONAL INTEGRAL % EjecuciónPlaca huella 6 
(incluida en FEC)  
</t>
    </r>
    <r>
      <rPr>
        <b/>
        <i/>
        <sz val="8"/>
        <rFont val="Aptos Narrow"/>
        <family val="2"/>
        <scheme val="minor"/>
      </rPr>
      <t>(Código 2435)</t>
    </r>
  </si>
  <si>
    <r>
      <t xml:space="preserve">FORMACIÓN PROFESIONAL INTEGRAL Meta 
Otros programas FEC 
</t>
    </r>
    <r>
      <rPr>
        <b/>
        <sz val="9"/>
        <color theme="1"/>
        <rFont val="Aptos Narrow"/>
        <family val="2"/>
        <scheme val="minor"/>
      </rPr>
      <t>(Código 2436-2437 )</t>
    </r>
  </si>
  <si>
    <r>
      <t xml:space="preserve">FORMACIÓN PROFESIONAL INTEGRAL Ejecución 
Otros programas FEC 
</t>
    </r>
    <r>
      <rPr>
        <b/>
        <sz val="9"/>
        <color theme="1"/>
        <rFont val="Aptos Narrow"/>
        <family val="2"/>
        <scheme val="minor"/>
      </rPr>
      <t>(Código 2436-2437 )</t>
    </r>
  </si>
  <si>
    <r>
      <t xml:space="preserve">FORMACIÓN PROFESIONAL INTEGRAL % Ejecución Otros programas FEC 
</t>
    </r>
    <r>
      <rPr>
        <b/>
        <sz val="9"/>
        <color theme="1"/>
        <rFont val="Aptos Narrow"/>
        <family val="2"/>
        <scheme val="minor"/>
      </rPr>
      <t>(Código 2436-2437 )</t>
    </r>
  </si>
  <si>
    <t>FORMACIÓN PROFESIONAL INTEGRAL Meta Formación Especial Campesina (FEC)</t>
  </si>
  <si>
    <t xml:space="preserve"> FORMACIÓN PROFESIONAL INTEGRAL Ejecución  Formación Especial Campesina (FEC)</t>
  </si>
  <si>
    <t>FORMACIÓN PROFESIONAL INTEGRAL % Ejecución Formación Especial Campesina (FEC)</t>
  </si>
  <si>
    <t xml:space="preserve">FORMACIÓN PROFESIONAL INTEGRAL Meta 
Formación Complementaria CampeSENA </t>
  </si>
  <si>
    <t xml:space="preserve">FORMACIÓN PROFESIONAL INTEGRAL Ejecución Formación Complementaria CampeSENA </t>
  </si>
  <si>
    <t xml:space="preserve">FORMACIÓN PROFESIONAL INTEGRAL % Ejecución Formación Complementaria CampeSENA </t>
  </si>
  <si>
    <t>FORMACIÓN PROFESIONAL INTEGRAL Meta 
Formación Complementaria Estrategia CampeSENA (M)</t>
  </si>
  <si>
    <t>FORMACIÓN PROFESIONAL INTEGRAL Ejecución Formación Complementaria Estrategia CampeSENA</t>
  </si>
  <si>
    <t xml:space="preserve">FORMACIÓN PROFESIONAL INTEGRAL % Ejecución Formación Complementaria Estrategia CampeSENA </t>
  </si>
  <si>
    <t>FORMACIÓN PROFESIONAL INTEGRAL Meta Formación Complementaria Full Popular</t>
  </si>
  <si>
    <t>FORMACIÓN PROFESIONAL INTEGRAL Ejecución Formación Complementaria Full Popular</t>
  </si>
  <si>
    <t>FORMACIÓN PROFESIONAL INTEGRAL % Ejecución Formación Complementaria Full Popular</t>
  </si>
  <si>
    <t>FORMACIÓN PROFESIONAL INTEGRAL Meta Formación Especial Popular (FEP)</t>
  </si>
  <si>
    <t>FORMACIÓN PROFESIONAL INTEGRAL Ejecución Formación Especial Popular (FEP)</t>
  </si>
  <si>
    <t>FORMACIÓN PROFESIONAL INTEGRAL % Ejecución Formación Especial Popular (FEP)</t>
  </si>
  <si>
    <t>FORMACIÓN PROFESIONAL INTEGRAL Meta Formación Complementaria Estrategia Full Popular (N)</t>
  </si>
  <si>
    <t xml:space="preserve">FORMACIÓN PROFESIONAL INTEGRAL Ejecución Formación Complementaria Estrategia Full Popular </t>
  </si>
  <si>
    <t xml:space="preserve">FORMACIÓN PROFESIONAL INTEGRAL % Ejecución Formación Complementaria Estrategia Full Popular </t>
  </si>
  <si>
    <t>FORMACIÓN PROFESIONAL INTEGRAL META 
TOTAL FORMACION COMPLEMENTARIA 
(O) = (I+J+K+L+M+N)</t>
  </si>
  <si>
    <t xml:space="preserve">FORMACIÓN PROFESIONAL INTEGRAL EJECUCIÓN  
TOTAL FORMACION COMPLEMENTARIA </t>
  </si>
  <si>
    <t xml:space="preserve">FORMACIÓN PROFESIONAL INTEGRAL % EJECUCIÓN 
TOTAL FORMACION COMPLEMENTARIA </t>
  </si>
  <si>
    <t>FORMACIÓN PROFESIONAL INTEGRAL TOTAL FORMACION PROFESIONAL INTEGRAL (P) = (O+H)</t>
  </si>
  <si>
    <t xml:space="preserve">FORMACIÓN PROFESIONAL INTEGRAL EJECUCIÓN  TOTAL FORMACION PROFESIONAL INTEGRAL </t>
  </si>
  <si>
    <t xml:space="preserve">FORMACIÓN PROFESIONAL INTEGRAL % Ejecución 
TOTAL FORMACION PROFESIONAL INTEGRAL </t>
  </si>
  <si>
    <t>METAS PROGRAMAS RELEVANTES Meta Total Formación Profesional CampeSENA</t>
  </si>
  <si>
    <t>METAS PROGRAMAS RELEVANTES Ejecución Total Formación Profesional CampeSENA</t>
  </si>
  <si>
    <t>METAS PROGRAMAS RELEVANTES % Ejecución 
Total Formación Profesional CampeSENA</t>
  </si>
  <si>
    <t>METAS PROGRAMAS RELEVANTES Meta 
Total Formación Profesional Full Popular</t>
  </si>
  <si>
    <t>METAS PROGRAMAS RELEVANTES Ejecución Total Formación Profesional Full Popular</t>
  </si>
  <si>
    <t>METAS PROGRAMAS RELEVANTES % Total Formación Profesional Full Popular</t>
  </si>
  <si>
    <t>METAS PROGRAMAS RELEVANTES Meta  Aprendices Primer Curso</t>
  </si>
  <si>
    <t>METAS PROGRAMAS RELEVANTES Ejecución  Aprendices Primer Curso
 - Corte 12/02/2026</t>
  </si>
  <si>
    <t>METAS PROGRAMAS RELEVANTES % Ejecución Total Aprendices Primer Curso</t>
  </si>
  <si>
    <t>RETENCIÓN  Meta Formación Tecnológica Presencial</t>
  </si>
  <si>
    <t>RETENCIÓN  Ejecución Formación Tecnológica Presencial</t>
  </si>
  <si>
    <t>RETENCIÓN % Ejecución Formación Tecnológica Presencial</t>
  </si>
  <si>
    <t>RETENCIÓN  Meta Retención (%) - Formación Tecnológica</t>
  </si>
  <si>
    <t>RETENCIÓN  Ejecución Retención (%) - Formación Tecnológica</t>
  </si>
  <si>
    <t>RETENCIÓN  % Ejecución Retención (%) - Formación Tecnológica</t>
  </si>
  <si>
    <t>RETENCIÓN  Meta 
Formación Ocupacional  Presencial</t>
  </si>
  <si>
    <t xml:space="preserve">RETENCIÓN  Ejecución Ocupacional  Presencial </t>
  </si>
  <si>
    <t xml:space="preserve">RETENCIÓN  % Ejecución Ocupacional  Presencial </t>
  </si>
  <si>
    <t xml:space="preserve">RETENCIÓN  Meta 
Formación Ocupacional  </t>
  </si>
  <si>
    <t>RETENCIÓN  Ejecución Formación Ocupacional</t>
  </si>
  <si>
    <t xml:space="preserve">RETENCIÓN  % Ejecución Formación Ocupacional </t>
  </si>
  <si>
    <t xml:space="preserve">RETENCIÓN  META 
FORMACION TITULADA </t>
  </si>
  <si>
    <t>RETENCIÓN  Ejecución FORMACION TITULADA</t>
  </si>
  <si>
    <t>RETENCIÓN  % Ejecución FORMACION TITULADA</t>
  </si>
  <si>
    <t>RETENCIÓN  Meta 
Formación Complementaria Regular - Presencial 
(Sin Bilingüismo)</t>
  </si>
  <si>
    <t>RETENCIÓN Ejecución  Formación Complementaria Regular - Presencial (Sin Bilingüismo)</t>
  </si>
  <si>
    <t>RETENCIÓN  % Ejecución Formación Complementaria Regular - Presencial 
(Sin Bilingüismo</t>
  </si>
  <si>
    <t xml:space="preserve">RETENCIÓN  META 
TOTAL FORMACION COMPLEMENTARIA </t>
  </si>
  <si>
    <t xml:space="preserve">RETENCIÓN  EJECUCIÓN   
TOTAL FORMACION COMPLEMENTARIA </t>
  </si>
  <si>
    <t>RETENCIÓN  % EJECUCIÓN   TOTAL FORMACION COMPLEMENTARIA</t>
  </si>
  <si>
    <t>RETENCIÓN  META TOTAL FORMACION PROFESIONAL INTEGRAL</t>
  </si>
  <si>
    <t>RETENCIÓN  EJECUCIÓN 
 TOTAL FORMACION PROFESIONAL INTEGRAL</t>
  </si>
  <si>
    <t>RETENCIÓN  %EJECUCIÓN  TOTAL FORMACION PROFESIONAL INTEGRAL</t>
  </si>
  <si>
    <t>RETENCIÓN  Formación Profesional Integral - CampeSENA</t>
  </si>
  <si>
    <t>RETENCIÓN  Ejecución Formación Profesional Integral - CampeSENA</t>
  </si>
  <si>
    <t>RETENCIÓN  % EjecuciónFormación Profesional Integral - CampeSENA</t>
  </si>
  <si>
    <t>RETENCIÓN  Formación Profesional Integral - Full Popular</t>
  </si>
  <si>
    <t>RETENCIÓN  Ejecución Formación Profesional Integral - Full Popular</t>
  </si>
  <si>
    <t>RETENCIÓN  % Ejecución Formación Profesional Integral - Full Popular</t>
  </si>
  <si>
    <t>CERTIFICACIÓN  Meta Formación Tecnológica</t>
  </si>
  <si>
    <t>CERTIFICACIÓN  Ejecución Formación Tecnológica</t>
  </si>
  <si>
    <t>CERTIFICACIÓN  % Ejecución Formación Tecnológica</t>
  </si>
  <si>
    <t>CERTIFICACIÓN  Meta Formación Ocupacional</t>
  </si>
  <si>
    <t>CERTIFICACIÓN  Ejecución Formación Ocupacional.</t>
  </si>
  <si>
    <t>CERTIFICACIÓN  % Ejecución Formación Ocupacional.</t>
  </si>
  <si>
    <t xml:space="preserve">CERTIFICACIÓN  META 
TOTAL FORMACIÓN TITULADA </t>
  </si>
  <si>
    <t xml:space="preserve">CERTIFICACIÓN  EJECUCIÓN  TOTAL FORMACIÓN TITULADA </t>
  </si>
  <si>
    <t xml:space="preserve">CERTIFICACIÓN  % EJECUCIÓN  TOTAL FORMACIÓN TITULADA </t>
  </si>
  <si>
    <t xml:space="preserve">CERTIFICACIÓN  META
 TOTAL FORMACIÓN COMPLEMENTARIA </t>
  </si>
  <si>
    <t xml:space="preserve">CERTIFICACIÓN  EJECUCIÓN 
TOTAL FORMACIÓN COMPLEMENTARIA </t>
  </si>
  <si>
    <t xml:space="preserve">CERTIFICACIÓN  % EJECUCIÓN  TOTAL FORMACIÓN COMPLEMENTARIA </t>
  </si>
  <si>
    <t>CERTIFICACIÓN  META 
TOTAL FORMACIÓN PROFESIONAL INTEGRAL</t>
  </si>
  <si>
    <t>CERTIFICACIÓN  EJECUCIÓN  TOTAL FORMACIÓN PROFESIONAL INTEGRAL</t>
  </si>
  <si>
    <t>CERTIFICACIÓN   % EJECUCIÓN  TOTAL FORMACIÓN PROFESIONAL INTEGRAL</t>
  </si>
  <si>
    <t>CERTIFICACIÓN  Meta 
Articulación con la Media  (Incluidas en Formación ocupacional)</t>
  </si>
  <si>
    <t>CERTIFICACIÓN  Ejecución Articulación Media</t>
  </si>
  <si>
    <t>CERTIFICACIÓN  % Ejecución Articulación Media</t>
  </si>
  <si>
    <t>CERTIFICACIÓN  Meta CampeSENA (Incluidas en Formación Profesional Integral)</t>
  </si>
  <si>
    <t>CERTIFICACIÓN  Ejecución CampeSENA</t>
  </si>
  <si>
    <t>CERTIFICACIÓN  % Ejecución CampeSENA</t>
  </si>
  <si>
    <t>CERTIFICACIÓN  Meta Full  Popular (Incluidas en Formación Profesional Integral)</t>
  </si>
  <si>
    <t xml:space="preserve"> CERTIFICACIÓN  Ejecución Full  Popular (Incluidas en Formación Profesional Integral)</t>
  </si>
  <si>
    <t>CERTIFICACIÓN  % Ejecución  Full  Popular (Incluidas en Formación Profesional Integral)</t>
  </si>
  <si>
    <t xml:space="preserve"> Operarios y/o Auxiliares campesena -Meta Cupos</t>
  </si>
  <si>
    <t xml:space="preserve"> Operarios y/o Auxiliarescampesena -Ejecución Cupos</t>
  </si>
  <si>
    <t xml:space="preserve"> Operarios y/o Auxiliarescampesena -% de Ejecución Cupos</t>
  </si>
  <si>
    <t xml:space="preserve"> Operarios y/o Auxiliarescampesena -Meta Aprendices</t>
  </si>
  <si>
    <t xml:space="preserve"> Operarios y/o Auxiliarescampesena -Ejecución Aprendices</t>
  </si>
  <si>
    <t xml:space="preserve"> Operarios y/o Auxiliarescampesena -% de Ejecución Aprendices</t>
  </si>
  <si>
    <t xml:space="preserve"> Técnico Laboralcampesena -Meta Cupos</t>
  </si>
  <si>
    <t xml:space="preserve"> Técnico Laboralcampesena -Ejecución Cupos</t>
  </si>
  <si>
    <t xml:space="preserve"> Técnico Laboralcampesena -% de Ejecución Cupos</t>
  </si>
  <si>
    <t xml:space="preserve"> Técnico Laboracampesena l-Meta Aprendices</t>
  </si>
  <si>
    <t xml:space="preserve"> Técnico Laboralcampesena -Ejecución Aprendices</t>
  </si>
  <si>
    <t xml:space="preserve"> Técnico Laboral campesena -% de Ejecución Aprendices</t>
  </si>
  <si>
    <t xml:space="preserve"> Tecnólogos campesena-Meta Cupos</t>
  </si>
  <si>
    <t xml:space="preserve"> Tecnólogos campesena -Ejecución Cupos</t>
  </si>
  <si>
    <t xml:space="preserve"> Tecnólogos campesena -% de Ejecución Cupos</t>
  </si>
  <si>
    <t xml:space="preserve"> Tecnólogos campesena -Meta Aprendices</t>
  </si>
  <si>
    <t xml:space="preserve"> Tecnólogos campesena -Ejecución Aprendices</t>
  </si>
  <si>
    <t xml:space="preserve"> Tecnólogos campesena -% de Ejecución Aprendices</t>
  </si>
  <si>
    <t xml:space="preserve"> Formación Titulada campesena -Meta Cupos</t>
  </si>
  <si>
    <t xml:space="preserve"> Formación Titulada campesena -Ejecución Cupos</t>
  </si>
  <si>
    <t xml:space="preserve"> Formación Titulada campesena -% de Ejecución Cupos</t>
  </si>
  <si>
    <t xml:space="preserve"> Formación Titulada campesena -Meta Aprendices</t>
  </si>
  <si>
    <t xml:space="preserve"> Formación Titulada campesena-Ejecución Aprendices</t>
  </si>
  <si>
    <t xml:space="preserve"> Formación Titulada campesena -% de Ejecución Aprendices</t>
  </si>
  <si>
    <t xml:space="preserve"> Formación Complementaria campesena-Meta Cupos</t>
  </si>
  <si>
    <t xml:space="preserve"> Formación Complementaria campesena -Ejecución Cupos</t>
  </si>
  <si>
    <t xml:space="preserve"> Formación Complementaria campesena-% de Ejecución Cupos</t>
  </si>
  <si>
    <t xml:space="preserve"> Formación Complementaria campesena -Meta Aprendices</t>
  </si>
  <si>
    <t xml:space="preserve"> Formación Complementaria campesena-Ejecución Aprendices</t>
  </si>
  <si>
    <t xml:space="preserve"> Formación Complementaria campesena -% de Ejecución Aprendices</t>
  </si>
  <si>
    <t xml:space="preserve"> Complementaria (Sin Programa SER) campesena -Meta Cupos</t>
  </si>
  <si>
    <t xml:space="preserve"> Complementaria campesena (Sin Programa SER )-Ejecución Cupos</t>
  </si>
  <si>
    <t xml:space="preserve"> Complementaria campesena  (Sin Programa SER)-% de Ejecución Cupos</t>
  </si>
  <si>
    <t xml:space="preserve"> Complementaria campesena  (Sin Programa SER)-Meta Aprendices</t>
  </si>
  <si>
    <t xml:space="preserve"> Complementaria campesena  (Sin Programa SER)-Ejecución Aprendices</t>
  </si>
  <si>
    <t xml:space="preserve"> Complementaria campesena  (Sin Programa SER)-% de Ejecución Aprendices</t>
  </si>
  <si>
    <t xml:space="preserve"> Formación Profesional Integral campesena -Meta Cupos</t>
  </si>
  <si>
    <t xml:space="preserve"> Formación Profesional Integral campesena -Ejecución Cupos</t>
  </si>
  <si>
    <t xml:space="preserve"> Formación Profesional Integral campesena -% de Ejecución Cupos</t>
  </si>
  <si>
    <t xml:space="preserve"> Formación Profesional Integral campesena -Meta Aprendices</t>
  </si>
  <si>
    <t xml:space="preserve"> Formación Profesional Integralcampesena  -Ejecución Aprendices</t>
  </si>
  <si>
    <t xml:space="preserve"> Formación Profesional Integralcampesena  -% de Ejecución Aprendices</t>
  </si>
  <si>
    <t xml:space="preserve"> Operarios y/o Auxiliares economia popular -Meta Cupos</t>
  </si>
  <si>
    <t xml:space="preserve"> Operarios y/o Auxiliares economia popular-Ejecución Cupos</t>
  </si>
  <si>
    <t xml:space="preserve"> Operarios y/o Auxiliareseconomia popular -% de Ejecución Cupos</t>
  </si>
  <si>
    <t xml:space="preserve"> Operarios y/o Auxiliares economia popular -Meta Aprendices</t>
  </si>
  <si>
    <t xml:space="preserve"> Operarios y/o Auxiliares economia popular -Ejecución Aprendices</t>
  </si>
  <si>
    <t xml:space="preserve"> Operarios y/o Auxiliares economia popular -% de Ejecución Aprendices</t>
  </si>
  <si>
    <t xml:space="preserve"> Formación Complementaria economia popular -Meta Cupos</t>
  </si>
  <si>
    <t xml:space="preserve"> Formación Complementaria economia popular -% de Ejecución Cupos</t>
  </si>
  <si>
    <t xml:space="preserve"> Formación Complementaria economia popular -Meta Aprendices</t>
  </si>
  <si>
    <t xml:space="preserve"> Formación Complementaria economia popular -Ejecución Aprendices</t>
  </si>
  <si>
    <t xml:space="preserve"> Formación Complementaria economia popular -% de Ejecución Aprendices</t>
  </si>
  <si>
    <t xml:space="preserve"> Formación Profesional Integra economia popular l-Meta Cupos</t>
  </si>
  <si>
    <t xml:space="preserve"> Formación Profesional Integral economia popular -Ejecución Cupos</t>
  </si>
  <si>
    <t xml:space="preserve"> Formación Profesional Integral economia popular -% de Ejecución Cupos</t>
  </si>
  <si>
    <t xml:space="preserve"> Formación Profesional Integra economia popular l-Meta Aprendices</t>
  </si>
  <si>
    <t xml:space="preserve"> Formación Profesional Integra economia popular l-Ejecución Aprendices</t>
  </si>
  <si>
    <t xml:space="preserve"> Formación Profesional Integral economia popular -% de Ejecución Aprendices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</si>
</sst>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64" formatCode="#,###"/>
    <numFmt numFmtId="165" formatCode="_-* #,##0_-;\-* #,##0_-;_-* &quot;-&quot;??_-;_-@_-"/>
    <numFmt numFmtId="166" formatCode="_ [$€-2]\ * #,##0.00_ ;_ [$€-2]\ * \-#,##0.00_ ;_ [$€-2]\ * &quot;-&quot;??_ "/>
    <numFmt numFmtId="167" formatCode="_(* #,##0_);_(* \(#,##0\);_(* &quot;-&quot;??_);_(@_)"/>
    <numFmt numFmtId="168" formatCode="[h]:mm"/>
    <numFmt numFmtId="169" formatCode="#,##0.00&quot; &quot;;&quot; (&quot;#,##0.00&quot;)&quot;;&quot; -&quot;#&quot; &quot;;@&quot; &quot;"/>
    <numFmt numFmtId="170" formatCode="[$-240A]General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i/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9"/>
      <color theme="1"/>
      <name val="Segoe UI"/>
      <family val="2"/>
      <charset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C2BC"/>
        <bgColor indexed="64"/>
      </patternFill>
    </fill>
    <fill>
      <patternFill patternType="solid">
        <fgColor rgb="FFE4F0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A900"/>
        <bgColor indexed="64"/>
      </patternFill>
    </fill>
    <fill>
      <patternFill patternType="solid">
        <fgColor rgb="FF00324D"/>
        <bgColor indexed="64"/>
      </patternFill>
    </fill>
    <fill>
      <patternFill patternType="solid">
        <fgColor rgb="FF385C57"/>
        <bgColor indexed="64"/>
      </patternFill>
    </fill>
    <fill>
      <patternFill patternType="solid">
        <fgColor rgb="FF82DE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64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1" fillId="0" borderId="0"/>
    <xf numFmtId="41" fontId="17" fillId="0" borderId="0" applyFont="0" applyFill="0" applyBorder="0" applyAlignment="0" applyProtection="0"/>
    <xf numFmtId="166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0" fontId="1" fillId="0" borderId="0"/>
    <xf numFmtId="167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27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0" fontId="23" fillId="0" borderId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6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6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8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" fillId="0" borderId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7" fillId="0" borderId="0"/>
    <xf numFmtId="0" fontId="17" fillId="0" borderId="0"/>
    <xf numFmtId="0" fontId="1" fillId="8" borderId="8" applyNumberFormat="0" applyFont="0" applyAlignment="0" applyProtection="0"/>
    <xf numFmtId="9" fontId="17" fillId="0" borderId="0" applyFont="0" applyFill="0" applyBorder="0" applyAlignment="0" applyProtection="0"/>
    <xf numFmtId="0" fontId="28" fillId="0" borderId="0"/>
    <xf numFmtId="0" fontId="17" fillId="0" borderId="0"/>
    <xf numFmtId="43" fontId="28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166" fontId="17" fillId="0" borderId="0" applyNumberFormat="0" applyFill="0" applyBorder="0" applyAlignment="0" applyProtection="0"/>
    <xf numFmtId="169" fontId="26" fillId="0" borderId="0"/>
    <xf numFmtId="0" fontId="29" fillId="0" borderId="0"/>
    <xf numFmtId="17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9" fillId="0" borderId="0"/>
    <xf numFmtId="9" fontId="29" fillId="0" borderId="0"/>
    <xf numFmtId="9" fontId="29" fillId="0" borderId="0"/>
    <xf numFmtId="9" fontId="29" fillId="0" borderId="0"/>
    <xf numFmtId="9" fontId="29" fillId="0" borderId="0"/>
    <xf numFmtId="9" fontId="29" fillId="0" borderId="0"/>
    <xf numFmtId="0" fontId="26" fillId="0" borderId="0"/>
    <xf numFmtId="0" fontId="28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8" fillId="0" borderId="0" applyFont="0" applyFill="0" applyBorder="0" applyAlignment="0" applyProtection="0"/>
    <xf numFmtId="0" fontId="33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34" fillId="0" borderId="0" applyNumberFormat="0" applyFill="0" applyBorder="0" applyAlignment="0" applyProtection="0"/>
    <xf numFmtId="0" fontId="1" fillId="0" borderId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17" fillId="0" borderId="0" applyFont="0" applyFill="0" applyBorder="0" applyAlignment="0" applyProtection="0"/>
    <xf numFmtId="166" fontId="17" fillId="0" borderId="0" applyNumberFormat="0" applyFill="0" applyBorder="0" applyAlignment="0" applyProtection="0"/>
    <xf numFmtId="0" fontId="26" fillId="0" borderId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18" fillId="33" borderId="10" xfId="38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10" fontId="20" fillId="33" borderId="10" xfId="3" applyNumberFormat="1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10" fontId="20" fillId="34" borderId="10" xfId="3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35" borderId="10" xfId="0" applyNumberFormat="1" applyFont="1" applyFill="1" applyBorder="1" applyAlignment="1">
      <alignment horizontal="center" vertical="center"/>
    </xf>
    <xf numFmtId="10" fontId="19" fillId="35" borderId="10" xfId="39" applyNumberFormat="1" applyFont="1" applyFill="1" applyBorder="1" applyAlignment="1">
      <alignment horizontal="center" vertical="center"/>
    </xf>
    <xf numFmtId="10" fontId="19" fillId="35" borderId="10" xfId="3" applyNumberFormat="1" applyFont="1" applyFill="1" applyBorder="1" applyAlignment="1">
      <alignment horizontal="center" vertical="center"/>
    </xf>
    <xf numFmtId="164" fontId="21" fillId="35" borderId="10" xfId="0" applyNumberFormat="1" applyFont="1" applyFill="1" applyBorder="1" applyAlignment="1">
      <alignment horizontal="center" vertical="center"/>
    </xf>
    <xf numFmtId="164" fontId="21" fillId="35" borderId="12" xfId="0" applyNumberFormat="1" applyFont="1" applyFill="1" applyBorder="1" applyAlignment="1">
      <alignment horizontal="center" vertical="center"/>
    </xf>
    <xf numFmtId="0" fontId="12" fillId="38" borderId="15" xfId="0" applyFont="1" applyFill="1" applyBorder="1" applyAlignment="1">
      <alignment horizontal="center" vertical="center" wrapText="1"/>
    </xf>
    <xf numFmtId="0" fontId="12" fillId="39" borderId="15" xfId="0" applyFont="1" applyFill="1" applyBorder="1" applyAlignment="1">
      <alignment horizontal="center" vertical="center" wrapText="1"/>
    </xf>
    <xf numFmtId="0" fontId="12" fillId="36" borderId="10" xfId="95" applyFont="1" applyFill="1" applyBorder="1" applyAlignment="1">
      <alignment horizontal="center" vertical="center" wrapText="1"/>
    </xf>
    <xf numFmtId="0" fontId="12" fillId="38" borderId="10" xfId="95" applyFont="1" applyFill="1" applyBorder="1" applyAlignment="1">
      <alignment horizontal="center" vertical="center" wrapText="1"/>
    </xf>
    <xf numFmtId="3" fontId="0" fillId="0" borderId="10" xfId="3" applyNumberFormat="1" applyFon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/>
    </xf>
    <xf numFmtId="10" fontId="0" fillId="35" borderId="10" xfId="0" applyNumberForma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2" fillId="37" borderId="10" xfId="95" applyFont="1" applyFill="1" applyBorder="1" applyAlignment="1">
      <alignment horizontal="center" vertical="center" wrapText="1"/>
    </xf>
    <xf numFmtId="0" fontId="12" fillId="36" borderId="10" xfId="0" applyFont="1" applyFill="1" applyBorder="1" applyAlignment="1">
      <alignment horizontal="center" vertical="center" wrapText="1"/>
    </xf>
    <xf numFmtId="10" fontId="0" fillId="0" borderId="10" xfId="3" applyNumberFormat="1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12" fillId="36" borderId="18" xfId="0" applyFont="1" applyFill="1" applyBorder="1" applyAlignment="1">
      <alignment horizontal="center" vertical="center" wrapText="1"/>
    </xf>
    <xf numFmtId="0" fontId="15" fillId="40" borderId="17" xfId="0" applyFont="1" applyFill="1" applyBorder="1" applyAlignment="1">
      <alignment horizontal="center" vertical="center" wrapText="1"/>
    </xf>
    <xf numFmtId="10" fontId="15" fillId="40" borderId="17" xfId="0" applyNumberFormat="1" applyFont="1" applyFill="1" applyBorder="1" applyAlignment="1">
      <alignment horizontal="center" vertical="center" wrapText="1"/>
    </xf>
    <xf numFmtId="0" fontId="15" fillId="41" borderId="17" xfId="0" applyFont="1" applyFill="1" applyBorder="1" applyAlignment="1">
      <alignment horizontal="center" vertical="center" wrapText="1"/>
    </xf>
    <xf numFmtId="10" fontId="15" fillId="41" borderId="17" xfId="0" applyNumberFormat="1" applyFont="1" applyFill="1" applyBorder="1" applyAlignment="1">
      <alignment horizontal="center" vertical="center" wrapText="1"/>
    </xf>
    <xf numFmtId="0" fontId="15" fillId="42" borderId="17" xfId="0" applyFont="1" applyFill="1" applyBorder="1" applyAlignment="1">
      <alignment horizontal="center" vertical="center" wrapText="1"/>
    </xf>
    <xf numFmtId="10" fontId="15" fillId="42" borderId="17" xfId="0" applyNumberFormat="1" applyFont="1" applyFill="1" applyBorder="1" applyAlignment="1">
      <alignment horizontal="center" vertical="center" wrapText="1"/>
    </xf>
    <xf numFmtId="0" fontId="15" fillId="43" borderId="17" xfId="0" applyFont="1" applyFill="1" applyBorder="1" applyAlignment="1">
      <alignment horizontal="center" vertical="center" wrapText="1"/>
    </xf>
    <xf numFmtId="10" fontId="15" fillId="43" borderId="17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" fontId="0" fillId="35" borderId="12" xfId="3" applyNumberFormat="1" applyFont="1" applyFill="1" applyBorder="1" applyAlignment="1">
      <alignment horizontal="center" vertical="center"/>
    </xf>
    <xf numFmtId="3" fontId="0" fillId="35" borderId="12" xfId="3" applyNumberFormat="1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" fontId="28" fillId="35" borderId="12" xfId="3" applyNumberFormat="1" applyFont="1" applyFill="1" applyBorder="1" applyAlignment="1">
      <alignment horizontal="center" vertical="center"/>
    </xf>
    <xf numFmtId="3" fontId="28" fillId="35" borderId="12" xfId="3" applyNumberFormat="1" applyFont="1" applyFill="1" applyBorder="1" applyAlignment="1">
      <alignment horizontal="center" vertical="center"/>
    </xf>
    <xf numFmtId="3" fontId="28" fillId="0" borderId="10" xfId="3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0" fontId="21" fillId="0" borderId="10" xfId="3" applyNumberFormat="1" applyFont="1" applyFill="1" applyBorder="1" applyAlignment="1">
      <alignment horizontal="center" vertical="center"/>
    </xf>
    <xf numFmtId="1" fontId="21" fillId="35" borderId="10" xfId="3" applyNumberFormat="1" applyFont="1" applyFill="1" applyBorder="1" applyAlignment="1">
      <alignment horizontal="center" vertical="center"/>
    </xf>
    <xf numFmtId="3" fontId="21" fillId="35" borderId="10" xfId="3" applyNumberFormat="1" applyFont="1" applyFill="1" applyBorder="1" applyAlignment="1">
      <alignment horizontal="center" vertical="center"/>
    </xf>
    <xf numFmtId="3" fontId="21" fillId="0" borderId="10" xfId="3" applyNumberFormat="1" applyFont="1" applyBorder="1" applyAlignment="1">
      <alignment horizontal="center" vertical="center"/>
    </xf>
    <xf numFmtId="164" fontId="23" fillId="0" borderId="10" xfId="54" applyNumberFormat="1" applyFont="1" applyBorder="1" applyAlignment="1">
      <alignment horizontal="center" vertical="center"/>
    </xf>
    <xf numFmtId="164" fontId="23" fillId="0" borderId="10" xfId="54" applyNumberFormat="1" applyFont="1" applyFill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 wrapText="1"/>
    </xf>
    <xf numFmtId="164" fontId="23" fillId="0" borderId="10" xfId="2" applyNumberFormat="1" applyFont="1" applyBorder="1" applyAlignment="1">
      <alignment horizontal="center" vertical="center"/>
    </xf>
    <xf numFmtId="164" fontId="0" fillId="0" borderId="10" xfId="2" applyNumberFormat="1" applyFont="1" applyBorder="1" applyAlignment="1">
      <alignment horizontal="center" vertical="center" wrapText="1"/>
    </xf>
    <xf numFmtId="0" fontId="23" fillId="35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left" vertical="center"/>
    </xf>
    <xf numFmtId="3" fontId="0" fillId="35" borderId="0" xfId="0" applyNumberFormat="1" applyFill="1" applyAlignment="1">
      <alignment horizontal="center" vertical="center"/>
    </xf>
    <xf numFmtId="10" fontId="0" fillId="35" borderId="0" xfId="0" applyNumberFormat="1" applyFill="1" applyAlignment="1">
      <alignment horizontal="center" vertical="center"/>
    </xf>
    <xf numFmtId="0" fontId="12" fillId="36" borderId="14" xfId="0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21" fillId="0" borderId="10" xfId="3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10" fontId="0" fillId="35" borderId="12" xfId="3" applyNumberFormat="1" applyFont="1" applyFill="1" applyBorder="1" applyAlignment="1">
      <alignment horizontal="center" vertical="center"/>
    </xf>
    <xf numFmtId="165" fontId="0" fillId="35" borderId="16" xfId="1" applyNumberFormat="1" applyFont="1" applyFill="1" applyBorder="1" applyAlignment="1">
      <alignment horizontal="center" vertical="center"/>
    </xf>
    <xf numFmtId="165" fontId="32" fillId="0" borderId="10" xfId="1" applyNumberFormat="1" applyFont="1" applyBorder="1" applyAlignment="1" applyProtection="1">
      <alignment horizontal="center" vertical="center"/>
      <protection locked="0"/>
    </xf>
    <xf numFmtId="3" fontId="28" fillId="0" borderId="10" xfId="0" applyNumberFormat="1" applyFont="1" applyBorder="1" applyAlignment="1">
      <alignment horizontal="center" vertical="center"/>
    </xf>
    <xf numFmtId="165" fontId="28" fillId="0" borderId="10" xfId="1" applyNumberFormat="1" applyFont="1" applyBorder="1" applyAlignment="1">
      <alignment horizontal="center" vertical="center"/>
    </xf>
    <xf numFmtId="165" fontId="28" fillId="35" borderId="16" xfId="1" applyNumberFormat="1" applyFont="1" applyFill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165" fontId="21" fillId="0" borderId="10" xfId="1" applyNumberFormat="1" applyFont="1" applyBorder="1" applyAlignment="1">
      <alignment horizontal="center" vertical="center"/>
    </xf>
    <xf numFmtId="165" fontId="21" fillId="35" borderId="10" xfId="1" applyNumberFormat="1" applyFont="1" applyFill="1" applyBorder="1" applyAlignment="1">
      <alignment horizontal="center" vertical="center"/>
    </xf>
    <xf numFmtId="165" fontId="0" fillId="35" borderId="12" xfId="1" applyNumberFormat="1" applyFont="1" applyFill="1" applyBorder="1" applyAlignment="1">
      <alignment horizontal="center" vertical="center"/>
    </xf>
    <xf numFmtId="165" fontId="21" fillId="0" borderId="10" xfId="218" applyNumberFormat="1" applyFont="1" applyBorder="1" applyAlignment="1">
      <alignment horizontal="center" vertical="center"/>
    </xf>
    <xf numFmtId="165" fontId="0" fillId="35" borderId="12" xfId="218" applyNumberFormat="1" applyFont="1" applyFill="1" applyBorder="1" applyAlignment="1">
      <alignment horizontal="center" vertical="center"/>
    </xf>
    <xf numFmtId="165" fontId="21" fillId="35" borderId="10" xfId="218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3" fontId="0" fillId="0" borderId="0" xfId="0" applyNumberFormat="1"/>
    <xf numFmtId="3" fontId="0" fillId="0" borderId="0" xfId="0" applyNumberFormat="1"/>
    <xf numFmtId="0" fontId="0" fillId="0" borderId="10" xfId="0" applyBorder="1" applyAlignment="1">
      <alignment wrapText="1"/>
    </xf>
    <xf numFmtId="0" fontId="12" fillId="36" borderId="10" xfId="0" applyFont="1" applyFill="1" applyBorder="1" applyAlignment="1">
      <alignment horizontal="center" vertical="center"/>
    </xf>
    <xf numFmtId="164" fontId="23" fillId="0" borderId="10" xfId="2" applyNumberFormat="1" applyFont="1" applyFill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0" fontId="12" fillId="38" borderId="14" xfId="0" applyFont="1" applyFill="1" applyBorder="1" applyAlignment="1">
      <alignment horizontal="center" vertical="center" wrapText="1"/>
    </xf>
    <xf numFmtId="0" fontId="12" fillId="38" borderId="13" xfId="0" applyFont="1" applyFill="1" applyBorder="1" applyAlignment="1">
      <alignment horizontal="center" vertical="center" wrapText="1"/>
    </xf>
    <xf numFmtId="0" fontId="12" fillId="39" borderId="13" xfId="0" applyFont="1" applyFill="1" applyBorder="1" applyAlignment="1">
      <alignment horizontal="center" vertical="center" wrapText="1"/>
    </xf>
    <xf numFmtId="164" fontId="0" fillId="0" borderId="10" xfId="3" applyNumberFormat="1" applyFont="1" applyBorder="1" applyAlignment="1">
      <alignment horizontal="center" vertical="center" wrapText="1"/>
    </xf>
    <xf numFmtId="10" fontId="23" fillId="0" borderId="10" xfId="3" applyNumberFormat="1" applyFont="1" applyBorder="1" applyAlignment="1">
      <alignment horizontal="center" vertical="center"/>
    </xf>
    <xf numFmtId="3" fontId="0" fillId="35" borderId="10" xfId="3" applyNumberFormat="1" applyFont="1" applyFill="1" applyBorder="1" applyAlignment="1">
      <alignment horizontal="center" vertical="center"/>
    </xf>
    <xf numFmtId="3" fontId="1" fillId="35" borderId="10" xfId="3" applyNumberFormat="1" applyFont="1" applyFill="1" applyBorder="1" applyAlignment="1">
      <alignment horizontal="center" vertical="center"/>
    </xf>
  </cellXfs>
  <cellStyles count="648">
    <cellStyle name="20% - Énfasis1" xfId="21" builtinId="30" customBuiltin="1"/>
    <cellStyle name="20% - Énfasis1 2" xfId="127" xr:uid="{2562553E-2903-466A-B416-2BD51BE83FF9}"/>
    <cellStyle name="20% - Énfasis2" xfId="24" builtinId="34" customBuiltin="1"/>
    <cellStyle name="20% - Énfasis2 2" xfId="128" xr:uid="{1744F875-714A-40FE-864A-7288EAE7EEE4}"/>
    <cellStyle name="20% - Énfasis3" xfId="27" builtinId="38" customBuiltin="1"/>
    <cellStyle name="20% - Énfasis3 2" xfId="129" xr:uid="{A3DEF5AC-01BB-4816-A5D6-FA21431F87C8}"/>
    <cellStyle name="20% - Énfasis4" xfId="30" builtinId="42" customBuiltin="1"/>
    <cellStyle name="20% - Énfasis4 2" xfId="130" xr:uid="{1875C529-3400-4DAE-B67E-F7C169032812}"/>
    <cellStyle name="20% - Énfasis5" xfId="33" builtinId="46" customBuiltin="1"/>
    <cellStyle name="20% - Énfasis5 2" xfId="131" xr:uid="{96B1F80C-D986-45BB-A3C8-B7EBE3B8517C}"/>
    <cellStyle name="20% - Énfasis6" xfId="36" builtinId="50" customBuiltin="1"/>
    <cellStyle name="20% - Énfasis6 2" xfId="132" xr:uid="{4F3423C4-B5D8-4BC2-9FD8-3D6EB542C4BF}"/>
    <cellStyle name="40% - Énfasis1" xfId="22" builtinId="31" customBuiltin="1"/>
    <cellStyle name="40% - Énfasis1 2" xfId="133" xr:uid="{53250C96-FC58-43BF-BE1D-A80D9B76B79B}"/>
    <cellStyle name="40% - Énfasis2" xfId="25" builtinId="35" customBuiltin="1"/>
    <cellStyle name="40% - Énfasis2 2" xfId="134" xr:uid="{B08AB89E-82B4-48CF-B40C-9A73A4785C04}"/>
    <cellStyle name="40% - Énfasis3" xfId="28" builtinId="39" customBuiltin="1"/>
    <cellStyle name="40% - Énfasis3 2" xfId="135" xr:uid="{C937ADD9-AA39-444F-A358-CAC840F650E0}"/>
    <cellStyle name="40% - Énfasis4" xfId="31" builtinId="43" customBuiltin="1"/>
    <cellStyle name="40% - Énfasis4 2" xfId="136" xr:uid="{96C5C09A-9360-4A3A-9726-C7BA998A38E5}"/>
    <cellStyle name="40% - Énfasis5" xfId="34" builtinId="47" customBuiltin="1"/>
    <cellStyle name="40% - Énfasis5 2" xfId="137" xr:uid="{E6FFFB83-DCC7-4CE9-A2C6-89158E9A785E}"/>
    <cellStyle name="40% - Énfasis6" xfId="37" builtinId="51" customBuiltin="1"/>
    <cellStyle name="40% - Énfasis6 2" xfId="138" xr:uid="{8B08D87D-3E5A-489E-B31D-7F4ED68DE912}"/>
    <cellStyle name="60% - Énfasis1 2" xfId="191" xr:uid="{BD7D89D1-C6C9-45ED-A390-A5F47C63E250}"/>
    <cellStyle name="60% - Énfasis2 2" xfId="192" xr:uid="{19E5FA72-0D91-4693-BE96-322F36F319E1}"/>
    <cellStyle name="60% - Énfasis3 2" xfId="193" xr:uid="{9D6D1C28-C98D-4C96-B1FC-47A34F51F270}"/>
    <cellStyle name="60% - Énfasis4 2" xfId="194" xr:uid="{1055C2CE-395C-4E76-9731-E65E334F9236}"/>
    <cellStyle name="60% - Énfasis5 2" xfId="195" xr:uid="{3C16AE78-5D86-4866-BF42-6815ED209CD8}"/>
    <cellStyle name="60% - Énfasis6 2" xfId="196" xr:uid="{012A2F23-8D5F-4886-8B80-004D8B379490}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5" builtinId="16" customBuiltin="1"/>
    <cellStyle name="Encabezado 4" xfId="8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1" builtinId="20" customBuiltin="1"/>
    <cellStyle name="Euro" xfId="139" xr:uid="{AD4193FD-A4F4-444F-981A-C034D6D1CD33}"/>
    <cellStyle name="Excel Built-in Comma" xfId="162" xr:uid="{03943135-C5F2-4042-86C7-77C0977C08FB}"/>
    <cellStyle name="Excel Built-in Normal" xfId="163" xr:uid="{B8E018AD-E22D-444E-ACB3-C5A487096B6E}"/>
    <cellStyle name="Excel Built-in Normal 1" xfId="164" xr:uid="{2C409A7B-6872-4984-92AF-708BA8800697}"/>
    <cellStyle name="Incorrecto" xfId="10" builtinId="27" customBuiltin="1"/>
    <cellStyle name="Millares" xfId="1" builtinId="3"/>
    <cellStyle name="Millares [0]" xfId="2" builtinId="6"/>
    <cellStyle name="Millares [0] 2" xfId="54" xr:uid="{AEA13153-41AA-46DA-B71F-CDB559E0631C}"/>
    <cellStyle name="Millares [0] 2 2" xfId="60" xr:uid="{93A863E0-993F-46A5-AC31-C8DED97A3BE8}"/>
    <cellStyle name="Millares [0] 2 2 2" xfId="247" xr:uid="{46BEDA4F-C489-4A6F-A343-BAD4E1F32FD7}"/>
    <cellStyle name="Millares [0] 2 2 2 2" xfId="308" xr:uid="{6179B9E8-3B51-4440-A526-28CFCF61FC59}"/>
    <cellStyle name="Millares [0] 2 2 2 2 2" xfId="310" xr:uid="{7CE3CA94-B76B-4CF6-B97D-56BC42BFE87A}"/>
    <cellStyle name="Millares [0] 2 2 2 2 3" xfId="311" xr:uid="{1127CE6A-C2D2-476F-9E6E-994652EF087C}"/>
    <cellStyle name="Millares [0] 2 2 2 3" xfId="312" xr:uid="{B4EBB80A-8D49-4797-AB08-19F902126B47}"/>
    <cellStyle name="Millares [0] 2 2 2 4" xfId="313" xr:uid="{1543B4D9-362C-47EB-80B7-F6FADBF1BD59}"/>
    <cellStyle name="Millares [0] 2 2 2 5" xfId="314" xr:uid="{B153FF51-9705-47C4-BA5A-B1A9CB06F783}"/>
    <cellStyle name="Millares [0] 2 2 3" xfId="277" xr:uid="{049805BD-C370-41DB-BCAB-4975ADB5CA58}"/>
    <cellStyle name="Millares [0] 2 2 3 2" xfId="315" xr:uid="{EAC823B0-53C4-431B-AD21-EE96837EC3BB}"/>
    <cellStyle name="Millares [0] 2 2 3 3" xfId="316" xr:uid="{DD078295-684B-4BAB-9D21-1741B5AF6447}"/>
    <cellStyle name="Millares [0] 2 2 4" xfId="317" xr:uid="{3ECA65A2-12D0-4196-85F9-331E39832108}"/>
    <cellStyle name="Millares [0] 2 2 5" xfId="318" xr:uid="{FCBF9329-834B-44DA-99C0-C3E6CCB8784D}"/>
    <cellStyle name="Millares [0] 2 2 6" xfId="319" xr:uid="{A9666010-9DFE-4824-980A-07ED6DD57293}"/>
    <cellStyle name="Millares [0] 2 3" xfId="80" xr:uid="{6E2885E6-B4E7-4AC1-8AE9-CD6561EB4B6F}"/>
    <cellStyle name="Millares [0] 2 3 2" xfId="294" xr:uid="{33903E93-4EE2-46AC-8437-0630814B53B2}"/>
    <cellStyle name="Millares [0] 2 3 2 2" xfId="320" xr:uid="{52412E5F-EAD5-43EE-86AD-FCDE681087FB}"/>
    <cellStyle name="Millares [0] 2 3 2 3" xfId="321" xr:uid="{77012F87-23DB-4564-819E-BE361669034D}"/>
    <cellStyle name="Millares [0] 2 3 3" xfId="322" xr:uid="{943BD6D2-8A18-4428-B135-5F885D9BB44F}"/>
    <cellStyle name="Millares [0] 2 3 4" xfId="323" xr:uid="{F8788B3C-199A-4CE4-AB0C-32CF548DCD39}"/>
    <cellStyle name="Millares [0] 2 3 5" xfId="324" xr:uid="{3E5906B8-4E38-482A-9430-DC48ACB72913}"/>
    <cellStyle name="Millares [0] 2 4" xfId="68" xr:uid="{8ABC1646-FEA6-445A-8180-C150519161E3}"/>
    <cellStyle name="Millares [0] 2 4 2" xfId="325" xr:uid="{CDABD350-00D5-4CA8-9E33-22DC42D0E6CA}"/>
    <cellStyle name="Millares [0] 2 4 3" xfId="326" xr:uid="{CCF56AA5-BD28-44E8-AEC5-AA295B04E3D3}"/>
    <cellStyle name="Millares [0] 2 4 4" xfId="263" xr:uid="{D2B7C931-19E0-4D74-A8B1-634724F186D8}"/>
    <cellStyle name="Millares [0] 2 5" xfId="327" xr:uid="{7E81B6E2-BC5E-4432-975D-BA946469A48A}"/>
    <cellStyle name="Millares [0] 2 6" xfId="328" xr:uid="{79D62A9F-7F8A-4DDD-BB9A-3AD35AE21F45}"/>
    <cellStyle name="Millares [0] 2 7" xfId="329" xr:uid="{1268836F-7174-4A2F-911B-FF161EC5EB38}"/>
    <cellStyle name="Millares [0] 3" xfId="82" xr:uid="{9AC071A4-BEB0-4BD2-986B-7FF3CD85C978}"/>
    <cellStyle name="Millares [0] 3 2" xfId="239" xr:uid="{D173E38E-030E-4905-9029-328C659E57E1}"/>
    <cellStyle name="Millares [0] 3 2 2" xfId="300" xr:uid="{B5B70F78-A293-48D2-A3D6-B66FF9B39ED1}"/>
    <cellStyle name="Millares [0] 3 2 2 2" xfId="330" xr:uid="{BF46F775-2FFA-4830-ADFB-65601E381428}"/>
    <cellStyle name="Millares [0] 3 2 2 3" xfId="331" xr:uid="{C2587608-996F-4429-B818-EA416A5ADDE4}"/>
    <cellStyle name="Millares [0] 3 2 3" xfId="332" xr:uid="{0DBE2C87-2EF6-4DDF-B973-42F86E6E1483}"/>
    <cellStyle name="Millares [0] 3 2 4" xfId="333" xr:uid="{3505EC08-BC08-4E8B-8317-CB6028C2F39F}"/>
    <cellStyle name="Millares [0] 3 2 5" xfId="334" xr:uid="{6855BA61-4486-40CF-9A7C-1B6AFBAB08FF}"/>
    <cellStyle name="Millares [0] 3 3" xfId="269" xr:uid="{F5C3582D-D7AF-4F3D-B16F-582058A0906B}"/>
    <cellStyle name="Millares [0] 3 3 2" xfId="335" xr:uid="{CD87E56B-ED1B-4910-A78E-64AE5C830492}"/>
    <cellStyle name="Millares [0] 3 3 3" xfId="336" xr:uid="{0B3D3350-B348-4283-9999-ED94ADA9E711}"/>
    <cellStyle name="Millares [0] 3 4" xfId="337" xr:uid="{A019BE58-E437-4D05-BE40-B387FAA5A6BE}"/>
    <cellStyle name="Millares [0] 3 5" xfId="338" xr:uid="{937BE1B9-3DE9-4B57-9AD0-BEF669CF141D}"/>
    <cellStyle name="Millares [0] 3 6" xfId="339" xr:uid="{777AA0D5-0709-4AAE-A4F9-AC209AD85D7D}"/>
    <cellStyle name="Millares [0] 4" xfId="212" xr:uid="{44FA4254-634A-42FF-AD83-0108A2E60441}"/>
    <cellStyle name="Millares [0] 4 2" xfId="240" xr:uid="{10827532-E1CA-48D3-BFC8-09F64EFE69CD}"/>
    <cellStyle name="Millares [0] 4 2 2" xfId="301" xr:uid="{215BA7D0-0A15-4AF4-92E5-1E617841C61B}"/>
    <cellStyle name="Millares [0] 4 2 2 2" xfId="340" xr:uid="{BC59A3D6-F4F0-44C1-8641-A1BEA697E0E3}"/>
    <cellStyle name="Millares [0] 4 2 2 3" xfId="341" xr:uid="{4A77DD48-9B43-4FE5-8502-32608114F5CD}"/>
    <cellStyle name="Millares [0] 4 2 3" xfId="342" xr:uid="{8077F723-A0A4-402C-9933-8501A588FEFB}"/>
    <cellStyle name="Millares [0] 4 2 4" xfId="343" xr:uid="{206C0839-C2F1-405A-8FB8-655E5A03BFBA}"/>
    <cellStyle name="Millares [0] 4 2 5" xfId="344" xr:uid="{5D23692A-FF40-4526-AD23-57CF26491D18}"/>
    <cellStyle name="Millares [0] 4 3" xfId="270" xr:uid="{2CCCFD08-2C1A-459A-A591-1FFA7AEBDDCE}"/>
    <cellStyle name="Millares [0] 4 3 2" xfId="345" xr:uid="{4A2AA8AA-0EC7-40B4-B09A-1402BB4CA523}"/>
    <cellStyle name="Millares [0] 4 3 3" xfId="346" xr:uid="{219C50BD-4687-4CA9-BB72-5F837B6E03C0}"/>
    <cellStyle name="Millares [0] 4 4" xfId="347" xr:uid="{FF34F95D-C476-4BDD-8011-4190B08CB45E}"/>
    <cellStyle name="Millares [0] 4 5" xfId="348" xr:uid="{E8BD3F0E-004E-4965-A7C4-98EF0C60CE5E}"/>
    <cellStyle name="Millares [0] 4 6" xfId="349" xr:uid="{321F043A-DDAE-40DC-95BC-6806FFD3288D}"/>
    <cellStyle name="Millares [0] 5" xfId="215" xr:uid="{EA93B807-318E-4443-97F0-0A433B2A0880}"/>
    <cellStyle name="Millares [0] 5 2" xfId="243" xr:uid="{5D257560-86B4-4692-8C80-489205FAEC5E}"/>
    <cellStyle name="Millares [0] 5 2 2" xfId="304" xr:uid="{475825D0-4117-4537-ACF7-93D15743BE18}"/>
    <cellStyle name="Millares [0] 5 2 2 2" xfId="350" xr:uid="{9C11F205-2F9A-4238-B349-2BA0F8F0D1A5}"/>
    <cellStyle name="Millares [0] 5 2 2 3" xfId="351" xr:uid="{7F572095-3DB6-4D06-87A6-555025C4BFD3}"/>
    <cellStyle name="Millares [0] 5 2 3" xfId="352" xr:uid="{C1AA65CB-F4AA-443E-8BE5-A44F2F4AAA8B}"/>
    <cellStyle name="Millares [0] 5 2 4" xfId="353" xr:uid="{F45691C6-3BFA-4906-BBEA-1B7B28F6FC9F}"/>
    <cellStyle name="Millares [0] 5 2 5" xfId="354" xr:uid="{ADB81AE8-0ADB-40AA-9798-8D0BF9AFF1A7}"/>
    <cellStyle name="Millares [0] 5 3" xfId="273" xr:uid="{8B2A0FE8-DD9C-4750-B50D-271A4EFBAAAB}"/>
    <cellStyle name="Millares [0] 5 3 2" xfId="355" xr:uid="{AF74FE03-4DA7-4159-AC30-272C7C794E60}"/>
    <cellStyle name="Millares [0] 5 3 3" xfId="356" xr:uid="{C0D0DB7D-D06A-4465-BE8A-58CE0636E98D}"/>
    <cellStyle name="Millares [0] 5 4" xfId="357" xr:uid="{6308CB54-66BB-453D-84DC-DCABB1D9B15E}"/>
    <cellStyle name="Millares [0] 5 5" xfId="358" xr:uid="{424235CD-1B2E-4395-99D5-29A8CCD01D0B}"/>
    <cellStyle name="Millares [0] 5 6" xfId="359" xr:uid="{558F9CA1-82C0-4FA2-9D27-C05CA351A5DD}"/>
    <cellStyle name="Millares [0] 6" xfId="204" xr:uid="{5A8AF0A3-5D43-498B-A160-7510A3D2B156}"/>
    <cellStyle name="Millares [0] 6 2" xfId="234" xr:uid="{3C1ABB7A-7130-4609-806F-B64BF5F2887A}"/>
    <cellStyle name="Millares [0] 6 2 2" xfId="295" xr:uid="{603959F1-E8BA-4A84-B670-323EB7094299}"/>
    <cellStyle name="Millares [0] 6 2 2 2" xfId="360" xr:uid="{EA1FFA22-162E-47FE-91F4-A87ED325EF69}"/>
    <cellStyle name="Millares [0] 6 2 2 3" xfId="361" xr:uid="{A9E37046-83EB-4038-9D8C-16A8C29A6A11}"/>
    <cellStyle name="Millares [0] 6 2 3" xfId="362" xr:uid="{B30656E0-A915-403D-A72F-A02B726E1912}"/>
    <cellStyle name="Millares [0] 6 2 4" xfId="363" xr:uid="{CC643856-41C0-450C-8267-E44DB630ED98}"/>
    <cellStyle name="Millares [0] 6 2 5" xfId="364" xr:uid="{1DF72ED5-5193-47E1-9A63-0328B3E67282}"/>
    <cellStyle name="Millares [0] 6 3" xfId="264" xr:uid="{6A830C10-5AAB-487C-BD51-A047BA62A89D}"/>
    <cellStyle name="Millares [0] 6 3 2" xfId="365" xr:uid="{E2C36B9D-E1D2-4515-AB9F-DF1E9B044249}"/>
    <cellStyle name="Millares [0] 6 3 3" xfId="366" xr:uid="{086CC553-1246-4651-A6C2-659E11F879F5}"/>
    <cellStyle name="Millares [0] 6 4" xfId="367" xr:uid="{F43F7D19-12FD-4438-A1F6-023C7D7CC263}"/>
    <cellStyle name="Millares [0] 6 5" xfId="368" xr:uid="{AE61EECC-569B-4614-AA8E-E497C748A92B}"/>
    <cellStyle name="Millares [0] 6 6" xfId="369" xr:uid="{29BFEB38-E91B-4559-A289-B2441B121093}"/>
    <cellStyle name="Millares 10" xfId="85" xr:uid="{6B09FB6B-175A-4748-B304-7108CC482FE6}"/>
    <cellStyle name="Millares 10 2" xfId="370" xr:uid="{2FA1827C-7038-4594-8B1C-CBFB52CA1B6A}"/>
    <cellStyle name="Millares 10 3" xfId="371" xr:uid="{9EAF81C1-D48A-41DD-95BA-ED262EFC3CA9}"/>
    <cellStyle name="Millares 11" xfId="86" xr:uid="{A404D022-3901-4C38-9820-EB5B37E6987D}"/>
    <cellStyle name="Millares 11 2" xfId="372" xr:uid="{4DA95FA7-CAE5-4DFD-BC84-02EEAC51FD7B}"/>
    <cellStyle name="Millares 12" xfId="64" xr:uid="{3DB8B12B-DF81-4189-A98B-5E6C4F33D3A6}"/>
    <cellStyle name="Millares 12 2" xfId="96" xr:uid="{2B49A580-A875-49D6-A638-F708E3B5B769}"/>
    <cellStyle name="Millares 12 2 2" xfId="373" xr:uid="{B75F879B-5AAA-419B-A072-03E79DE74EEA}"/>
    <cellStyle name="Millares 13" xfId="309" xr:uid="{ED9099D9-8EFB-4D47-A7B3-BCF11C8BC6BC}"/>
    <cellStyle name="Millares 13 2" xfId="374" xr:uid="{C330EF35-55A0-44AA-9304-0B3B2A6D9C97}"/>
    <cellStyle name="Millares 13 2 2" xfId="200" xr:uid="{AB63B8E0-AFD8-4231-B107-B57C3EA00AA9}"/>
    <cellStyle name="Millares 13 2 2 2" xfId="230" xr:uid="{DE25C4CD-91EA-4F17-B90A-46498BA0F80C}"/>
    <cellStyle name="Millares 13 2 2 2 2" xfId="290" xr:uid="{D03BEDB2-ADED-487D-BDB2-190D6D6E6FF1}"/>
    <cellStyle name="Millares 13 2 2 2 2 2" xfId="375" xr:uid="{33EAAB04-1793-4F45-BD2B-C7879289B5F3}"/>
    <cellStyle name="Millares 13 2 2 2 2 3" xfId="376" xr:uid="{9A965FB3-A611-4368-8ADC-786C97A5CA93}"/>
    <cellStyle name="Millares 13 2 2 2 3" xfId="377" xr:uid="{9CC2F14F-919B-48DA-8731-689FE8455DBD}"/>
    <cellStyle name="Millares 13 2 2 2 4" xfId="378" xr:uid="{A8164CCC-4C5A-402E-A96E-D5E1560A1DE8}"/>
    <cellStyle name="Millares 13 2 2 2 5" xfId="379" xr:uid="{DCF6109D-8490-409D-9301-FC7F94D68195}"/>
    <cellStyle name="Millares 13 2 2 3" xfId="259" xr:uid="{AC633A6C-5532-4044-9C7D-05EAC2A27E8D}"/>
    <cellStyle name="Millares 13 2 2 3 2" xfId="380" xr:uid="{F471E18C-F119-4DEA-84B4-4468C3E25121}"/>
    <cellStyle name="Millares 13 2 2 3 3" xfId="381" xr:uid="{934295D6-B750-4B40-BBE6-8B47441D9C4B}"/>
    <cellStyle name="Millares 13 2 2 4" xfId="382" xr:uid="{B42D65CF-798C-4BC0-B6A0-F9DDC5F8538D}"/>
    <cellStyle name="Millares 13 2 2 5" xfId="383" xr:uid="{B4B8C9AE-EDCB-42DB-A2FE-DE60DEAA6DD4}"/>
    <cellStyle name="Millares 13 2 2 6" xfId="384" xr:uid="{E95D8592-BF8D-4F89-8543-DD422B0C7504}"/>
    <cellStyle name="Millares 13 2 3 2 2 2 2 2 2 2 2 2" xfId="206" xr:uid="{371B89FB-7E85-417E-B9CD-CBC0E51674FC}"/>
    <cellStyle name="Millares 13 2 3 2 2 2 2 2 2 2 2 2 2" xfId="236" xr:uid="{174D5446-DDA8-4AE1-9D5A-00392C3BD3E9}"/>
    <cellStyle name="Millares 13 2 3 2 2 2 2 2 2 2 2 2 2 2" xfId="297" xr:uid="{07BFA34E-B90B-4151-91F9-D54A51F4C056}"/>
    <cellStyle name="Millares 13 2 3 2 2 2 2 2 2 2 2 2 2 2 2" xfId="385" xr:uid="{2364D4F4-2530-4307-9C72-1C867D88AF3C}"/>
    <cellStyle name="Millares 13 2 3 2 2 2 2 2 2 2 2 2 2 2 3" xfId="386" xr:uid="{7E7C3E91-CB19-41D2-AC1B-7A94382FA81D}"/>
    <cellStyle name="Millares 13 2 3 2 2 2 2 2 2 2 2 2 2 3" xfId="387" xr:uid="{66925189-3957-4C4B-A5B8-350CEBCF47E8}"/>
    <cellStyle name="Millares 13 2 3 2 2 2 2 2 2 2 2 2 2 4" xfId="388" xr:uid="{C449AA37-16FF-4F3A-9471-20F9213ECC44}"/>
    <cellStyle name="Millares 13 2 3 2 2 2 2 2 2 2 2 2 2 5" xfId="389" xr:uid="{CAF7FFA1-A766-4DBA-BE62-2C3DFBBB038A}"/>
    <cellStyle name="Millares 13 2 3 2 2 2 2 2 2 2 2 2 3" xfId="266" xr:uid="{2817719A-769E-409C-B9E9-B78659A9D4CE}"/>
    <cellStyle name="Millares 13 2 3 2 2 2 2 2 2 2 2 2 3 2" xfId="390" xr:uid="{3CBECA75-1780-48E2-99EC-5A21561AECA2}"/>
    <cellStyle name="Millares 13 2 3 2 2 2 2 2 2 2 2 2 3 3" xfId="391" xr:uid="{F77ACE61-F6F1-4430-A261-A0778DE93330}"/>
    <cellStyle name="Millares 13 2 3 2 2 2 2 2 2 2 2 2 4" xfId="392" xr:uid="{FE4D3288-824E-4201-91C4-31008FFCEA7E}"/>
    <cellStyle name="Millares 13 2 3 2 2 2 2 2 2 2 2 2 5" xfId="393" xr:uid="{5E144FA4-7CF9-4149-9BD6-120472BB7C6B}"/>
    <cellStyle name="Millares 13 2 3 2 2 2 2 2 2 2 2 2 6" xfId="394" xr:uid="{6B757EB2-0F61-4EF0-9098-FDDFDF88B0C9}"/>
    <cellStyle name="Millares 14" xfId="395" xr:uid="{D5085456-2B32-4523-A866-AFB7E6B9796F}"/>
    <cellStyle name="Millares 15" xfId="396" xr:uid="{B3366E02-16F5-40BB-B428-1DFABBCEC709}"/>
    <cellStyle name="Millares 16" xfId="397" xr:uid="{A92F173D-8ADA-40D2-A2B2-7597BE0B5EF5}"/>
    <cellStyle name="Millares 16 3" xfId="203" xr:uid="{B3FED19B-005A-4A57-9F66-57FEE5D82746}"/>
    <cellStyle name="Millares 16 3 2" xfId="233" xr:uid="{46A28F4B-DA32-4B50-98D7-4B169C058C81}"/>
    <cellStyle name="Millares 16 3 2 2" xfId="293" xr:uid="{B37C60B2-5FA3-4EE5-A852-19B5A3425DC0}"/>
    <cellStyle name="Millares 16 3 2 2 2" xfId="398" xr:uid="{71FDAA40-F295-400A-A9E2-0F42EAFAC5A8}"/>
    <cellStyle name="Millares 16 3 2 2 2 2 2 2 2 2 2" xfId="207" xr:uid="{32670005-34E1-43F6-81C9-9A129BCCA466}"/>
    <cellStyle name="Millares 16 3 2 2 2 2 2 2 2 2 2 2" xfId="237" xr:uid="{608A82A8-0286-405E-B784-537436A593F3}"/>
    <cellStyle name="Millares 16 3 2 2 2 2 2 2 2 2 2 2 2" xfId="298" xr:uid="{7E8CC380-7C23-478B-A0FE-A71EF1C6CB67}"/>
    <cellStyle name="Millares 16 3 2 2 2 2 2 2 2 2 2 2 2 2" xfId="399" xr:uid="{1BA4E554-97DD-4840-A29E-6FA9BAC628D5}"/>
    <cellStyle name="Millares 16 3 2 2 2 2 2 2 2 2 2 2 2 3" xfId="400" xr:uid="{A8D3664C-DF23-4A0A-B58E-35B993C4C518}"/>
    <cellStyle name="Millares 16 3 2 2 2 2 2 2 2 2 2 2 3" xfId="401" xr:uid="{3A02B458-43EC-4FDD-9B5A-2D79F169F9B0}"/>
    <cellStyle name="Millares 16 3 2 2 2 2 2 2 2 2 2 2 4" xfId="402" xr:uid="{410D1172-9B0C-41CF-89F3-8FC4B78FBA38}"/>
    <cellStyle name="Millares 16 3 2 2 2 2 2 2 2 2 2 2 5" xfId="403" xr:uid="{CB5929B2-EBF4-4338-8BAC-1553A72F5888}"/>
    <cellStyle name="Millares 16 3 2 2 2 2 2 2 2 2 2 3" xfId="267" xr:uid="{3A340C87-BA24-4FCE-94F5-D012FF3D41BA}"/>
    <cellStyle name="Millares 16 3 2 2 2 2 2 2 2 2 2 3 2" xfId="404" xr:uid="{692B6EBC-5D15-4640-8D12-ACF04DA68E2B}"/>
    <cellStyle name="Millares 16 3 2 2 2 2 2 2 2 2 2 3 3" xfId="405" xr:uid="{4D74E6E8-36AC-46E0-87EB-D3041D3C9A1F}"/>
    <cellStyle name="Millares 16 3 2 2 2 2 2 2 2 2 2 4" xfId="406" xr:uid="{56043D91-1333-4F6E-B9D9-9F5D330B7915}"/>
    <cellStyle name="Millares 16 3 2 2 2 2 2 2 2 2 2 5" xfId="407" xr:uid="{7B85607B-9B3F-4CA3-AD64-139730A1977E}"/>
    <cellStyle name="Millares 16 3 2 2 2 2 2 2 2 2 2 6" xfId="408" xr:uid="{EFECE78D-0753-41F3-BAD8-B0DCAC4DFA03}"/>
    <cellStyle name="Millares 16 3 2 3" xfId="409" xr:uid="{8F4F6264-C507-441F-A43F-48907DC32A8A}"/>
    <cellStyle name="Millares 16 3 2 4" xfId="410" xr:uid="{CF838C6F-F32A-45CF-BB94-8122E6855874}"/>
    <cellStyle name="Millares 16 3 2 5" xfId="411" xr:uid="{FE9B0815-9D81-40D1-B510-A08736D86530}"/>
    <cellStyle name="Millares 16 3 3" xfId="262" xr:uid="{E20901BE-72B3-4BE0-AACE-D644DCE6DA28}"/>
    <cellStyle name="Millares 16 3 3 2" xfId="412" xr:uid="{16E76FB5-3BB2-4871-8423-0D45E00481C5}"/>
    <cellStyle name="Millares 16 3 3 3" xfId="413" xr:uid="{B7403CFF-F7AE-4ACC-80FC-97EEFEC7CC2E}"/>
    <cellStyle name="Millares 16 3 4" xfId="414" xr:uid="{21462ABD-F7D2-47BB-86F6-58E1D7ED905E}"/>
    <cellStyle name="Millares 16 3 5" xfId="415" xr:uid="{7FDC6318-CAEE-4D67-877C-85723E8E6FD0}"/>
    <cellStyle name="Millares 16 3 6" xfId="416" xr:uid="{58601716-EC6E-4C32-BEA0-ED1FF0D847CC}"/>
    <cellStyle name="Millares 17" xfId="417" xr:uid="{9CFF5BD9-AF77-4693-A723-58C50F95D265}"/>
    <cellStyle name="Millares 18" xfId="218" xr:uid="{B67F897F-7D94-4739-A5F4-44636D7EC038}"/>
    <cellStyle name="Millares 18 2 2 8 2 2 2 2 2 2" xfId="205" xr:uid="{E51F9F00-3781-458D-BD14-A0A39FFB931C}"/>
    <cellStyle name="Millares 18 2 2 8 2 2 2 2 2 2 2" xfId="235" xr:uid="{206D8044-32AE-4EA1-94E9-76CD11F2194F}"/>
    <cellStyle name="Millares 18 2 2 8 2 2 2 2 2 2 2 2" xfId="296" xr:uid="{5B644677-ED25-4C9C-BE80-9A576BAEA871}"/>
    <cellStyle name="Millares 18 2 2 8 2 2 2 2 2 2 2 2 2" xfId="418" xr:uid="{61F09168-9C3C-486C-8EB0-A58A05632BA9}"/>
    <cellStyle name="Millares 18 2 2 8 2 2 2 2 2 2 2 2 3" xfId="419" xr:uid="{9002B834-A45A-410A-AE3B-A4B65DE98A8F}"/>
    <cellStyle name="Millares 18 2 2 8 2 2 2 2 2 2 2 3" xfId="420" xr:uid="{5DFB0B06-ED0B-4354-9BC1-4E3F45DCA54A}"/>
    <cellStyle name="Millares 18 2 2 8 2 2 2 2 2 2 2 4" xfId="421" xr:uid="{4A89EC28-A629-47FF-B633-B7137A792D42}"/>
    <cellStyle name="Millares 18 2 2 8 2 2 2 2 2 2 2 5" xfId="422" xr:uid="{E258D337-3745-46FB-8C28-594CEAEC5E17}"/>
    <cellStyle name="Millares 18 2 2 8 2 2 2 2 2 2 3" xfId="265" xr:uid="{FEE46F02-BFA5-4F4C-ADF3-7B74FF24233B}"/>
    <cellStyle name="Millares 18 2 2 8 2 2 2 2 2 2 3 2" xfId="423" xr:uid="{20B65EBD-4D1C-42E2-9B8A-EBCF1EED3A76}"/>
    <cellStyle name="Millares 18 2 2 8 2 2 2 2 2 2 3 3" xfId="424" xr:uid="{EFCF2641-42D6-40C8-998B-6E75A26A3936}"/>
    <cellStyle name="Millares 18 2 2 8 2 2 2 2 2 2 4" xfId="425" xr:uid="{816C76F6-6478-43C6-95BE-B19B05D4F808}"/>
    <cellStyle name="Millares 18 2 2 8 2 2 2 2 2 2 5" xfId="426" xr:uid="{4F084110-0C7C-4658-9EB8-DD789E8DB163}"/>
    <cellStyle name="Millares 18 2 2 8 2 2 2 2 2 2 6" xfId="427" xr:uid="{447825E1-4C47-46BF-B643-E0A3DE04F135}"/>
    <cellStyle name="Millares 2" xfId="50" xr:uid="{9BD9CE22-430D-4649-80AE-8B7D39608A6E}"/>
    <cellStyle name="Millares 2 10" xfId="428" xr:uid="{5CE33997-504B-4432-800D-B105C6135618}"/>
    <cellStyle name="Millares 2 11" xfId="429" xr:uid="{6B252B7B-C0CE-4571-87D7-1B85C2B7D779}"/>
    <cellStyle name="Millares 2 2" xfId="52" xr:uid="{103B7724-C622-4563-8754-499DFA39B78A}"/>
    <cellStyle name="Millares 2 2 2" xfId="48" xr:uid="{0138545F-9F4F-43A9-876C-A326F4932F92}"/>
    <cellStyle name="Millares 2 2 2 2" xfId="51" xr:uid="{9B07D319-0F61-49BF-BA60-67F480C68412}"/>
    <cellStyle name="Millares 2 2 2 2 2" xfId="55" xr:uid="{79317D8E-62A8-4C85-9836-EA56E8E18F1B}"/>
    <cellStyle name="Millares 2 2 2 2 2 2" xfId="61" xr:uid="{6BFD1538-A08B-4C5E-8392-7DE1D6B76380}"/>
    <cellStyle name="Millares 2 2 2 2 2 3" xfId="430" xr:uid="{9C5BDA24-CD7C-4859-8EF5-470EBC61099B}"/>
    <cellStyle name="Millares 2 2 2 2 3" xfId="58" xr:uid="{E7C88BFA-384F-45FA-8A11-D566EBBAA34E}"/>
    <cellStyle name="Millares 2 2 2 2 4" xfId="83" xr:uid="{3F742C14-BD0D-4FF6-9B70-9D9D1707DA9B}"/>
    <cellStyle name="Millares 2 2 2 2 5" xfId="122" xr:uid="{8AC4DC61-C030-4486-B04C-4DDA5541EC09}"/>
    <cellStyle name="Millares 2 2 2 3" xfId="78" xr:uid="{885D71FD-0C70-44A1-A684-AFD407C3CE38}"/>
    <cellStyle name="Millares 2 2 2 3 2" xfId="431" xr:uid="{FC06CB43-C3C7-45D2-85E7-F653388D31C9}"/>
    <cellStyle name="Millares 2 2 2 3 3" xfId="432" xr:uid="{9B3F94E8-F3EE-42F4-BD79-2C1F15BC2B6D}"/>
    <cellStyle name="Millares 2 2 2 4" xfId="433" xr:uid="{B92D114A-F67F-45B1-84FA-CE2C87BF70ED}"/>
    <cellStyle name="Millares 2 2 2 5" xfId="434" xr:uid="{640056BF-FD3C-4DC1-A5EA-16786EB7D5D9}"/>
    <cellStyle name="Millares 2 2 2 6" xfId="435" xr:uid="{5FF119D7-EC5F-4FA0-9822-DC97C37DC38D}"/>
    <cellStyle name="Millares 2 2 3" xfId="56" xr:uid="{7DE83B2A-13C3-41D2-9878-CDC6A3AC7494}"/>
    <cellStyle name="Millares 2 2 3 2" xfId="62" xr:uid="{4B7194B4-832E-4D58-98EC-C1E9D7660932}"/>
    <cellStyle name="Millares 2 2 3 2 2" xfId="123" xr:uid="{38F94D79-0B9A-480B-969E-C578CC52F684}"/>
    <cellStyle name="Millares 2 2 3 2 2 2" xfId="436" xr:uid="{DDCD13EC-83C3-400C-AD71-4796185BEAE5}"/>
    <cellStyle name="Millares 2 2 3 2 2 3" xfId="437" xr:uid="{C8D0C4BF-2A65-4D24-BD7B-45BE5985F8E4}"/>
    <cellStyle name="Millares 2 2 3 2 3" xfId="438" xr:uid="{EBE6E496-32D8-4A69-88D2-602954AD0726}"/>
    <cellStyle name="Millares 2 2 3 2 4" xfId="439" xr:uid="{E7E7EC24-5948-491C-B676-5733D647EE04}"/>
    <cellStyle name="Millares 2 2 3 2 5" xfId="440" xr:uid="{5B808482-D650-4E0B-ABC2-C0AF35A4E5C0}"/>
    <cellStyle name="Millares 2 2 3 3" xfId="113" xr:uid="{2085E687-54CC-4E23-B5DE-B0F588DE9857}"/>
    <cellStyle name="Millares 2 2 3 3 2" xfId="441" xr:uid="{2A555BC0-D169-4E4B-BDA4-70279840CAE8}"/>
    <cellStyle name="Millares 2 2 3 3 3" xfId="442" xr:uid="{A789ED8F-11B2-4826-9D3A-723372BFCB53}"/>
    <cellStyle name="Millares 2 2 3 4" xfId="443" xr:uid="{1C38AB73-C843-4B60-A5A4-417C9B70E53D}"/>
    <cellStyle name="Millares 2 2 3 5" xfId="444" xr:uid="{77690E00-2D96-4AA0-BF57-2B21F8771EC2}"/>
    <cellStyle name="Millares 2 2 3 6" xfId="445" xr:uid="{0A17AF4B-7505-40A3-A3D0-FEECB6B38B9E}"/>
    <cellStyle name="Millares 2 2 4" xfId="59" xr:uid="{1371AB91-CBC4-42C9-AA64-00937660557F}"/>
    <cellStyle name="Millares 2 2 4 2" xfId="279" xr:uid="{A9DFCCED-57F6-4AF6-BA09-E4A7339B0604}"/>
    <cellStyle name="Millares 2 2 4 2 2" xfId="446" xr:uid="{60D768D1-4BE0-4152-B863-7729CDB69A0F}"/>
    <cellStyle name="Millares 2 2 4 2 3" xfId="447" xr:uid="{59B855EC-02D8-4C66-9D75-5349FF835727}"/>
    <cellStyle name="Millares 2 2 4 3" xfId="448" xr:uid="{1EA346D0-DE13-4256-AD6F-056D08947A13}"/>
    <cellStyle name="Millares 2 2 4 4" xfId="449" xr:uid="{E3A5041D-E13D-4FF0-826E-F5B1F45834C2}"/>
    <cellStyle name="Millares 2 2 4 5" xfId="450" xr:uid="{E65C7FDF-1236-407C-9B5B-108BFEBD4050}"/>
    <cellStyle name="Millares 2 2 4 6" xfId="220" xr:uid="{E424623A-B16E-4AE8-8E6E-494819770491}"/>
    <cellStyle name="Millares 2 2 5" xfId="84" xr:uid="{D784CF5E-A70A-41D4-8297-C8BFE9576BBB}"/>
    <cellStyle name="Millares 2 2 5 2" xfId="451" xr:uid="{7BCA4F3D-23BD-4749-81D8-F9D1F10F25A7}"/>
    <cellStyle name="Millares 2 2 5 3" xfId="452" xr:uid="{2C515A4D-4A4D-482A-94B9-2BB43195FD16}"/>
    <cellStyle name="Millares 2 2 5 4" xfId="249" xr:uid="{10B12BB9-9CAA-4602-8059-216DA20DB9CB}"/>
    <cellStyle name="Millares 2 2 6" xfId="79" xr:uid="{32C53087-4FFC-4AFE-9CC3-4CBBBA6CD4B5}"/>
    <cellStyle name="Millares 2 2 6 2" xfId="453" xr:uid="{85EC67D0-B288-45C7-9AD0-A04AF87F77CB}"/>
    <cellStyle name="Millares 2 2 7" xfId="454" xr:uid="{816508D2-92CA-4546-BD0C-BE65D157FEDE}"/>
    <cellStyle name="Millares 2 2 8" xfId="455" xr:uid="{CBC95ABB-02F3-4DF5-95C5-9CE6A82FEEF1}"/>
    <cellStyle name="Millares 2 3" xfId="93" xr:uid="{604D039D-F297-43EA-9A11-8A5F12455EB1}"/>
    <cellStyle name="Millares 2 3 2" xfId="118" xr:uid="{4401F986-016D-49F6-B4FE-49CB346C6A6A}"/>
    <cellStyle name="Millares 2 3 2 2" xfId="280" xr:uid="{7852C6CA-F31D-4DA7-AE18-BCAB2117C45B}"/>
    <cellStyle name="Millares 2 3 2 2 2" xfId="456" xr:uid="{893AC6E3-CEFE-4910-AE5D-ED1451AA247F}"/>
    <cellStyle name="Millares 2 3 2 2 3" xfId="457" xr:uid="{47B881D6-194B-47BC-96F2-06BB5910E819}"/>
    <cellStyle name="Millares 2 3 2 3" xfId="458" xr:uid="{ECF83849-E06C-456E-AD05-700BE4A7D868}"/>
    <cellStyle name="Millares 2 3 2 4" xfId="459" xr:uid="{BBC4C6C3-1FA5-4212-9578-9BE3F50E6C32}"/>
    <cellStyle name="Millares 2 3 2 5" xfId="460" xr:uid="{2FB73124-B22C-4175-B70C-4265C4001E02}"/>
    <cellStyle name="Millares 2 3 2 6" xfId="221" xr:uid="{A5E1C32A-B0A5-44B8-A54A-2CD3E0A4B7AB}"/>
    <cellStyle name="Millares 2 3 3" xfId="250" xr:uid="{836911BD-FC05-4856-BF97-21BE2AF15777}"/>
    <cellStyle name="Millares 2 3 3 2" xfId="461" xr:uid="{E44C2481-8F31-4C89-8746-BDADE2F1B6BB}"/>
    <cellStyle name="Millares 2 3 3 3" xfId="462" xr:uid="{3E465C09-38CB-44A1-9C4A-AEF128B9D5A7}"/>
    <cellStyle name="Millares 2 3 4" xfId="463" xr:uid="{F84A4607-C78A-4E48-8B06-3D0B08ADE006}"/>
    <cellStyle name="Millares 2 3 5" xfId="464" xr:uid="{046A2D2D-E111-4E3F-9374-FFFA58A888BA}"/>
    <cellStyle name="Millares 2 3 6" xfId="465" xr:uid="{83F53ED5-9786-452D-A070-3A5C4077E399}"/>
    <cellStyle name="Millares 2 3 7" xfId="140" xr:uid="{D2B3F4C9-2CF1-41E2-8DA1-A38356B929EB}"/>
    <cellStyle name="Millares 2 4" xfId="97" xr:uid="{2200906F-43CD-4EAF-A15D-18A4B6C6C2FA}"/>
    <cellStyle name="Millares 2 4 2" xfId="119" xr:uid="{7BDE9B6F-06D2-48BC-9BE4-F61DC3C4D8DE}"/>
    <cellStyle name="Millares 2 4 2 2" xfId="281" xr:uid="{FC725FA9-D617-4E97-AB6B-A1D4B8DB5D8A}"/>
    <cellStyle name="Millares 2 4 2 2 2" xfId="466" xr:uid="{C2A43667-94DC-468B-AC5D-6641085603BA}"/>
    <cellStyle name="Millares 2 4 2 2 3" xfId="467" xr:uid="{6FE85616-1A6D-4A1C-A83C-C4F94FA6A67E}"/>
    <cellStyle name="Millares 2 4 2 3" xfId="468" xr:uid="{40A2992D-B48A-42BE-9DA4-A6F17D3EA429}"/>
    <cellStyle name="Millares 2 4 2 4" xfId="469" xr:uid="{655474FA-3B32-4382-A443-E366451003A3}"/>
    <cellStyle name="Millares 2 4 2 5" xfId="470" xr:uid="{5A3F1B87-860A-4515-85D8-807F4FAB7B22}"/>
    <cellStyle name="Millares 2 4 2 6" xfId="222" xr:uid="{6FC41FB9-12C9-42A3-8B8A-5BCA54C970C6}"/>
    <cellStyle name="Millares 2 4 3" xfId="251" xr:uid="{FD1C731E-9258-47F5-8C27-D950A1F0C6BD}"/>
    <cellStyle name="Millares 2 4 3 2" xfId="471" xr:uid="{D585306C-9A57-4B0A-BE98-FCE53DE747CF}"/>
    <cellStyle name="Millares 2 4 3 3" xfId="472" xr:uid="{39CF880E-D0B2-48FF-B02A-38486D883D5C}"/>
    <cellStyle name="Millares 2 4 4" xfId="473" xr:uid="{6030B209-0656-46AC-8618-E956FD6200FD}"/>
    <cellStyle name="Millares 2 4 5" xfId="474" xr:uid="{15FC4C20-DB2A-4E99-96FF-B80C9030DE91}"/>
    <cellStyle name="Millares 2 4 6" xfId="475" xr:uid="{6654C598-3F48-40AC-8BC8-27AE2CE9BDAE}"/>
    <cellStyle name="Millares 2 4 7" xfId="141" xr:uid="{B773403D-7EE3-4C54-8F79-4D226E5C523D}"/>
    <cellStyle name="Millares 2 5" xfId="117" xr:uid="{3BF79DAB-62B8-448B-9FBA-9903BAD73857}"/>
    <cellStyle name="Millares 2 5 2" xfId="238" xr:uid="{8930CC98-C8E6-40A2-AE89-C61AE7039CE5}"/>
    <cellStyle name="Millares 2 5 2 2" xfId="299" xr:uid="{49ED1B45-2C29-4940-95D5-04A146974D6F}"/>
    <cellStyle name="Millares 2 5 2 2 2" xfId="476" xr:uid="{6406F3C4-669F-4E13-9911-5B6C9C332B19}"/>
    <cellStyle name="Millares 2 5 2 2 3" xfId="477" xr:uid="{6F41C884-490B-4416-885A-CF308F52A9C0}"/>
    <cellStyle name="Millares 2 5 2 3" xfId="478" xr:uid="{BAA7C449-67B6-4D0F-80B4-3AE13F98C7C2}"/>
    <cellStyle name="Millares 2 5 2 4" xfId="479" xr:uid="{E6BA5160-4FED-4377-A13B-7331EB051C12}"/>
    <cellStyle name="Millares 2 5 2 5" xfId="480" xr:uid="{AAF34B15-A98F-4C2D-80B5-A7FAFB46F464}"/>
    <cellStyle name="Millares 2 5 3" xfId="268" xr:uid="{94D2E238-AB97-4AF3-BD88-CA5C375EFAB1}"/>
    <cellStyle name="Millares 2 5 3 2" xfId="481" xr:uid="{6B7B705E-52C7-4522-BB65-143449487FBC}"/>
    <cellStyle name="Millares 2 5 3 3" xfId="482" xr:uid="{1D5009B5-D01D-4C69-AC77-591D85B768F8}"/>
    <cellStyle name="Millares 2 5 4" xfId="483" xr:uid="{6D5BFDE2-51AD-41F6-9A94-90C21EF83686}"/>
    <cellStyle name="Millares 2 5 5" xfId="484" xr:uid="{7852D82E-1502-4AFE-923A-3705A1DC2D6B}"/>
    <cellStyle name="Millares 2 5 6" xfId="485" xr:uid="{AD51DAA7-FF0E-4D83-855B-85305EC2BF8C}"/>
    <cellStyle name="Millares 2 5 7" xfId="209" xr:uid="{AEDAA239-4F4E-4958-A8DC-E100D48B730E}"/>
    <cellStyle name="Millares 2 6" xfId="89" xr:uid="{81BDEF19-1E11-4634-A1B1-A02A6B311486}"/>
    <cellStyle name="Millares 2 6 2" xfId="244" xr:uid="{55E0A31D-1D67-4BC1-92FE-7FEF44E24603}"/>
    <cellStyle name="Millares 2 6 2 2" xfId="305" xr:uid="{48A1FC89-6580-4282-8B34-DCBE09635AB3}"/>
    <cellStyle name="Millares 2 6 2 2 2" xfId="486" xr:uid="{6E07F682-BA7F-45A9-A00B-696E18C35A51}"/>
    <cellStyle name="Millares 2 6 2 2 3" xfId="487" xr:uid="{C7F1995C-9F19-4932-83D3-35945EB05DCE}"/>
    <cellStyle name="Millares 2 6 2 3" xfId="488" xr:uid="{14653F2D-67F8-419E-902B-9F558FCE364C}"/>
    <cellStyle name="Millares 2 6 2 4" xfId="489" xr:uid="{B39651BF-0FD2-4D93-8CB3-9B8C6DF5C968}"/>
    <cellStyle name="Millares 2 6 2 5" xfId="490" xr:uid="{44098853-6CB3-4541-A412-B899B73085BD}"/>
    <cellStyle name="Millares 2 6 3" xfId="274" xr:uid="{D26FF256-E6F9-4769-8BED-3484CC234981}"/>
    <cellStyle name="Millares 2 6 3 2" xfId="491" xr:uid="{B5D73A5E-3296-4952-AE31-8EABFAD0BD4A}"/>
    <cellStyle name="Millares 2 6 3 3" xfId="492" xr:uid="{000F8999-B75F-45E6-A3ED-5CBB93717E07}"/>
    <cellStyle name="Millares 2 6 4" xfId="493" xr:uid="{862BE588-DEEC-46B2-A429-D60CC5F655E6}"/>
    <cellStyle name="Millares 2 6 5" xfId="494" xr:uid="{C609AF3C-E5F7-4E95-84A6-EB099D10627B}"/>
    <cellStyle name="Millares 2 6 6" xfId="495" xr:uid="{B4A09974-6295-4019-9663-FEC174496463}"/>
    <cellStyle name="Millares 2 7" xfId="219" xr:uid="{018835C1-6CAF-4A26-BDDC-4A89647148D2}"/>
    <cellStyle name="Millares 2 7 2" xfId="278" xr:uid="{A13E9271-C8F7-4943-8208-6BE3226CECA9}"/>
    <cellStyle name="Millares 2 7 2 2" xfId="496" xr:uid="{F779CB42-1E53-40EE-93C6-FF4A554C7437}"/>
    <cellStyle name="Millares 2 7 2 3" xfId="497" xr:uid="{C0457C00-462D-4805-9C7E-CE325D1431CE}"/>
    <cellStyle name="Millares 2 7 3" xfId="498" xr:uid="{E6586885-4A1F-4566-99F0-A3F9DE154220}"/>
    <cellStyle name="Millares 2 7 4" xfId="499" xr:uid="{D7435D05-96C6-48D7-82AF-0E8750F7E9A6}"/>
    <cellStyle name="Millares 2 7 5" xfId="500" xr:uid="{7055F94A-F5D6-43AE-868D-EE1F277AD70E}"/>
    <cellStyle name="Millares 2 8" xfId="248" xr:uid="{68547A79-AD7C-4B1F-8174-ACAB477A70EA}"/>
    <cellStyle name="Millares 2 8 2" xfId="501" xr:uid="{12671802-56D9-4B69-9ACF-D41075591B94}"/>
    <cellStyle name="Millares 2 8 3" xfId="502" xr:uid="{249C6B0D-82D9-4C0E-8FC0-EBBA761F8B96}"/>
    <cellStyle name="Millares 2 9" xfId="503" xr:uid="{B797800C-378E-425F-B590-784C7E5F7D5B}"/>
    <cellStyle name="Millares 20" xfId="202" xr:uid="{89C92B15-6CFE-45B4-8CB9-6EC692C2CA4D}"/>
    <cellStyle name="Millares 20 2" xfId="232" xr:uid="{5671046A-6D9E-4F3F-ACBB-0A6B1E96331E}"/>
    <cellStyle name="Millares 20 2 2" xfId="292" xr:uid="{07092B75-2D14-45C6-B89A-2F378915A7E6}"/>
    <cellStyle name="Millares 20 2 2 2" xfId="504" xr:uid="{FE2BAD69-C2EF-4E69-9D88-88659F8C73F3}"/>
    <cellStyle name="Millares 20 2 2 3" xfId="505" xr:uid="{9CBD07EA-DB73-4B30-9EF5-BB1B680651B7}"/>
    <cellStyle name="Millares 20 2 3" xfId="506" xr:uid="{3149CC2A-73CE-43B2-9587-B44BE2E0D5BE}"/>
    <cellStyle name="Millares 20 2 4" xfId="507" xr:uid="{F355BC44-E22D-4BB6-849F-C26AEAF0D0E5}"/>
    <cellStyle name="Millares 20 2 5" xfId="508" xr:uid="{50D1EC3E-A868-4BBC-9254-539A81601F0A}"/>
    <cellStyle name="Millares 20 3" xfId="261" xr:uid="{295C4F7E-8B6F-40CF-8802-E494FAB72ECE}"/>
    <cellStyle name="Millares 20 3 2" xfId="509" xr:uid="{36612B1E-5901-4E1D-B487-D142EE8400C2}"/>
    <cellStyle name="Millares 20 3 3" xfId="510" xr:uid="{597B52AA-DA45-46A0-A88C-4A949730B7FB}"/>
    <cellStyle name="Millares 20 4" xfId="511" xr:uid="{158E9883-EC3E-44CD-8274-3AF99E9AFF34}"/>
    <cellStyle name="Millares 20 5" xfId="512" xr:uid="{40F96711-D881-455F-84B2-6F8B02EFA6ED}"/>
    <cellStyle name="Millares 20 6" xfId="513" xr:uid="{AE621478-539A-4C84-97B9-E0CC9AABDCC9}"/>
    <cellStyle name="Millares 22 2" xfId="214" xr:uid="{2EC031C4-A999-4FCA-8C84-279FB9C94EC8}"/>
    <cellStyle name="Millares 22 2 2" xfId="242" xr:uid="{9CE49991-6B25-4ADF-AAE2-E190C2323397}"/>
    <cellStyle name="Millares 22 2 2 2" xfId="303" xr:uid="{139A19A3-17CD-4470-A972-04A1496F7467}"/>
    <cellStyle name="Millares 22 2 2 2 2" xfId="514" xr:uid="{FD66C4AB-CC8D-4132-B9B8-7A2C6A221317}"/>
    <cellStyle name="Millares 22 2 2 2 3" xfId="515" xr:uid="{F98C83B9-663C-4E66-B3AD-3B97E4E56F59}"/>
    <cellStyle name="Millares 22 2 2 3" xfId="516" xr:uid="{2194BD53-7ADB-4827-BB70-1EB5F9C341A3}"/>
    <cellStyle name="Millares 22 2 2 4" xfId="517" xr:uid="{FAA4443D-3811-40DF-B7B9-86C8BBD1EC13}"/>
    <cellStyle name="Millares 22 2 2 5" xfId="518" xr:uid="{CBA9020E-C540-4E97-B99A-7640526396F1}"/>
    <cellStyle name="Millares 22 2 3" xfId="272" xr:uid="{1C9A31D0-FF89-4BEF-93E4-A57ADEDA6FE5}"/>
    <cellStyle name="Millares 22 2 3 2" xfId="519" xr:uid="{56DA7270-A3E8-486F-BAC4-97615B544442}"/>
    <cellStyle name="Millares 22 2 3 3" xfId="520" xr:uid="{7D5599A1-7F39-4241-A15A-24958D2F14D8}"/>
    <cellStyle name="Millares 22 2 4" xfId="521" xr:uid="{6F529208-9453-4C34-89E6-27D708ED57FB}"/>
    <cellStyle name="Millares 22 2 5" xfId="522" xr:uid="{4DC4701C-4A0E-4303-A214-5EB042E1F0F2}"/>
    <cellStyle name="Millares 22 2 6" xfId="523" xr:uid="{627EE864-59F6-470E-BAAE-B8B2E7B8B521}"/>
    <cellStyle name="Millares 3" xfId="57" xr:uid="{453779B6-5066-4515-A65D-E981CB839484}"/>
    <cellStyle name="Millares 3 2" xfId="120" xr:uid="{32CC5F02-7704-4AF3-A068-001E7AABBE55}"/>
    <cellStyle name="Millares 3 2 2" xfId="225" xr:uid="{E86693D1-4C4C-45F3-9B5D-FB3ED1CDFD12}"/>
    <cellStyle name="Millares 3 2 2 2" xfId="285" xr:uid="{3196FC70-838F-4D40-902C-2782A4B535DB}"/>
    <cellStyle name="Millares 3 2 2 2 2" xfId="524" xr:uid="{D724236F-0446-4097-AA7A-224848C4E3EF}"/>
    <cellStyle name="Millares 3 2 2 2 3" xfId="525" xr:uid="{019574D0-7F6A-47D4-87BB-E718EE4CB182}"/>
    <cellStyle name="Millares 3 2 2 3" xfId="526" xr:uid="{0CADE374-144C-4345-AFFC-95AFFA599532}"/>
    <cellStyle name="Millares 3 2 2 4" xfId="527" xr:uid="{721165E9-1885-43D9-9888-6956D8592936}"/>
    <cellStyle name="Millares 3 2 2 5" xfId="528" xr:uid="{E8B4EE27-1FE9-4FAC-8984-61F5E6DFF08B}"/>
    <cellStyle name="Millares 3 2 3" xfId="254" xr:uid="{9942A734-F100-4724-BBFA-558F4936D451}"/>
    <cellStyle name="Millares 3 2 3 2" xfId="529" xr:uid="{0B324A4F-EF60-4E02-9BF1-5535518137FA}"/>
    <cellStyle name="Millares 3 2 3 3" xfId="530" xr:uid="{864DC1DD-A05D-407D-A631-FFF6B49F3287}"/>
    <cellStyle name="Millares 3 2 4" xfId="531" xr:uid="{0F467D9A-5E31-4EA3-BFED-79598D7AE0D0}"/>
    <cellStyle name="Millares 3 2 5" xfId="532" xr:uid="{E7A4D997-115D-4D2F-A004-00EFA2774288}"/>
    <cellStyle name="Millares 3 2 6" xfId="533" xr:uid="{F9E717D8-6B6E-485F-816E-A960EE74B081}"/>
    <cellStyle name="Millares 3 3" xfId="107" xr:uid="{EF3887C1-1352-4C09-8947-627FD5DE6511}"/>
    <cellStyle name="Millares 3 3 2" xfId="245" xr:uid="{ECF3FDA1-0DC8-4BF8-8D32-A997509EC1A4}"/>
    <cellStyle name="Millares 3 3 2 2" xfId="306" xr:uid="{25D91FBF-7C9D-45FD-9AB9-10A2D49963E0}"/>
    <cellStyle name="Millares 3 3 2 2 2" xfId="534" xr:uid="{B08A8EAE-0969-4DD2-9A54-761280D0FC71}"/>
    <cellStyle name="Millares 3 3 2 2 3" xfId="535" xr:uid="{7D7C6C99-D708-4DDA-A060-9A04834AD969}"/>
    <cellStyle name="Millares 3 3 2 3" xfId="536" xr:uid="{3D1F3485-A819-4CAC-BA8D-8C2E91093297}"/>
    <cellStyle name="Millares 3 3 2 4" xfId="537" xr:uid="{1D4A0272-D05B-4DD1-BF45-6A019899ECEF}"/>
    <cellStyle name="Millares 3 3 2 5" xfId="538" xr:uid="{FBD8C5CA-F931-499F-A1F8-52DD9061E2A5}"/>
    <cellStyle name="Millares 3 3 3" xfId="275" xr:uid="{9579C5D0-FB8C-4FC5-841D-49F479F983CE}"/>
    <cellStyle name="Millares 3 3 3 2" xfId="539" xr:uid="{9322C338-D8BA-4CDC-A4F6-26B3B484D143}"/>
    <cellStyle name="Millares 3 3 3 3" xfId="540" xr:uid="{3069C8AA-60C3-4642-A26F-9826B3AF71F5}"/>
    <cellStyle name="Millares 3 3 4" xfId="541" xr:uid="{DA87BDA0-B987-4B38-9BEE-80F977B16F69}"/>
    <cellStyle name="Millares 3 3 5" xfId="542" xr:uid="{E944A06A-1AEB-47E0-B3A8-C06C02D77AD4}"/>
    <cellStyle name="Millares 3 3 6" xfId="543" xr:uid="{2995D03E-9803-4EF9-9193-B5C0086A9B73}"/>
    <cellStyle name="Millares 3 3 7" xfId="217" xr:uid="{168C06F2-DBF1-4984-B9FD-5893C2C473BB}"/>
    <cellStyle name="Millares 3 4" xfId="223" xr:uid="{434E9955-C6D0-4A0D-8940-04C4B4C26F5B}"/>
    <cellStyle name="Millares 3 4 2" xfId="282" xr:uid="{27FA55E7-F490-48DC-8DF6-219E70B0AB21}"/>
    <cellStyle name="Millares 3 4 2 2" xfId="544" xr:uid="{6DEDD5D6-7481-4E1B-89C4-4423B26D3E14}"/>
    <cellStyle name="Millares 3 4 2 3" xfId="545" xr:uid="{CD416C27-4763-40BD-9266-10BD6B0A2B24}"/>
    <cellStyle name="Millares 3 4 3" xfId="546" xr:uid="{3C471B56-E721-47FC-AFD1-3C3B8B60B6C0}"/>
    <cellStyle name="Millares 3 4 4" xfId="547" xr:uid="{F4CC987F-3019-4702-8AB1-EBAC204466FE}"/>
    <cellStyle name="Millares 3 4 5" xfId="548" xr:uid="{6B8C2A81-680E-4AD5-B341-614887173A2F}"/>
    <cellStyle name="Millares 3 5" xfId="252" xr:uid="{4860CD92-CE8F-4C21-8103-EED819A6B9C4}"/>
    <cellStyle name="Millares 3 5 2" xfId="549" xr:uid="{D532995E-DCE5-4CD1-9580-CAEF37E62ADB}"/>
    <cellStyle name="Millares 3 5 3" xfId="550" xr:uid="{71247DD8-D53D-442C-8C11-67A5B3B3AEDA}"/>
    <cellStyle name="Millares 3 6" xfId="551" xr:uid="{30032D31-94E8-46F6-BEDB-F8EABE4A751A}"/>
    <cellStyle name="Millares 3 7" xfId="552" xr:uid="{F0CB5471-2195-4E46-86DB-960C9E7F9787}"/>
    <cellStyle name="Millares 3 8" xfId="553" xr:uid="{EE8E1575-FB1F-4BD9-8BEE-C1259282EACB}"/>
    <cellStyle name="Millares 4" xfId="65" xr:uid="{0D3EE55E-15E2-419B-8925-C3459381942C}"/>
    <cellStyle name="Millares 4 2" xfId="121" xr:uid="{F7A4DBB9-0CD2-42E7-852B-837A95F50794}"/>
    <cellStyle name="Millares 4 2 2" xfId="189" xr:uid="{6B0F85EB-62AB-46CD-B3CC-9CF1F9742975}"/>
    <cellStyle name="Millares 4 2 2 2" xfId="228" xr:uid="{8533967D-4E4C-4214-BF53-63E4971177E3}"/>
    <cellStyle name="Millares 4 2 2 2 2" xfId="288" xr:uid="{DE3A8E17-239E-4BDE-A6F9-254FBF631C2D}"/>
    <cellStyle name="Millares 4 2 2 2 2 2" xfId="554" xr:uid="{57E65B5F-1300-4D4B-AEF6-DD880B77DDF5}"/>
    <cellStyle name="Millares 4 2 2 2 2 3" xfId="555" xr:uid="{C7273E7B-1D5C-4646-A404-A4778682A366}"/>
    <cellStyle name="Millares 4 2 2 2 3" xfId="556" xr:uid="{2E276546-C3DD-4BAD-81FD-3C83E77D3C56}"/>
    <cellStyle name="Millares 4 2 2 2 4" xfId="557" xr:uid="{791B7940-B75C-4AA0-A002-00F4F176D684}"/>
    <cellStyle name="Millares 4 2 2 2 5" xfId="558" xr:uid="{CFD9CBA6-7D99-412D-8AC2-3A6F17DBEE5D}"/>
    <cellStyle name="Millares 4 2 2 3" xfId="257" xr:uid="{EB8EE6A1-4C1C-45F1-B74D-4F3313E0489A}"/>
    <cellStyle name="Millares 4 2 2 3 2" xfId="559" xr:uid="{DA230FBA-51EC-4B1E-8BF3-C0337738417B}"/>
    <cellStyle name="Millares 4 2 2 3 3" xfId="560" xr:uid="{AE7D0619-BECF-482D-8F2B-4AF6FD62366A}"/>
    <cellStyle name="Millares 4 2 2 4" xfId="561" xr:uid="{2D203A4A-D18B-4732-924E-63A0075548F6}"/>
    <cellStyle name="Millares 4 2 2 5" xfId="562" xr:uid="{4F95FD52-E9DF-4EFF-9EA8-134681FCE083}"/>
    <cellStyle name="Millares 4 2 2 6" xfId="563" xr:uid="{1D357105-2636-4691-8658-F2C8DC8D4235}"/>
    <cellStyle name="Millares 4 2 3" xfId="229" xr:uid="{B8C25B96-7DDF-46E0-9E17-3BD492F77F83}"/>
    <cellStyle name="Millares 4 2 3 2" xfId="289" xr:uid="{A7050AB0-A12C-45D0-911E-1F2E0E432E4F}"/>
    <cellStyle name="Millares 4 2 3 2 2" xfId="564" xr:uid="{1628B24E-C397-4566-B792-72F74C2B239C}"/>
    <cellStyle name="Millares 4 2 3 2 3" xfId="565" xr:uid="{50A4DDB0-CC81-4F72-927C-F35202F6BBE3}"/>
    <cellStyle name="Millares 4 2 3 3" xfId="566" xr:uid="{54B940B5-B0DB-420F-806C-FC8FE2FF6A5E}"/>
    <cellStyle name="Millares 4 2 3 4" xfId="567" xr:uid="{AD55E450-8742-43D2-B563-52B84F1007B4}"/>
    <cellStyle name="Millares 4 2 3 5" xfId="568" xr:uid="{6770845C-9619-4493-AA7C-12C8829A5210}"/>
    <cellStyle name="Millares 4 2 4" xfId="258" xr:uid="{7C94BE44-9DCA-4DE0-A1BD-101481C8B349}"/>
    <cellStyle name="Millares 4 2 4 2" xfId="569" xr:uid="{93C4C240-372C-4CD5-88E6-B4F5079BB6D4}"/>
    <cellStyle name="Millares 4 2 4 3" xfId="570" xr:uid="{1C66B09B-5650-4166-8EF1-8C0BECDA2EC5}"/>
    <cellStyle name="Millares 4 2 5" xfId="571" xr:uid="{24DF78DC-2755-4057-9800-9AF609412AF2}"/>
    <cellStyle name="Millares 4 2 6" xfId="572" xr:uid="{3E91EA83-B598-4978-84CA-546AE1187D76}"/>
    <cellStyle name="Millares 4 2 7" xfId="573" xr:uid="{4C9F614E-6576-4CF6-82E8-318C11621DCD}"/>
    <cellStyle name="Millares 4 2 8" xfId="199" xr:uid="{1D1CF3AC-2AC8-4BF0-A403-F5ABC6D5EF79}"/>
    <cellStyle name="Millares 4 3" xfId="224" xr:uid="{C22D1AA4-7EDB-45EF-96E0-3F35D60C8618}"/>
    <cellStyle name="Millares 4 3 2" xfId="283" xr:uid="{3AE404B8-0735-4B13-97AA-493DBA28262F}"/>
    <cellStyle name="Millares 4 3 2 2" xfId="574" xr:uid="{F2D07D07-AC4F-4887-9793-0C554658EDB0}"/>
    <cellStyle name="Millares 4 3 2 3" xfId="575" xr:uid="{07D2BD48-6ABB-4CB9-B924-193B816E9ED2}"/>
    <cellStyle name="Millares 4 3 3" xfId="576" xr:uid="{6ADCE5CC-1AFA-4095-810E-4BEF34D6CFC1}"/>
    <cellStyle name="Millares 4 3 4" xfId="577" xr:uid="{A9651E87-AEA9-47EC-AC73-E7096551D379}"/>
    <cellStyle name="Millares 4 3 5" xfId="578" xr:uid="{C44875AE-5CBB-4EF7-A003-BBBB271927B5}"/>
    <cellStyle name="Millares 4 4" xfId="253" xr:uid="{14EC03D6-06B5-439D-B1AF-E9C2C957142E}"/>
    <cellStyle name="Millares 4 4 2" xfId="579" xr:uid="{53B3A9F1-5558-4547-BDC4-3E072A4F198C}"/>
    <cellStyle name="Millares 4 4 3" xfId="580" xr:uid="{DA2263E3-DB5C-41B9-9A0D-FA7EC6E5BD8C}"/>
    <cellStyle name="Millares 4 5" xfId="581" xr:uid="{594BC807-9C79-4B97-B23A-ABAF3F651182}"/>
    <cellStyle name="Millares 4 6" xfId="582" xr:uid="{21BEC869-55FC-48AC-B620-6E3999AA3CAC}"/>
    <cellStyle name="Millares 4 7" xfId="583" xr:uid="{42A6E76C-38E5-4CC9-89BA-379A7349B484}"/>
    <cellStyle name="Millares 4 8" xfId="157" xr:uid="{91B2B8B8-2E49-4FB7-B17E-88F4289892F7}"/>
    <cellStyle name="Millares 5" xfId="70" xr:uid="{DE72EBC7-36BE-41D8-A7FC-20604B011998}"/>
    <cellStyle name="Millares 5 2" xfId="124" xr:uid="{4515035D-FDE5-4A99-8C52-09F69247F183}"/>
    <cellStyle name="Millares 5 2 2" xfId="284" xr:uid="{A17D44F1-852E-46E0-81F9-CF1D5B93EDB4}"/>
    <cellStyle name="Millares 5 2 2 2" xfId="584" xr:uid="{B6983042-3A83-4BB8-977E-5F89877B745A}"/>
    <cellStyle name="Millares 5 2 2 3" xfId="585" xr:uid="{58AFEE22-7798-43DD-A804-D4E20AC267D1}"/>
    <cellStyle name="Millares 5 2 3" xfId="586" xr:uid="{28AC4F30-C5FE-4733-AF33-D9858BDBA480}"/>
    <cellStyle name="Millares 5 2 4" xfId="587" xr:uid="{E8AA7415-74D0-412E-BD72-C2848A153E95}"/>
    <cellStyle name="Millares 5 2 5" xfId="588" xr:uid="{B6FCC740-1A82-420F-8370-2C04A20FA063}"/>
    <cellStyle name="Millares 5 3" xfId="116" xr:uid="{76A0C16E-877E-4006-B937-943B8F8D4D07}"/>
    <cellStyle name="Millares 5 3 2" xfId="589" xr:uid="{B9564B89-1B4E-4999-A73C-248EBF564FEF}"/>
    <cellStyle name="Millares 5 3 3" xfId="590" xr:uid="{2BE451BD-4225-4037-8A11-371E6E73407F}"/>
    <cellStyle name="Millares 5 4" xfId="591" xr:uid="{73971961-D387-450F-9445-C4B2C8C7B1C6}"/>
    <cellStyle name="Millares 5 5" xfId="592" xr:uid="{556C6CE9-D471-4FF8-B3CB-84FF33E21C92}"/>
    <cellStyle name="Millares 5 6" xfId="593" xr:uid="{108C9189-3CA4-495C-8F1D-115C3D7918FE}"/>
    <cellStyle name="Millares 6" xfId="72" xr:uid="{9812F3C0-7FA6-4FDF-B5A7-9C39F8735632}"/>
    <cellStyle name="Millares 6 2" xfId="226" xr:uid="{9AC67185-41AC-4477-AD31-679CAA84E134}"/>
    <cellStyle name="Millares 6 2 2" xfId="286" xr:uid="{BAD769EE-5C1D-4CF7-A274-CF666E6F81A4}"/>
    <cellStyle name="Millares 6 2 2 2" xfId="594" xr:uid="{1D2FE345-334E-45F0-B2D3-7EF3106EF084}"/>
    <cellStyle name="Millares 6 2 2 3" xfId="595" xr:uid="{CF7D8FB1-C369-402E-9962-7F6C0916E3FE}"/>
    <cellStyle name="Millares 6 2 3" xfId="596" xr:uid="{4616988C-805B-4E00-B1F9-E3477D3C332C}"/>
    <cellStyle name="Millares 6 2 4" xfId="597" xr:uid="{FD0B874B-D516-4808-BD83-CB3042FEBE75}"/>
    <cellStyle name="Millares 6 2 5" xfId="598" xr:uid="{5241B636-8866-436C-B15B-DD806F625AE2}"/>
    <cellStyle name="Millares 6 3" xfId="255" xr:uid="{CB5CD8FC-96B3-45C6-BCC4-536929354438}"/>
    <cellStyle name="Millares 6 3 2" xfId="599" xr:uid="{1DFD5019-4959-45CF-AE7B-390D74E02E0E}"/>
    <cellStyle name="Millares 6 3 3" xfId="600" xr:uid="{DBE6898E-7271-4539-99D1-51177D40BBF5}"/>
    <cellStyle name="Millares 6 4" xfId="601" xr:uid="{68B83D7D-872F-4523-AF2A-918B54098E0E}"/>
    <cellStyle name="Millares 6 5" xfId="602" xr:uid="{0D989D76-56BF-4BBA-9354-3852E9C96C26}"/>
    <cellStyle name="Millares 6 6" xfId="603" xr:uid="{0D60A8F1-A206-4A3F-BD1A-B7EF9BB17320}"/>
    <cellStyle name="Millares 7" xfId="73" xr:uid="{FAFBD6D8-9A3B-469D-9599-FC8287FD8F4C}"/>
    <cellStyle name="Millares 7 2" xfId="241" xr:uid="{09EBC604-6E63-4BBB-8B5E-96DF09E300A2}"/>
    <cellStyle name="Millares 7 2 2" xfId="302" xr:uid="{54932733-D66B-46DE-A510-421FE0930034}"/>
    <cellStyle name="Millares 7 2 2 2" xfId="604" xr:uid="{131B4196-F25D-47F9-9E7B-58BA14FED6E6}"/>
    <cellStyle name="Millares 7 2 2 3" xfId="605" xr:uid="{C8E18E71-611C-4AA6-AC98-E54570234233}"/>
    <cellStyle name="Millares 7 2 3" xfId="606" xr:uid="{E572B4D2-AD89-4064-ABB6-C8FE68BF3087}"/>
    <cellStyle name="Millares 7 2 4" xfId="607" xr:uid="{1256B37D-968F-4FA6-A979-8ACFF180C72D}"/>
    <cellStyle name="Millares 7 2 5" xfId="608" xr:uid="{84793C54-B4CC-463C-8276-83501391C994}"/>
    <cellStyle name="Millares 7 3" xfId="271" xr:uid="{D4E6B13B-87E5-4672-947E-A260DE549949}"/>
    <cellStyle name="Millares 7 3 2" xfId="609" xr:uid="{14664F60-FD9A-4A08-8558-C72DF6784C56}"/>
    <cellStyle name="Millares 7 3 3" xfId="610" xr:uid="{86BECAC6-F7EA-4C93-9B3B-CDFD5799C324}"/>
    <cellStyle name="Millares 7 4" xfId="611" xr:uid="{06991B38-53FE-46F6-8A5B-F091D44EE077}"/>
    <cellStyle name="Millares 7 5" xfId="612" xr:uid="{AE06E268-EB59-4CE1-BBA3-03BC7CD8E294}"/>
    <cellStyle name="Millares 7 6" xfId="613" xr:uid="{D9D72AD3-39F2-4847-A822-B151FF5A0284}"/>
    <cellStyle name="Millares 7 7" xfId="213" xr:uid="{9921F424-1C83-4968-97BC-F9149A53341A}"/>
    <cellStyle name="Millares 8" xfId="71" xr:uid="{246525E4-77AD-4F29-981C-6A6056ABDECC}"/>
    <cellStyle name="Millares 8 2" xfId="246" xr:uid="{FF57B6D6-5F38-4BF7-BEB1-79278A0F4A11}"/>
    <cellStyle name="Millares 8 2 2" xfId="307" xr:uid="{027E899A-D431-425C-A576-3669758373B8}"/>
    <cellStyle name="Millares 8 2 2 2" xfId="614" xr:uid="{95815557-DE1E-4BCB-9BB6-A697E976D098}"/>
    <cellStyle name="Millares 8 2 2 3" xfId="615" xr:uid="{5383B1C2-394C-47E6-85EC-5333815BE821}"/>
    <cellStyle name="Millares 8 2 3" xfId="616" xr:uid="{EFFD6FBA-8A48-4B0D-BC87-661177C9B91F}"/>
    <cellStyle name="Millares 8 2 4" xfId="617" xr:uid="{EC5EAB8D-8613-4776-8CAB-C3C0F7C5E69F}"/>
    <cellStyle name="Millares 8 2 5" xfId="618" xr:uid="{C6CE8CDB-E512-4EE9-AF46-0013BD330D6B}"/>
    <cellStyle name="Millares 8 3" xfId="276" xr:uid="{31AA6B6B-9811-4A27-A62C-B5DF02A49ED7}"/>
    <cellStyle name="Millares 8 3 2" xfId="619" xr:uid="{88436371-1509-4232-BD18-0BAE4F81C54A}"/>
    <cellStyle name="Millares 8 3 2 2 2 2" xfId="201" xr:uid="{A6791E94-1E99-4DD9-A42F-7797BA6F0458}"/>
    <cellStyle name="Millares 8 3 2 2 2 2 2" xfId="231" xr:uid="{D0535D9C-089B-433B-AA94-261D9BB65918}"/>
    <cellStyle name="Millares 8 3 2 2 2 2 2 2" xfId="291" xr:uid="{7247672A-D6E5-46B7-964B-3CBEAC5412CD}"/>
    <cellStyle name="Millares 8 3 2 2 2 2 2 2 2" xfId="620" xr:uid="{170F1DF3-AEDB-4E0F-AC71-B90BE6E7958F}"/>
    <cellStyle name="Millares 8 3 2 2 2 2 2 2 3" xfId="621" xr:uid="{8F833E4E-3EC9-46B3-A561-08984CF81E09}"/>
    <cellStyle name="Millares 8 3 2 2 2 2 2 3" xfId="622" xr:uid="{505E7F56-15E0-472B-96BE-2A8169D939CB}"/>
    <cellStyle name="Millares 8 3 2 2 2 2 2 4" xfId="623" xr:uid="{22B38D60-52A2-4DCD-BB9C-763111945173}"/>
    <cellStyle name="Millares 8 3 2 2 2 2 2 5" xfId="624" xr:uid="{CF7457CD-1DC5-4ABF-AD22-462631287201}"/>
    <cellStyle name="Millares 8 3 2 2 2 2 3" xfId="260" xr:uid="{53D4E005-CAC7-4623-979A-7AFD0CA0DEBF}"/>
    <cellStyle name="Millares 8 3 2 2 2 2 3 2" xfId="625" xr:uid="{FB2B1616-3A4A-46FB-9686-65372746377E}"/>
    <cellStyle name="Millares 8 3 2 2 2 2 3 3" xfId="626" xr:uid="{736C1291-D36E-4AD7-A206-E895C04C61D4}"/>
    <cellStyle name="Millares 8 3 2 2 2 2 4" xfId="627" xr:uid="{FBEE6F07-F427-45BA-8EDD-F7B441594330}"/>
    <cellStyle name="Millares 8 3 2 2 2 2 5" xfId="628" xr:uid="{E4A1693A-E7B2-4CD0-AD1C-BF805B1BDDBD}"/>
    <cellStyle name="Millares 8 3 2 2 2 2 6" xfId="629" xr:uid="{4452FB7B-E21D-460B-9E60-C2DE707AC236}"/>
    <cellStyle name="Millares 8 4" xfId="186" xr:uid="{6334680E-A507-43A3-8320-A32F617E8C6F}"/>
    <cellStyle name="Millares 8 4 2" xfId="227" xr:uid="{DEFB7E96-13EA-402E-8DB7-35E014775901}"/>
    <cellStyle name="Millares 8 4 2 2" xfId="287" xr:uid="{3B59FAF4-40A7-454D-9C73-1115121C2A88}"/>
    <cellStyle name="Millares 8 4 2 2 2" xfId="630" xr:uid="{C20F30BE-B930-414F-AD36-5FB6DA83AC7D}"/>
    <cellStyle name="Millares 8 4 2 2 3" xfId="631" xr:uid="{6672AD49-E761-4292-861F-4C606BBA97A1}"/>
    <cellStyle name="Millares 8 4 2 3" xfId="632" xr:uid="{80FEC411-3062-473A-971E-5FC5D7892A16}"/>
    <cellStyle name="Millares 8 4 2 4" xfId="633" xr:uid="{8B566918-F145-4BB7-844C-41A3CB95359B}"/>
    <cellStyle name="Millares 8 4 2 5" xfId="634" xr:uid="{721E6A77-D481-439E-916F-89F390DC8AA8}"/>
    <cellStyle name="Millares 8 4 3" xfId="256" xr:uid="{B925CE0E-BE80-4E18-98FE-89B90801F57C}"/>
    <cellStyle name="Millares 8 4 3 2" xfId="635" xr:uid="{4E3A62EC-32FC-4E68-A6F8-63C6283B6926}"/>
    <cellStyle name="Millares 8 4 3 3" xfId="636" xr:uid="{6E7C0BDD-1147-475C-82C3-405294A8285C}"/>
    <cellStyle name="Millares 8 4 4" xfId="637" xr:uid="{4A84BC67-2CD7-4221-8E62-0C2D490C135D}"/>
    <cellStyle name="Millares 8 4 5" xfId="638" xr:uid="{442B31C0-0689-4C2D-82B9-DC72C0217AB0}"/>
    <cellStyle name="Millares 8 4 6" xfId="639" xr:uid="{314825A8-50DA-477A-BF77-5CDA9230CB61}"/>
    <cellStyle name="Millares 8 5" xfId="640" xr:uid="{4B9E70B8-ED9B-46F9-A63D-FCB568867217}"/>
    <cellStyle name="Millares 8 6" xfId="641" xr:uid="{CC13B39F-0D94-4D6C-8353-2C3FE5318B83}"/>
    <cellStyle name="Millares 8 7" xfId="642" xr:uid="{2B4B82B1-DB51-4F11-BCD8-7EAEA39CA3CA}"/>
    <cellStyle name="Millares 9" xfId="81" xr:uid="{4DEFE39C-CC97-4A15-A34D-72217D5B4BDD}"/>
    <cellStyle name="Millares 9 2" xfId="643" xr:uid="{2DA10899-5C97-4688-A0C7-856554667444}"/>
    <cellStyle name="Millares 9 3" xfId="644" xr:uid="{07910ED1-8CDA-49D4-B7B6-D6E554A49B2E}"/>
    <cellStyle name="Neutral 2" xfId="190" xr:uid="{7B7F31C3-3690-4DBC-9D6C-24FE1143618D}"/>
    <cellStyle name="Normal" xfId="0" builtinId="0"/>
    <cellStyle name="Normal 10" xfId="63" xr:uid="{DEBA7A23-D731-4701-8D62-3A13CFA8C44F}"/>
    <cellStyle name="Normal 10 2" xfId="156" xr:uid="{533F8B3F-E967-480E-86C1-2784EA9FF58B}"/>
    <cellStyle name="Normal 11" xfId="159" xr:uid="{BB65A9A6-8CBB-4F23-AA17-81B3B4F3738E}"/>
    <cellStyle name="Normal 11 2" xfId="43" xr:uid="{9A96DA9A-07E1-458D-B1DD-DBE17DC5228D}"/>
    <cellStyle name="Normal 12" xfId="160" xr:uid="{756B5273-7A8E-4C5B-A54A-76A4A070EF19}"/>
    <cellStyle name="Normal 12 3" xfId="188" xr:uid="{C3E01581-8526-4809-B07B-C01C862D107F}"/>
    <cellStyle name="Normal 12 3 2 3" xfId="67" xr:uid="{5651A5AD-1A9F-4DF6-BEE8-FB0F33D4799E}"/>
    <cellStyle name="Normal 13" xfId="42" xr:uid="{CC75272C-3F80-4F2C-921E-6323C289FFE2}"/>
    <cellStyle name="Normal 13 2" xfId="187" xr:uid="{4AC5792D-5B2E-4825-A15C-328B376B0726}"/>
    <cellStyle name="Normal 13 3" xfId="165" xr:uid="{7F9F88EC-887F-4591-9B9C-4DB95A1AB43A}"/>
    <cellStyle name="Normal 14" xfId="166" xr:uid="{8479E0C8-E56F-49F6-BC5B-14C958225638}"/>
    <cellStyle name="Normal 15" xfId="47" xr:uid="{A5176203-36D5-47B8-9CAE-4860BF313CDA}"/>
    <cellStyle name="Normal 15 2" xfId="167" xr:uid="{5880F2D5-A9ED-4FBF-88E4-19A03BC1DD9B}"/>
    <cellStyle name="Normal 16" xfId="41" xr:uid="{C2D919C0-1C0F-47D3-AFC4-0B9909BC4E27}"/>
    <cellStyle name="Normal 16 2" xfId="168" xr:uid="{EBD5E158-F0F0-456D-9253-F86CC905D46E}"/>
    <cellStyle name="Normal 16 3" xfId="125" xr:uid="{A7395BB3-1E9F-4EBB-B731-7B42D241691D}"/>
    <cellStyle name="Normal 17" xfId="45" xr:uid="{111028CF-6181-4010-AA24-C8DAFF602D8A}"/>
    <cellStyle name="Normal 18" xfId="46" xr:uid="{A4FC49A2-234A-4149-8EA2-AE23FF82A8F1}"/>
    <cellStyle name="Normal 18 2" xfId="169" xr:uid="{E4C9D418-C3D1-4D99-ABA1-802BCCEC19B8}"/>
    <cellStyle name="Normal 19" xfId="49" xr:uid="{271BC6B1-938D-4152-9EB0-37C1E07C9C57}"/>
    <cellStyle name="Normal 19 2" xfId="170" xr:uid="{654A71BC-B27A-4661-80EE-4BE1D6426660}"/>
    <cellStyle name="Normal 2" xfId="53" xr:uid="{51E53C86-C99F-434D-96AE-F34B5D4343E5}"/>
    <cellStyle name="Normal 2 2" xfId="66" xr:uid="{CE245502-4A3B-4713-B2BF-79B3D0CD1E2B}"/>
    <cellStyle name="Normal 2 2 2" xfId="91" xr:uid="{B0924D94-A948-4CA0-99E0-D33367984891}"/>
    <cellStyle name="Normal 2 2 2 2" xfId="112" xr:uid="{2AEC2906-619A-447C-BFBE-3F512561AAD0}"/>
    <cellStyle name="Normal 2 2 2 3" xfId="95" xr:uid="{C0A26B0A-7B32-4680-B6B0-28263BE08FBF}"/>
    <cellStyle name="Normal 2 2 2 4" xfId="210" xr:uid="{28EC8441-40DC-49F3-8E20-625CB30B46C4}"/>
    <cellStyle name="Normal 2 2 3" xfId="40" xr:uid="{23668659-419F-4175-9479-965510AF1E81}"/>
    <cellStyle name="Normal 2 2 3 2" xfId="75" xr:uid="{921E2ADA-5B78-4BAC-A09E-A33D0AE3B6CD}"/>
    <cellStyle name="Normal 2 3" xfId="69" xr:uid="{D1AA53F6-8DDA-41A5-B57B-2ED122DCB9B5}"/>
    <cellStyle name="Normal 2 3 2" xfId="87" xr:uid="{7FC8437A-60B4-4BD2-94D4-E0BB3013644D}"/>
    <cellStyle name="Normal 2 3 2 2" xfId="198" xr:uid="{A05FED1C-5874-42B4-8194-0E3A6DA53E78}"/>
    <cellStyle name="Normal 2 3 2 3" xfId="161" xr:uid="{0E180A49-FEF8-456B-9437-B71C3C2AD940}"/>
    <cellStyle name="Normal 2 3 3" xfId="108" xr:uid="{CEB7B033-65A5-486E-BFFA-D2E888675606}"/>
    <cellStyle name="Normal 2 3 4" xfId="92" xr:uid="{EA4D4799-31FF-4EB9-986A-B3D0968FBD4F}"/>
    <cellStyle name="Normal 2 4" xfId="88" xr:uid="{58D7F4A0-3C50-42B9-A169-D2CE7997AFE5}"/>
    <cellStyle name="Normal 2 4 2" xfId="142" xr:uid="{6C937225-A2E8-496B-9EE0-2C7B76946546}"/>
    <cellStyle name="Normal 2 5" xfId="143" xr:uid="{400550C4-F750-4AEA-95F3-1E380DC5B350}"/>
    <cellStyle name="Normal 2 6" xfId="155" xr:uid="{453C3BB9-2914-42CC-96A4-B9EB3BF82792}"/>
    <cellStyle name="Normal 2 7" xfId="211" xr:uid="{E6777972-9322-456F-BB07-F40BD67EEBA3}"/>
    <cellStyle name="Normal 2 8" xfId="171" xr:uid="{5348E94D-EE5A-4803-B35F-9CA6C269D348}"/>
    <cellStyle name="Normal 20" xfId="208" xr:uid="{98132FB1-9664-4190-B576-4731033A7F2F}"/>
    <cellStyle name="Normal 21" xfId="172" xr:uid="{1BF7F357-85E7-43EF-A2FB-203003F66F40}"/>
    <cellStyle name="Normal 22" xfId="173" xr:uid="{B385BB67-F637-4E61-A277-114AC69776A4}"/>
    <cellStyle name="Normal 23" xfId="174" xr:uid="{04051F55-FFD5-4BA9-9736-80F936EA1513}"/>
    <cellStyle name="Normal 24" xfId="175" xr:uid="{687F4E62-F29B-42D9-87C2-13DA9AD52A0E}"/>
    <cellStyle name="Normal 25" xfId="645" xr:uid="{4D4FDE3A-11C0-4815-8AFE-E3A25BE636C7}"/>
    <cellStyle name="Normal 26" xfId="176" xr:uid="{56CF2E29-45AE-4B46-A353-7D89DD56A4B3}"/>
    <cellStyle name="Normal 29" xfId="104" xr:uid="{9DAA97FE-9E17-42B8-8199-D83EFE9722F9}"/>
    <cellStyle name="Normal 3" xfId="74" xr:uid="{53230153-E7F7-40B0-BF32-A95740EB7B3A}"/>
    <cellStyle name="Normal 3 2" xfId="111" xr:uid="{9DC3E0B4-579F-42FC-9FC1-37B429E3A84D}"/>
    <cellStyle name="Normal 3 3" xfId="109" xr:uid="{D11B318A-260F-4A77-88FC-9F5EBBAB6023}"/>
    <cellStyle name="Normal 3 3 2" xfId="144" xr:uid="{2A98FDCE-2C33-48F7-956E-78A8377959E7}"/>
    <cellStyle name="Normal 3 4" xfId="216" xr:uid="{D86AB2F8-4ED3-4901-BC80-2553BC368F78}"/>
    <cellStyle name="Normal 37" xfId="177" xr:uid="{536E2ED6-81CC-4D9F-9866-B45E789304B0}"/>
    <cellStyle name="Normal 4" xfId="38" xr:uid="{A7924F35-7CF2-4BDC-B095-B11239365BEF}"/>
    <cellStyle name="Normal 4 2" xfId="106" xr:uid="{C2CA4111-BA2A-4437-8E7D-BB90813C1208}"/>
    <cellStyle name="Normal 4 2 2" xfId="158" xr:uid="{6938E439-8123-4568-911E-41805AAEA1C2}"/>
    <cellStyle name="Normal 4 3" xfId="102" xr:uid="{55EBBAB2-3F30-44B4-9DC4-E95632BD0A92}"/>
    <cellStyle name="Normal 4 4" xfId="90" xr:uid="{2EBE10C2-3338-475F-ACDE-D288D5B9A0C0}"/>
    <cellStyle name="Normal 4 8" xfId="103" xr:uid="{32FA21D5-7D45-4FA5-9559-C0DEC1941C49}"/>
    <cellStyle name="Normal 5" xfId="76" xr:uid="{7AE90436-21CD-4C78-906B-A070B057CDF1}"/>
    <cellStyle name="Normal 5 2" xfId="94" xr:uid="{EED6A288-42B3-45A8-8840-9F52680B32F9}"/>
    <cellStyle name="Normal 5 2 2" xfId="145" xr:uid="{523CB2C7-0CD2-42B6-A90F-B0239AE0F7BB}"/>
    <cellStyle name="Normal 5 3" xfId="110" xr:uid="{819DF414-2770-4E70-94E4-9CCA991B2567}"/>
    <cellStyle name="Normal 5 4" xfId="126" xr:uid="{6FA6D8A6-41DB-412E-A961-D29E47A55850}"/>
    <cellStyle name="Normal 6" xfId="98" xr:uid="{39295C5D-2712-4227-9BBA-4AE5E763E073}"/>
    <cellStyle name="Normal 6 2" xfId="100" xr:uid="{52E6F43A-4D0B-44D7-BEE5-977D96049641}"/>
    <cellStyle name="Normal 6 2 2" xfId="101" xr:uid="{3D7EB411-23FD-4931-9878-1C9708C323F3}"/>
    <cellStyle name="Normal 6 2 2 2" xfId="105" xr:uid="{DA24E8A9-AB3E-4E8A-A8E5-21A5C0DD47EA}"/>
    <cellStyle name="Normal 6 2 3" xfId="146" xr:uid="{828F7D8B-D488-47B4-9BA9-9FC8F4CD3E9E}"/>
    <cellStyle name="Normal 6 3" xfId="147" xr:uid="{746F294C-03A9-44E5-8783-643B7236FB31}"/>
    <cellStyle name="Normal 6 4" xfId="148" xr:uid="{0F9899E0-60B4-4F00-BBC7-C00EE8764B81}"/>
    <cellStyle name="Normal 6 5" xfId="149" xr:uid="{8AE3AA9E-F6A8-4241-9A4E-D30358910313}"/>
    <cellStyle name="Normal 7" xfId="77" xr:uid="{90F8459B-C998-4D5F-9F41-8817FD4110DD}"/>
    <cellStyle name="Normal 7 2" xfId="150" xr:uid="{8E1EF85D-DAFB-4259-8EBA-6802807B904F}"/>
    <cellStyle name="Normal 8" xfId="151" xr:uid="{0CBC8232-0437-4CC0-8B26-402BB79A2C9C}"/>
    <cellStyle name="Normal 9" xfId="115" xr:uid="{572382BA-FD6C-4E66-A6AC-069CEBDC4FC2}"/>
    <cellStyle name="Normal 9 2" xfId="185" xr:uid="{CD7D7473-8774-45CA-9F43-85A78341EB98}"/>
    <cellStyle name="Normal 9 3" xfId="152" xr:uid="{71DA4F9D-63C0-40C6-BFCF-6C51BF647525}"/>
    <cellStyle name="Notas" xfId="17" builtinId="10" customBuiltin="1"/>
    <cellStyle name="Notas 2" xfId="153" xr:uid="{FF135D6C-C297-4C3C-B59C-B053AD89C1E0}"/>
    <cellStyle name="Porcentaje" xfId="3" builtinId="5"/>
    <cellStyle name="Porcentaje 2" xfId="99" xr:uid="{821F5705-E8DB-4F97-8C52-615090155A83}"/>
    <cellStyle name="Porcentaje 2 19" xfId="178" xr:uid="{C2AB12C3-49B3-4F2E-89AA-1DABCFAA3AEA}"/>
    <cellStyle name="Porcentaje 2 2" xfId="39" xr:uid="{AB9E5EA9-893D-4C40-801D-987D43E1BEF5}"/>
    <cellStyle name="Porcentaje 2 2 2" xfId="179" xr:uid="{0431A0A9-C0F5-41BE-A565-021CFC957B1A}"/>
    <cellStyle name="Porcentaje 2 2 3" xfId="647" xr:uid="{F4B60806-8DA4-482A-9A99-874AA9AC55A4}"/>
    <cellStyle name="Porcentaje 2 20" xfId="180" xr:uid="{B7A95729-E5EE-4618-A168-76DBC09CB30A}"/>
    <cellStyle name="Porcentaje 2 23" xfId="181" xr:uid="{E3683B24-08DB-433D-9ECA-61012D118D71}"/>
    <cellStyle name="Porcentaje 2 3" xfId="114" xr:uid="{DC99F927-3059-49C4-AEF0-49FA406A24BC}"/>
    <cellStyle name="Porcentaje 2 4" xfId="182" xr:uid="{697664C3-39EE-43E2-B6E1-993B006B119F}"/>
    <cellStyle name="Porcentaje 2 9" xfId="183" xr:uid="{E48352FD-EF4C-4351-A8A7-45F212D97A01}"/>
    <cellStyle name="Porcentaje 3" xfId="44" xr:uid="{944F8CDB-5388-4910-8681-A56289C63BBF}"/>
    <cellStyle name="Porcentaje 3 2" xfId="646" xr:uid="{0BB4566E-4DCA-43B3-A158-3BC45547C440}"/>
    <cellStyle name="Porcentual 2" xfId="154" xr:uid="{BD9A279B-D0FA-4577-B5DF-BB543EAA2D40}"/>
    <cellStyle name="Salida" xfId="12" builtinId="21" customBuiltin="1"/>
    <cellStyle name="TableStyleLight1" xfId="184" xr:uid="{060B8497-9026-406B-88BF-87F3DEA5FACE}"/>
    <cellStyle name="Texto de advertencia" xfId="16" builtinId="11" customBuiltin="1"/>
    <cellStyle name="Texto explicativo" xfId="18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ítulo 4" xfId="197" xr:uid="{F9DBE1C0-D6C0-4CD2-8169-15F1C873A462}"/>
    <cellStyle name="Total" xfId="19" builtinId="25" customBuiltin="1"/>
  </cellStyles>
  <dxfs count="10">
    <dxf>
      <font>
        <b/>
        <i val="0"/>
        <sz val="10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8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8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ck">
          <color rgb="FF006C31"/>
        </left>
        <right style="thick">
          <color rgb="FF006C31"/>
        </right>
        <top style="thick">
          <color rgb="FF006C31"/>
        </top>
        <bottom style="thick">
          <color rgb="FF006C3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ck">
          <color rgb="FF006C31"/>
        </left>
        <right style="thick">
          <color rgb="FF006C31"/>
        </right>
        <top style="thick">
          <color rgb="FF006C31"/>
        </top>
        <bottom style="thick">
          <color rgb="FF006C31"/>
        </bottom>
      </border>
    </dxf>
  </dxfs>
  <tableStyles count="6" defaultTableStyle="TableStyleMedium2" defaultPivotStyle="PivotStyleLight16">
    <tableStyle name="Estilo de segmentación de datos 1" pivot="0" table="0" count="0" xr9:uid="{1C3BAB04-A4FE-48F5-9512-5281B89B5D41}"/>
    <tableStyle name="Estilo de segmentación de datos 2" pivot="0" table="0" count="2" xr9:uid="{49394DE9-74B0-4813-849C-29551855B8E3}">
      <tableStyleElement type="wholeTable" dxfId="9"/>
      <tableStyleElement type="headerRow" dxfId="8"/>
    </tableStyle>
    <tableStyle name="Estilo de segmentación de datos 2 2" pivot="0" table="0" count="2" xr9:uid="{89B5924C-225A-43B0-8196-D942303DF5C7}">
      <tableStyleElement type="wholeTable" dxfId="7"/>
      <tableStyleElement type="headerRow" dxfId="6"/>
    </tableStyle>
    <tableStyle name="Estilo de segmentación de datos 2 3" pivot="0" table="0" count="2" xr9:uid="{CE496F3A-B43E-4059-B0D4-AC7D9517D801}">
      <tableStyleElement type="wholeTable" dxfId="5"/>
      <tableStyleElement type="headerRow" dxfId="4"/>
    </tableStyle>
    <tableStyle name="Estilo de segmentación de datos 2 4" pivot="0" table="0" count="2" xr9:uid="{70B3630B-E61B-4E34-873A-5F1220F0E2BD}">
      <tableStyleElement type="wholeTable" dxfId="3"/>
      <tableStyleElement type="headerRow" dxfId="2"/>
    </tableStyle>
    <tableStyle name="Estilo de segmentación de datos 2 5" pivot="0" table="0" count="2" xr9:uid="{CCD8BA5F-BD2F-41FB-888E-49725037EAE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95</xdr:col>
      <xdr:colOff>0</xdr:colOff>
      <xdr:row>0</xdr:row>
      <xdr:rowOff>0</xdr:rowOff>
    </xdr:from>
    <xdr:ext cx="304800" cy="304800"/>
    <xdr:sp macro="" textlink="">
      <xdr:nvSpPr>
        <xdr:cNvPr id="2" name="avatar">
          <a:extLst>
            <a:ext uri="{FF2B5EF4-FFF2-40B4-BE49-F238E27FC236}">
              <a16:creationId xmlns:a16="http://schemas.microsoft.com/office/drawing/2014/main" id="{ED1D20DD-579D-464D-BE35-43E6AC5F3577}"/>
            </a:ext>
          </a:extLst>
        </xdr:cNvPr>
        <xdr:cNvSpPr>
          <a:spLocks noChangeAspect="1" noChangeArrowheads="1"/>
        </xdr:cNvSpPr>
      </xdr:nvSpPr>
      <xdr:spPr bwMode="auto">
        <a:xfrm>
          <a:off x="1602867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3" name="avatar">
          <a:extLst>
            <a:ext uri="{FF2B5EF4-FFF2-40B4-BE49-F238E27FC236}">
              <a16:creationId xmlns:a16="http://schemas.microsoft.com/office/drawing/2014/main" id="{88D854A3-FC26-42BB-A669-EC2DA8A538F8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4" name="avatar">
          <a:extLst>
            <a:ext uri="{FF2B5EF4-FFF2-40B4-BE49-F238E27FC236}">
              <a16:creationId xmlns:a16="http://schemas.microsoft.com/office/drawing/2014/main" id="{392CE32D-D2E4-4A98-AC11-DD05728E974F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" name="avatar">
          <a:extLst>
            <a:ext uri="{FF2B5EF4-FFF2-40B4-BE49-F238E27FC236}">
              <a16:creationId xmlns:a16="http://schemas.microsoft.com/office/drawing/2014/main" id="{C83FEC7A-AEA6-41C2-B2D7-CE330B1E0DFC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6" name="avatar">
          <a:extLst>
            <a:ext uri="{FF2B5EF4-FFF2-40B4-BE49-F238E27FC236}">
              <a16:creationId xmlns:a16="http://schemas.microsoft.com/office/drawing/2014/main" id="{4FC7C643-97C2-4F42-A898-D4D1BB58562F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7" name="avatar">
          <a:extLst>
            <a:ext uri="{FF2B5EF4-FFF2-40B4-BE49-F238E27FC236}">
              <a16:creationId xmlns:a16="http://schemas.microsoft.com/office/drawing/2014/main" id="{0071A73C-9242-45E1-A7D1-E885F40E723C}"/>
            </a:ext>
          </a:extLst>
        </xdr:cNvPr>
        <xdr:cNvSpPr>
          <a:spLocks noChangeAspect="1" noChangeArrowheads="1"/>
        </xdr:cNvSpPr>
      </xdr:nvSpPr>
      <xdr:spPr bwMode="auto">
        <a:xfrm>
          <a:off x="7696200" y="2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9" name="avatar">
          <a:extLst>
            <a:ext uri="{FF2B5EF4-FFF2-40B4-BE49-F238E27FC236}">
              <a16:creationId xmlns:a16="http://schemas.microsoft.com/office/drawing/2014/main" id="{7BDCE4F3-CA6C-474A-B923-C5B846946931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" name="avatar">
          <a:extLst>
            <a:ext uri="{FF2B5EF4-FFF2-40B4-BE49-F238E27FC236}">
              <a16:creationId xmlns:a16="http://schemas.microsoft.com/office/drawing/2014/main" id="{CEAF3E0B-229B-4EDA-A0B5-6C7F26BE218F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1" name="avatar">
          <a:extLst>
            <a:ext uri="{FF2B5EF4-FFF2-40B4-BE49-F238E27FC236}">
              <a16:creationId xmlns:a16="http://schemas.microsoft.com/office/drawing/2014/main" id="{8D2EC503-6FE5-43F0-B743-CFFFD2F97ED4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2" name="avatar">
          <a:extLst>
            <a:ext uri="{FF2B5EF4-FFF2-40B4-BE49-F238E27FC236}">
              <a16:creationId xmlns:a16="http://schemas.microsoft.com/office/drawing/2014/main" id="{EC69D46B-2535-476B-BFFE-484CCC4F36CD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3" name="avatar">
          <a:extLst>
            <a:ext uri="{FF2B5EF4-FFF2-40B4-BE49-F238E27FC236}">
              <a16:creationId xmlns:a16="http://schemas.microsoft.com/office/drawing/2014/main" id="{5A13A54F-2C62-4090-A532-6CE1F672DD22}"/>
            </a:ext>
          </a:extLst>
        </xdr:cNvPr>
        <xdr:cNvSpPr>
          <a:spLocks noChangeAspect="1" noChangeArrowheads="1"/>
        </xdr:cNvSpPr>
      </xdr:nvSpPr>
      <xdr:spPr bwMode="auto">
        <a:xfrm>
          <a:off x="84429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3</xdr:row>
      <xdr:rowOff>0</xdr:rowOff>
    </xdr:from>
    <xdr:ext cx="304800" cy="304800"/>
    <xdr:sp macro="" textlink="">
      <xdr:nvSpPr>
        <xdr:cNvPr id="14" name="avatar">
          <a:extLst>
            <a:ext uri="{FF2B5EF4-FFF2-40B4-BE49-F238E27FC236}">
              <a16:creationId xmlns:a16="http://schemas.microsoft.com/office/drawing/2014/main" id="{EB216CCE-446E-4F61-B72E-2F216E8A0D2B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5" name="avatar">
          <a:extLst>
            <a:ext uri="{FF2B5EF4-FFF2-40B4-BE49-F238E27FC236}">
              <a16:creationId xmlns:a16="http://schemas.microsoft.com/office/drawing/2014/main" id="{2A70BDD1-8E05-429A-A935-A791D35403EE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6" name="avatar">
          <a:extLst>
            <a:ext uri="{FF2B5EF4-FFF2-40B4-BE49-F238E27FC236}">
              <a16:creationId xmlns:a16="http://schemas.microsoft.com/office/drawing/2014/main" id="{1E04DEFB-57C6-4FFA-A1AF-BFA4F33564CF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7" name="avatar">
          <a:extLst>
            <a:ext uri="{FF2B5EF4-FFF2-40B4-BE49-F238E27FC236}">
              <a16:creationId xmlns:a16="http://schemas.microsoft.com/office/drawing/2014/main" id="{725EBD06-6892-4E11-9299-44CAA602391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8" name="avatar">
          <a:extLst>
            <a:ext uri="{FF2B5EF4-FFF2-40B4-BE49-F238E27FC236}">
              <a16:creationId xmlns:a16="http://schemas.microsoft.com/office/drawing/2014/main" id="{63F5F4A4-0A5B-4C01-8446-6C816DA8DA9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9" name="avatar">
          <a:extLst>
            <a:ext uri="{FF2B5EF4-FFF2-40B4-BE49-F238E27FC236}">
              <a16:creationId xmlns:a16="http://schemas.microsoft.com/office/drawing/2014/main" id="{5F9B47AD-FEC4-4E7A-BFF0-4EFCDB99D87A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20" name="avatar">
          <a:extLst>
            <a:ext uri="{FF2B5EF4-FFF2-40B4-BE49-F238E27FC236}">
              <a16:creationId xmlns:a16="http://schemas.microsoft.com/office/drawing/2014/main" id="{41AFC006-8086-4814-AFE3-C035C40E49EA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1" name="avatar">
          <a:extLst>
            <a:ext uri="{FF2B5EF4-FFF2-40B4-BE49-F238E27FC236}">
              <a16:creationId xmlns:a16="http://schemas.microsoft.com/office/drawing/2014/main" id="{18B0C013-A338-43D1-BD91-9F8D3530DCE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2" name="avatar">
          <a:extLst>
            <a:ext uri="{FF2B5EF4-FFF2-40B4-BE49-F238E27FC236}">
              <a16:creationId xmlns:a16="http://schemas.microsoft.com/office/drawing/2014/main" id="{8AC6076E-EA2A-4665-A0B9-C5C0AFBF348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3" name="avatar">
          <a:extLst>
            <a:ext uri="{FF2B5EF4-FFF2-40B4-BE49-F238E27FC236}">
              <a16:creationId xmlns:a16="http://schemas.microsoft.com/office/drawing/2014/main" id="{13B8413D-5871-4E85-998A-249F9A36BE74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4" name="avatar">
          <a:extLst>
            <a:ext uri="{FF2B5EF4-FFF2-40B4-BE49-F238E27FC236}">
              <a16:creationId xmlns:a16="http://schemas.microsoft.com/office/drawing/2014/main" id="{20BDB47D-2F16-40ED-8D7C-CAD83E29C080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5" name="avatar">
          <a:extLst>
            <a:ext uri="{FF2B5EF4-FFF2-40B4-BE49-F238E27FC236}">
              <a16:creationId xmlns:a16="http://schemas.microsoft.com/office/drawing/2014/main" id="{4CFD6A8A-B9AD-4AA0-AA78-A89FDB4EBAE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26" name="avatar">
          <a:extLst>
            <a:ext uri="{FF2B5EF4-FFF2-40B4-BE49-F238E27FC236}">
              <a16:creationId xmlns:a16="http://schemas.microsoft.com/office/drawing/2014/main" id="{6BB603EB-1414-4227-8D86-722C68FD801A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27" name="avatar">
          <a:extLst>
            <a:ext uri="{FF2B5EF4-FFF2-40B4-BE49-F238E27FC236}">
              <a16:creationId xmlns:a16="http://schemas.microsoft.com/office/drawing/2014/main" id="{35806DAA-3FE7-4C08-89FD-1E8F9F40E63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28" name="avatar">
          <a:extLst>
            <a:ext uri="{FF2B5EF4-FFF2-40B4-BE49-F238E27FC236}">
              <a16:creationId xmlns:a16="http://schemas.microsoft.com/office/drawing/2014/main" id="{BB2CF6E7-720B-4EE7-8B07-A9E52707FF7E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29" name="avatar">
          <a:extLst>
            <a:ext uri="{FF2B5EF4-FFF2-40B4-BE49-F238E27FC236}">
              <a16:creationId xmlns:a16="http://schemas.microsoft.com/office/drawing/2014/main" id="{CB9C0895-D278-4188-AEC7-9C5060CA68C7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30" name="avatar">
          <a:extLst>
            <a:ext uri="{FF2B5EF4-FFF2-40B4-BE49-F238E27FC236}">
              <a16:creationId xmlns:a16="http://schemas.microsoft.com/office/drawing/2014/main" id="{812786A7-4A32-44B8-A239-71810170AAB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31" name="avatar">
          <a:extLst>
            <a:ext uri="{FF2B5EF4-FFF2-40B4-BE49-F238E27FC236}">
              <a16:creationId xmlns:a16="http://schemas.microsoft.com/office/drawing/2014/main" id="{5BDB9A70-442F-47E8-A0E6-7D5B00273FE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6</xdr:row>
      <xdr:rowOff>0</xdr:rowOff>
    </xdr:from>
    <xdr:ext cx="304800" cy="304800"/>
    <xdr:sp macro="" textlink="">
      <xdr:nvSpPr>
        <xdr:cNvPr id="32" name="avatar">
          <a:extLst>
            <a:ext uri="{FF2B5EF4-FFF2-40B4-BE49-F238E27FC236}">
              <a16:creationId xmlns:a16="http://schemas.microsoft.com/office/drawing/2014/main" id="{FA8CBFD7-CB77-4E76-8DC1-F35E48D1301A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3" name="avatar">
          <a:extLst>
            <a:ext uri="{FF2B5EF4-FFF2-40B4-BE49-F238E27FC236}">
              <a16:creationId xmlns:a16="http://schemas.microsoft.com/office/drawing/2014/main" id="{BB07BDD1-5D74-4695-A60D-7636E8942605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4" name="avatar">
          <a:extLst>
            <a:ext uri="{FF2B5EF4-FFF2-40B4-BE49-F238E27FC236}">
              <a16:creationId xmlns:a16="http://schemas.microsoft.com/office/drawing/2014/main" id="{5795DF1A-5AAF-42E5-A183-2D4787DDE0AD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5" name="avatar">
          <a:extLst>
            <a:ext uri="{FF2B5EF4-FFF2-40B4-BE49-F238E27FC236}">
              <a16:creationId xmlns:a16="http://schemas.microsoft.com/office/drawing/2014/main" id="{82B7226A-3341-4ABE-9D25-9E2D9928CB4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6" name="avatar">
          <a:extLst>
            <a:ext uri="{FF2B5EF4-FFF2-40B4-BE49-F238E27FC236}">
              <a16:creationId xmlns:a16="http://schemas.microsoft.com/office/drawing/2014/main" id="{4F365FE7-D8B4-4563-B191-49314B64187D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37" name="avatar">
          <a:extLst>
            <a:ext uri="{FF2B5EF4-FFF2-40B4-BE49-F238E27FC236}">
              <a16:creationId xmlns:a16="http://schemas.microsoft.com/office/drawing/2014/main" id="{A37BD69D-3D88-431F-8842-E61993307315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7</xdr:row>
      <xdr:rowOff>0</xdr:rowOff>
    </xdr:from>
    <xdr:ext cx="304800" cy="304800"/>
    <xdr:sp macro="" textlink="">
      <xdr:nvSpPr>
        <xdr:cNvPr id="38" name="avatar">
          <a:extLst>
            <a:ext uri="{FF2B5EF4-FFF2-40B4-BE49-F238E27FC236}">
              <a16:creationId xmlns:a16="http://schemas.microsoft.com/office/drawing/2014/main" id="{57306D71-65FE-4D27-AF05-7645BB65B970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39" name="avatar">
          <a:extLst>
            <a:ext uri="{FF2B5EF4-FFF2-40B4-BE49-F238E27FC236}">
              <a16:creationId xmlns:a16="http://schemas.microsoft.com/office/drawing/2014/main" id="{C23A9AEA-6023-4A4D-928E-6871A5E073F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0" name="avatar">
          <a:extLst>
            <a:ext uri="{FF2B5EF4-FFF2-40B4-BE49-F238E27FC236}">
              <a16:creationId xmlns:a16="http://schemas.microsoft.com/office/drawing/2014/main" id="{B960CC41-7DFF-4833-A731-125386EED78A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1" name="avatar">
          <a:extLst>
            <a:ext uri="{FF2B5EF4-FFF2-40B4-BE49-F238E27FC236}">
              <a16:creationId xmlns:a16="http://schemas.microsoft.com/office/drawing/2014/main" id="{6FB2561D-834C-42F0-93A9-640D2C977A5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2" name="avatar">
          <a:extLst>
            <a:ext uri="{FF2B5EF4-FFF2-40B4-BE49-F238E27FC236}">
              <a16:creationId xmlns:a16="http://schemas.microsoft.com/office/drawing/2014/main" id="{883DEC86-EF76-4F52-BB3E-09EFD8F29E2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43" name="avatar">
          <a:extLst>
            <a:ext uri="{FF2B5EF4-FFF2-40B4-BE49-F238E27FC236}">
              <a16:creationId xmlns:a16="http://schemas.microsoft.com/office/drawing/2014/main" id="{DCAA67CB-A0D6-44CC-884F-A60D6AE6C8D5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8</xdr:row>
      <xdr:rowOff>0</xdr:rowOff>
    </xdr:from>
    <xdr:ext cx="304800" cy="304800"/>
    <xdr:sp macro="" textlink="">
      <xdr:nvSpPr>
        <xdr:cNvPr id="44" name="avatar">
          <a:extLst>
            <a:ext uri="{FF2B5EF4-FFF2-40B4-BE49-F238E27FC236}">
              <a16:creationId xmlns:a16="http://schemas.microsoft.com/office/drawing/2014/main" id="{023C95C2-3965-485D-93F5-37D8861A0EC1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5" name="avatar">
          <a:extLst>
            <a:ext uri="{FF2B5EF4-FFF2-40B4-BE49-F238E27FC236}">
              <a16:creationId xmlns:a16="http://schemas.microsoft.com/office/drawing/2014/main" id="{A4FB3573-53C9-4FAD-8604-A25C6605E777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6" name="avatar">
          <a:extLst>
            <a:ext uri="{FF2B5EF4-FFF2-40B4-BE49-F238E27FC236}">
              <a16:creationId xmlns:a16="http://schemas.microsoft.com/office/drawing/2014/main" id="{E958293F-2122-40A2-B586-5A6BB636C83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7" name="avatar">
          <a:extLst>
            <a:ext uri="{FF2B5EF4-FFF2-40B4-BE49-F238E27FC236}">
              <a16:creationId xmlns:a16="http://schemas.microsoft.com/office/drawing/2014/main" id="{F9CF6D0F-3036-402D-B60E-392639B526DA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8" name="avatar">
          <a:extLst>
            <a:ext uri="{FF2B5EF4-FFF2-40B4-BE49-F238E27FC236}">
              <a16:creationId xmlns:a16="http://schemas.microsoft.com/office/drawing/2014/main" id="{BC9DBEF0-03C7-4DB7-BCFB-10537940CA91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49" name="avatar">
          <a:extLst>
            <a:ext uri="{FF2B5EF4-FFF2-40B4-BE49-F238E27FC236}">
              <a16:creationId xmlns:a16="http://schemas.microsoft.com/office/drawing/2014/main" id="{34933EDA-7E69-426D-821D-AE1DFFB8348F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9</xdr:row>
      <xdr:rowOff>0</xdr:rowOff>
    </xdr:from>
    <xdr:ext cx="304800" cy="304800"/>
    <xdr:sp macro="" textlink="">
      <xdr:nvSpPr>
        <xdr:cNvPr id="50" name="avatar">
          <a:extLst>
            <a:ext uri="{FF2B5EF4-FFF2-40B4-BE49-F238E27FC236}">
              <a16:creationId xmlns:a16="http://schemas.microsoft.com/office/drawing/2014/main" id="{46C6C5BF-0BCD-4912-9025-4E72707D2B97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1" name="avatar">
          <a:extLst>
            <a:ext uri="{FF2B5EF4-FFF2-40B4-BE49-F238E27FC236}">
              <a16:creationId xmlns:a16="http://schemas.microsoft.com/office/drawing/2014/main" id="{7D8D33EE-CF99-4F8E-B8F4-5C87C2821C8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2" name="avatar">
          <a:extLst>
            <a:ext uri="{FF2B5EF4-FFF2-40B4-BE49-F238E27FC236}">
              <a16:creationId xmlns:a16="http://schemas.microsoft.com/office/drawing/2014/main" id="{B3D21EA0-5FA4-47AD-AAF4-8613B7AD733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3" name="avatar">
          <a:extLst>
            <a:ext uri="{FF2B5EF4-FFF2-40B4-BE49-F238E27FC236}">
              <a16:creationId xmlns:a16="http://schemas.microsoft.com/office/drawing/2014/main" id="{5B862DA7-3537-4847-BC8C-21A5FDEE878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4" name="avatar">
          <a:extLst>
            <a:ext uri="{FF2B5EF4-FFF2-40B4-BE49-F238E27FC236}">
              <a16:creationId xmlns:a16="http://schemas.microsoft.com/office/drawing/2014/main" id="{3DB3FCE9-CEF6-4B86-A8CC-1D32C9CBFFAF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5" name="avatar">
          <a:extLst>
            <a:ext uri="{FF2B5EF4-FFF2-40B4-BE49-F238E27FC236}">
              <a16:creationId xmlns:a16="http://schemas.microsoft.com/office/drawing/2014/main" id="{66DACBBD-16A5-410D-A681-CBF84AF23FD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8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10</xdr:row>
      <xdr:rowOff>0</xdr:rowOff>
    </xdr:from>
    <xdr:ext cx="304800" cy="304800"/>
    <xdr:sp macro="" textlink="">
      <xdr:nvSpPr>
        <xdr:cNvPr id="56" name="avatar">
          <a:extLst>
            <a:ext uri="{FF2B5EF4-FFF2-40B4-BE49-F238E27FC236}">
              <a16:creationId xmlns:a16="http://schemas.microsoft.com/office/drawing/2014/main" id="{9CAF9906-9B84-4F25-97AB-C732DFDDFE8B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57" name="avatar">
          <a:extLst>
            <a:ext uri="{FF2B5EF4-FFF2-40B4-BE49-F238E27FC236}">
              <a16:creationId xmlns:a16="http://schemas.microsoft.com/office/drawing/2014/main" id="{44688B2A-0221-4A2D-AFCB-54116AA4A358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58" name="avatar">
          <a:extLst>
            <a:ext uri="{FF2B5EF4-FFF2-40B4-BE49-F238E27FC236}">
              <a16:creationId xmlns:a16="http://schemas.microsoft.com/office/drawing/2014/main" id="{87F00B0A-D9EF-4FC1-BC32-7D709A382258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59" name="avatar">
          <a:extLst>
            <a:ext uri="{FF2B5EF4-FFF2-40B4-BE49-F238E27FC236}">
              <a16:creationId xmlns:a16="http://schemas.microsoft.com/office/drawing/2014/main" id="{65CCDD95-529D-4A71-8CA7-853BC4AB54D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0" name="avatar">
          <a:extLst>
            <a:ext uri="{FF2B5EF4-FFF2-40B4-BE49-F238E27FC236}">
              <a16:creationId xmlns:a16="http://schemas.microsoft.com/office/drawing/2014/main" id="{BA6FCA7C-820E-4898-8628-6BD28F92D06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1" name="avatar">
          <a:extLst>
            <a:ext uri="{FF2B5EF4-FFF2-40B4-BE49-F238E27FC236}">
              <a16:creationId xmlns:a16="http://schemas.microsoft.com/office/drawing/2014/main" id="{0331BF95-C345-41F9-856B-D963D8E864B4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11</xdr:row>
      <xdr:rowOff>0</xdr:rowOff>
    </xdr:from>
    <xdr:ext cx="304800" cy="304800"/>
    <xdr:sp macro="" textlink="">
      <xdr:nvSpPr>
        <xdr:cNvPr id="62" name="avatar">
          <a:extLst>
            <a:ext uri="{FF2B5EF4-FFF2-40B4-BE49-F238E27FC236}">
              <a16:creationId xmlns:a16="http://schemas.microsoft.com/office/drawing/2014/main" id="{6C036BF5-6527-4421-9DCD-3169414107D8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" name="avatar">
          <a:extLst>
            <a:ext uri="{FF2B5EF4-FFF2-40B4-BE49-F238E27FC236}">
              <a16:creationId xmlns:a16="http://schemas.microsoft.com/office/drawing/2014/main" id="{DF5D9225-0838-42B5-9049-717C52CA469B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" name="avatar">
          <a:extLst>
            <a:ext uri="{FF2B5EF4-FFF2-40B4-BE49-F238E27FC236}">
              <a16:creationId xmlns:a16="http://schemas.microsoft.com/office/drawing/2014/main" id="{42848949-E074-4023-8B8B-29C6A08107F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5" name="avatar">
          <a:extLst>
            <a:ext uri="{FF2B5EF4-FFF2-40B4-BE49-F238E27FC236}">
              <a16:creationId xmlns:a16="http://schemas.microsoft.com/office/drawing/2014/main" id="{A56D3D8D-9BEF-4B6D-9136-172093846FC1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6" name="avatar">
          <a:extLst>
            <a:ext uri="{FF2B5EF4-FFF2-40B4-BE49-F238E27FC236}">
              <a16:creationId xmlns:a16="http://schemas.microsoft.com/office/drawing/2014/main" id="{C4AA7C8C-25EC-466E-9E1F-CE2A08EBF75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7" name="avatar">
          <a:extLst>
            <a:ext uri="{FF2B5EF4-FFF2-40B4-BE49-F238E27FC236}">
              <a16:creationId xmlns:a16="http://schemas.microsoft.com/office/drawing/2014/main" id="{86B2ACC9-84EE-4407-8B7A-6992F424F352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12</xdr:row>
      <xdr:rowOff>0</xdr:rowOff>
    </xdr:from>
    <xdr:ext cx="304800" cy="304800"/>
    <xdr:sp macro="" textlink="">
      <xdr:nvSpPr>
        <xdr:cNvPr id="68" name="avatar">
          <a:extLst>
            <a:ext uri="{FF2B5EF4-FFF2-40B4-BE49-F238E27FC236}">
              <a16:creationId xmlns:a16="http://schemas.microsoft.com/office/drawing/2014/main" id="{4C8D793F-D481-4E1C-90EA-8D497B3D1390}"/>
            </a:ext>
          </a:extLst>
        </xdr:cNvPr>
        <xdr:cNvSpPr>
          <a:spLocks noChangeAspect="1" noChangeArrowheads="1"/>
        </xdr:cNvSpPr>
      </xdr:nvSpPr>
      <xdr:spPr bwMode="auto">
        <a:xfrm>
          <a:off x="1613763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69" name="avatar">
          <a:extLst>
            <a:ext uri="{FF2B5EF4-FFF2-40B4-BE49-F238E27FC236}">
              <a16:creationId xmlns:a16="http://schemas.microsoft.com/office/drawing/2014/main" id="{F15DC28A-67F7-4A13-9E1E-F66AEACACCB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0" name="avatar">
          <a:extLst>
            <a:ext uri="{FF2B5EF4-FFF2-40B4-BE49-F238E27FC236}">
              <a16:creationId xmlns:a16="http://schemas.microsoft.com/office/drawing/2014/main" id="{7EDF3AF1-6378-4F77-9BD6-5214C1D71AE9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1" name="avatar">
          <a:extLst>
            <a:ext uri="{FF2B5EF4-FFF2-40B4-BE49-F238E27FC236}">
              <a16:creationId xmlns:a16="http://schemas.microsoft.com/office/drawing/2014/main" id="{B67A98DC-4794-4A89-A744-0C9A5227BB26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2" name="avatar">
          <a:extLst>
            <a:ext uri="{FF2B5EF4-FFF2-40B4-BE49-F238E27FC236}">
              <a16:creationId xmlns:a16="http://schemas.microsoft.com/office/drawing/2014/main" id="{0423DFB2-FD2C-41C1-B26A-089097022360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73" name="avatar">
          <a:extLst>
            <a:ext uri="{FF2B5EF4-FFF2-40B4-BE49-F238E27FC236}">
              <a16:creationId xmlns:a16="http://schemas.microsoft.com/office/drawing/2014/main" id="{97CCDBF3-D4BA-4904-86D9-51C4725432BC}"/>
            </a:ext>
          </a:extLst>
        </xdr:cNvPr>
        <xdr:cNvSpPr>
          <a:spLocks noChangeAspect="1" noChangeArrowheads="1"/>
        </xdr:cNvSpPr>
      </xdr:nvSpPr>
      <xdr:spPr bwMode="auto">
        <a:xfrm>
          <a:off x="8785860" y="23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2" name="avatar">
          <a:extLst>
            <a:ext uri="{FF2B5EF4-FFF2-40B4-BE49-F238E27FC236}">
              <a16:creationId xmlns:a16="http://schemas.microsoft.com/office/drawing/2014/main" id="{D38F1FC9-A259-4C6F-B384-D4EF934D0F09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" name="avatar">
          <a:extLst>
            <a:ext uri="{FF2B5EF4-FFF2-40B4-BE49-F238E27FC236}">
              <a16:creationId xmlns:a16="http://schemas.microsoft.com/office/drawing/2014/main" id="{28F76E66-B1EF-45F5-975F-4EA96008CACF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4" name="avatar">
          <a:extLst>
            <a:ext uri="{FF2B5EF4-FFF2-40B4-BE49-F238E27FC236}">
              <a16:creationId xmlns:a16="http://schemas.microsoft.com/office/drawing/2014/main" id="{06A59C7F-F9BB-4466-BE60-530C97A3D2BA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5" name="avatar">
          <a:extLst>
            <a:ext uri="{FF2B5EF4-FFF2-40B4-BE49-F238E27FC236}">
              <a16:creationId xmlns:a16="http://schemas.microsoft.com/office/drawing/2014/main" id="{FFC1AF00-EC20-43D3-A0D9-B5C1DD1E273E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6" name="avatar">
          <a:extLst>
            <a:ext uri="{FF2B5EF4-FFF2-40B4-BE49-F238E27FC236}">
              <a16:creationId xmlns:a16="http://schemas.microsoft.com/office/drawing/2014/main" id="{07D01726-258B-40C0-99AC-349DEA1873E2}"/>
            </a:ext>
          </a:extLst>
        </xdr:cNvPr>
        <xdr:cNvSpPr>
          <a:spLocks noChangeAspect="1" noChangeArrowheads="1"/>
        </xdr:cNvSpPr>
      </xdr:nvSpPr>
      <xdr:spPr bwMode="auto">
        <a:xfrm>
          <a:off x="963168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7" name="avatar">
          <a:extLst>
            <a:ext uri="{FF2B5EF4-FFF2-40B4-BE49-F238E27FC236}">
              <a16:creationId xmlns:a16="http://schemas.microsoft.com/office/drawing/2014/main" id="{0A1E7BE4-6D30-4020-92ED-36068E1962A8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8" name="avatar">
          <a:extLst>
            <a:ext uri="{FF2B5EF4-FFF2-40B4-BE49-F238E27FC236}">
              <a16:creationId xmlns:a16="http://schemas.microsoft.com/office/drawing/2014/main" id="{EBA1047B-B8F0-4963-9C7C-A302C4E680E5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9" name="avatar">
          <a:extLst>
            <a:ext uri="{FF2B5EF4-FFF2-40B4-BE49-F238E27FC236}">
              <a16:creationId xmlns:a16="http://schemas.microsoft.com/office/drawing/2014/main" id="{CF022148-3DAB-48E7-8737-F065A2F0286A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" name="avatar">
          <a:extLst>
            <a:ext uri="{FF2B5EF4-FFF2-40B4-BE49-F238E27FC236}">
              <a16:creationId xmlns:a16="http://schemas.microsoft.com/office/drawing/2014/main" id="{8FB793F4-DCF0-41F0-9623-3FCF6C2EC632}"/>
            </a:ext>
          </a:extLst>
        </xdr:cNvPr>
        <xdr:cNvSpPr>
          <a:spLocks noChangeAspect="1" noChangeArrowheads="1"/>
        </xdr:cNvSpPr>
      </xdr:nvSpPr>
      <xdr:spPr bwMode="auto">
        <a:xfrm>
          <a:off x="877824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2" name="avatar">
          <a:extLst>
            <a:ext uri="{FF2B5EF4-FFF2-40B4-BE49-F238E27FC236}">
              <a16:creationId xmlns:a16="http://schemas.microsoft.com/office/drawing/2014/main" id="{141D3528-6DF5-4E8E-872E-DED78780EB7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3" name="avatar">
          <a:extLst>
            <a:ext uri="{FF2B5EF4-FFF2-40B4-BE49-F238E27FC236}">
              <a16:creationId xmlns:a16="http://schemas.microsoft.com/office/drawing/2014/main" id="{8B81F41D-4725-4EBE-AEE4-3A691450F0C7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4" name="avatar">
          <a:extLst>
            <a:ext uri="{FF2B5EF4-FFF2-40B4-BE49-F238E27FC236}">
              <a16:creationId xmlns:a16="http://schemas.microsoft.com/office/drawing/2014/main" id="{F0B76CDB-4153-4781-A364-1D271DAFD85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5" name="avatar">
          <a:extLst>
            <a:ext uri="{FF2B5EF4-FFF2-40B4-BE49-F238E27FC236}">
              <a16:creationId xmlns:a16="http://schemas.microsoft.com/office/drawing/2014/main" id="{B06363DB-D4AC-4F72-B52A-F0AC8457DCA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6" name="avatar">
          <a:extLst>
            <a:ext uri="{FF2B5EF4-FFF2-40B4-BE49-F238E27FC236}">
              <a16:creationId xmlns:a16="http://schemas.microsoft.com/office/drawing/2014/main" id="{AD670D13-35D7-4E55-8F82-0C202913157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7" name="avatar">
          <a:extLst>
            <a:ext uri="{FF2B5EF4-FFF2-40B4-BE49-F238E27FC236}">
              <a16:creationId xmlns:a16="http://schemas.microsoft.com/office/drawing/2014/main" id="{6284AE21-0F36-4552-A93F-567E1E6FFA24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8" name="avatar">
          <a:extLst>
            <a:ext uri="{FF2B5EF4-FFF2-40B4-BE49-F238E27FC236}">
              <a16:creationId xmlns:a16="http://schemas.microsoft.com/office/drawing/2014/main" id="{C6416B48-C300-4E51-B028-5712750E5040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9" name="avatar">
          <a:extLst>
            <a:ext uri="{FF2B5EF4-FFF2-40B4-BE49-F238E27FC236}">
              <a16:creationId xmlns:a16="http://schemas.microsoft.com/office/drawing/2014/main" id="{CA064AF5-DFDB-4A8F-95B7-71FBBD5FAA99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0" name="avatar">
          <a:extLst>
            <a:ext uri="{FF2B5EF4-FFF2-40B4-BE49-F238E27FC236}">
              <a16:creationId xmlns:a16="http://schemas.microsoft.com/office/drawing/2014/main" id="{DBE989EE-8DBF-44F2-973A-C28F461D6A00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1" name="avatar">
          <a:extLst>
            <a:ext uri="{FF2B5EF4-FFF2-40B4-BE49-F238E27FC236}">
              <a16:creationId xmlns:a16="http://schemas.microsoft.com/office/drawing/2014/main" id="{635B28C7-2A38-4853-9792-97FEC3A00D7D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2" name="avatar">
          <a:extLst>
            <a:ext uri="{FF2B5EF4-FFF2-40B4-BE49-F238E27FC236}">
              <a16:creationId xmlns:a16="http://schemas.microsoft.com/office/drawing/2014/main" id="{C4E515F9-0926-4D15-9F02-65305ADF9255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3" name="avatar">
          <a:extLst>
            <a:ext uri="{FF2B5EF4-FFF2-40B4-BE49-F238E27FC236}">
              <a16:creationId xmlns:a16="http://schemas.microsoft.com/office/drawing/2014/main" id="{83D57E03-5F0A-4529-B0B7-15B73220A63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4" name="avatar">
          <a:extLst>
            <a:ext uri="{FF2B5EF4-FFF2-40B4-BE49-F238E27FC236}">
              <a16:creationId xmlns:a16="http://schemas.microsoft.com/office/drawing/2014/main" id="{36E91BA5-87AD-4FBB-9245-C71721BFD876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5" name="avatar">
          <a:extLst>
            <a:ext uri="{FF2B5EF4-FFF2-40B4-BE49-F238E27FC236}">
              <a16:creationId xmlns:a16="http://schemas.microsoft.com/office/drawing/2014/main" id="{FDDCF5DF-856B-40D3-98FA-8077633CC971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6" name="avatar">
          <a:extLst>
            <a:ext uri="{FF2B5EF4-FFF2-40B4-BE49-F238E27FC236}">
              <a16:creationId xmlns:a16="http://schemas.microsoft.com/office/drawing/2014/main" id="{4C4E5322-2115-4AB6-A8DB-B93113DCB17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7" name="avatar">
          <a:extLst>
            <a:ext uri="{FF2B5EF4-FFF2-40B4-BE49-F238E27FC236}">
              <a16:creationId xmlns:a16="http://schemas.microsoft.com/office/drawing/2014/main" id="{FAE623B0-CB2E-497F-A023-643863E86AD5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8" name="avatar">
          <a:extLst>
            <a:ext uri="{FF2B5EF4-FFF2-40B4-BE49-F238E27FC236}">
              <a16:creationId xmlns:a16="http://schemas.microsoft.com/office/drawing/2014/main" id="{B997437A-74FC-4EED-8D67-3F6B8E43556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0" name="avatar">
          <a:extLst>
            <a:ext uri="{FF2B5EF4-FFF2-40B4-BE49-F238E27FC236}">
              <a16:creationId xmlns:a16="http://schemas.microsoft.com/office/drawing/2014/main" id="{C0381266-C9AE-4FAB-928E-9F683D6A5784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1" name="avatar">
          <a:extLst>
            <a:ext uri="{FF2B5EF4-FFF2-40B4-BE49-F238E27FC236}">
              <a16:creationId xmlns:a16="http://schemas.microsoft.com/office/drawing/2014/main" id="{1C075EA5-9CC3-4DED-99DB-4FC347A196D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2" name="avatar">
          <a:extLst>
            <a:ext uri="{FF2B5EF4-FFF2-40B4-BE49-F238E27FC236}">
              <a16:creationId xmlns:a16="http://schemas.microsoft.com/office/drawing/2014/main" id="{97B62420-23CD-4E84-8EDB-767BFCF7FAD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3" name="avatar">
          <a:extLst>
            <a:ext uri="{FF2B5EF4-FFF2-40B4-BE49-F238E27FC236}">
              <a16:creationId xmlns:a16="http://schemas.microsoft.com/office/drawing/2014/main" id="{68BCBC92-37A1-4057-81DA-5B9B707DA27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4" name="avatar">
          <a:extLst>
            <a:ext uri="{FF2B5EF4-FFF2-40B4-BE49-F238E27FC236}">
              <a16:creationId xmlns:a16="http://schemas.microsoft.com/office/drawing/2014/main" id="{462BF486-D51B-4C95-B090-E86E1931376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5" name="avatar">
          <a:extLst>
            <a:ext uri="{FF2B5EF4-FFF2-40B4-BE49-F238E27FC236}">
              <a16:creationId xmlns:a16="http://schemas.microsoft.com/office/drawing/2014/main" id="{D14D6D01-0B56-4991-B960-7B559B373D5C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6" name="avatar">
          <a:extLst>
            <a:ext uri="{FF2B5EF4-FFF2-40B4-BE49-F238E27FC236}">
              <a16:creationId xmlns:a16="http://schemas.microsoft.com/office/drawing/2014/main" id="{F9D470CF-6EE3-4B7C-AFDC-813D978CB74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7" name="avatar">
          <a:extLst>
            <a:ext uri="{FF2B5EF4-FFF2-40B4-BE49-F238E27FC236}">
              <a16:creationId xmlns:a16="http://schemas.microsoft.com/office/drawing/2014/main" id="{5E239A6D-993F-4B78-AD08-15FB5047398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8" name="avatar">
          <a:extLst>
            <a:ext uri="{FF2B5EF4-FFF2-40B4-BE49-F238E27FC236}">
              <a16:creationId xmlns:a16="http://schemas.microsoft.com/office/drawing/2014/main" id="{3630717C-23BA-44AA-A0D7-E420CA0CB74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39" name="avatar">
          <a:extLst>
            <a:ext uri="{FF2B5EF4-FFF2-40B4-BE49-F238E27FC236}">
              <a16:creationId xmlns:a16="http://schemas.microsoft.com/office/drawing/2014/main" id="{10225888-AA7D-4767-B836-DD5198BCE66D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0" name="avatar">
          <a:extLst>
            <a:ext uri="{FF2B5EF4-FFF2-40B4-BE49-F238E27FC236}">
              <a16:creationId xmlns:a16="http://schemas.microsoft.com/office/drawing/2014/main" id="{409BB8F8-615D-42AF-A57F-1458CE5F4B0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1" name="avatar">
          <a:extLst>
            <a:ext uri="{FF2B5EF4-FFF2-40B4-BE49-F238E27FC236}">
              <a16:creationId xmlns:a16="http://schemas.microsoft.com/office/drawing/2014/main" id="{5D246586-3206-433E-807F-8CEBC2F8492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2" name="avatar">
          <a:extLst>
            <a:ext uri="{FF2B5EF4-FFF2-40B4-BE49-F238E27FC236}">
              <a16:creationId xmlns:a16="http://schemas.microsoft.com/office/drawing/2014/main" id="{E4587293-A6F4-4A8A-AFAF-89EDA279044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3" name="avatar">
          <a:extLst>
            <a:ext uri="{FF2B5EF4-FFF2-40B4-BE49-F238E27FC236}">
              <a16:creationId xmlns:a16="http://schemas.microsoft.com/office/drawing/2014/main" id="{C1DC9562-15E8-4E2C-A7F9-3B00EB4D6365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4" name="avatar">
          <a:extLst>
            <a:ext uri="{FF2B5EF4-FFF2-40B4-BE49-F238E27FC236}">
              <a16:creationId xmlns:a16="http://schemas.microsoft.com/office/drawing/2014/main" id="{B71DA7ED-19D1-47DC-956B-984A7E962B65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5" name="avatar">
          <a:extLst>
            <a:ext uri="{FF2B5EF4-FFF2-40B4-BE49-F238E27FC236}">
              <a16:creationId xmlns:a16="http://schemas.microsoft.com/office/drawing/2014/main" id="{55B17FB3-6B80-4DE6-8264-D6F4E2C8A642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6" name="avatar">
          <a:extLst>
            <a:ext uri="{FF2B5EF4-FFF2-40B4-BE49-F238E27FC236}">
              <a16:creationId xmlns:a16="http://schemas.microsoft.com/office/drawing/2014/main" id="{984123D1-BA40-4016-B69F-96809A8CBD7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7" name="avatar">
          <a:extLst>
            <a:ext uri="{FF2B5EF4-FFF2-40B4-BE49-F238E27FC236}">
              <a16:creationId xmlns:a16="http://schemas.microsoft.com/office/drawing/2014/main" id="{159280A9-3007-4DC5-9884-44DF4376846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8" name="avatar">
          <a:extLst>
            <a:ext uri="{FF2B5EF4-FFF2-40B4-BE49-F238E27FC236}">
              <a16:creationId xmlns:a16="http://schemas.microsoft.com/office/drawing/2014/main" id="{103C6BC4-BDE5-442C-94E6-91779ADF48B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" name="avatar">
          <a:extLst>
            <a:ext uri="{FF2B5EF4-FFF2-40B4-BE49-F238E27FC236}">
              <a16:creationId xmlns:a16="http://schemas.microsoft.com/office/drawing/2014/main" id="{86DD833F-BB24-41C3-AD23-3AB30034C63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0" name="avatar">
          <a:extLst>
            <a:ext uri="{FF2B5EF4-FFF2-40B4-BE49-F238E27FC236}">
              <a16:creationId xmlns:a16="http://schemas.microsoft.com/office/drawing/2014/main" id="{B19458BD-3ABD-4D5F-9DC6-A0F43E48660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1" name="avatar">
          <a:extLst>
            <a:ext uri="{FF2B5EF4-FFF2-40B4-BE49-F238E27FC236}">
              <a16:creationId xmlns:a16="http://schemas.microsoft.com/office/drawing/2014/main" id="{F7588616-69EA-4B90-B2D9-3A79A27D6B3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" name="avatar">
          <a:extLst>
            <a:ext uri="{FF2B5EF4-FFF2-40B4-BE49-F238E27FC236}">
              <a16:creationId xmlns:a16="http://schemas.microsoft.com/office/drawing/2014/main" id="{C18E94A6-75C0-430B-9FDD-5B86B7A6420F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3" name="avatar">
          <a:extLst>
            <a:ext uri="{FF2B5EF4-FFF2-40B4-BE49-F238E27FC236}">
              <a16:creationId xmlns:a16="http://schemas.microsoft.com/office/drawing/2014/main" id="{C944D7EE-5F62-45A7-956B-B4390EFCB23F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4" name="avatar">
          <a:extLst>
            <a:ext uri="{FF2B5EF4-FFF2-40B4-BE49-F238E27FC236}">
              <a16:creationId xmlns:a16="http://schemas.microsoft.com/office/drawing/2014/main" id="{781FC42C-287B-4CE7-A187-66EED8FF8A1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5" name="avatar">
          <a:extLst>
            <a:ext uri="{FF2B5EF4-FFF2-40B4-BE49-F238E27FC236}">
              <a16:creationId xmlns:a16="http://schemas.microsoft.com/office/drawing/2014/main" id="{570CB035-8C7E-4118-B3F6-424AD180DE3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6" name="avatar">
          <a:extLst>
            <a:ext uri="{FF2B5EF4-FFF2-40B4-BE49-F238E27FC236}">
              <a16:creationId xmlns:a16="http://schemas.microsoft.com/office/drawing/2014/main" id="{6197390A-A7FC-4E9B-A3A1-67DEEB945D9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7" name="avatar">
          <a:extLst>
            <a:ext uri="{FF2B5EF4-FFF2-40B4-BE49-F238E27FC236}">
              <a16:creationId xmlns:a16="http://schemas.microsoft.com/office/drawing/2014/main" id="{24AEEEA0-A5B6-42D7-BE38-CE7BC57E8F9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8" name="avatar">
          <a:extLst>
            <a:ext uri="{FF2B5EF4-FFF2-40B4-BE49-F238E27FC236}">
              <a16:creationId xmlns:a16="http://schemas.microsoft.com/office/drawing/2014/main" id="{E2E75AB7-D5D2-4109-9ADD-9B0A6CD9C5E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9" name="avatar">
          <a:extLst>
            <a:ext uri="{FF2B5EF4-FFF2-40B4-BE49-F238E27FC236}">
              <a16:creationId xmlns:a16="http://schemas.microsoft.com/office/drawing/2014/main" id="{1C0AE59C-E893-4E23-8EE5-C8E61FFD1B1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0" name="avatar">
          <a:extLst>
            <a:ext uri="{FF2B5EF4-FFF2-40B4-BE49-F238E27FC236}">
              <a16:creationId xmlns:a16="http://schemas.microsoft.com/office/drawing/2014/main" id="{93923572-9317-4380-8B20-B59C6E6778C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1" name="avatar">
          <a:extLst>
            <a:ext uri="{FF2B5EF4-FFF2-40B4-BE49-F238E27FC236}">
              <a16:creationId xmlns:a16="http://schemas.microsoft.com/office/drawing/2014/main" id="{0E1DBE44-79FD-4A66-8A2E-EA019F320FF7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2" name="avatar">
          <a:extLst>
            <a:ext uri="{FF2B5EF4-FFF2-40B4-BE49-F238E27FC236}">
              <a16:creationId xmlns:a16="http://schemas.microsoft.com/office/drawing/2014/main" id="{60BD7CBA-ABED-4849-8052-0E8183876890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3" name="avatar">
          <a:extLst>
            <a:ext uri="{FF2B5EF4-FFF2-40B4-BE49-F238E27FC236}">
              <a16:creationId xmlns:a16="http://schemas.microsoft.com/office/drawing/2014/main" id="{644DFF47-D47E-4AF3-8434-982BB62FC32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4" name="avatar">
          <a:extLst>
            <a:ext uri="{FF2B5EF4-FFF2-40B4-BE49-F238E27FC236}">
              <a16:creationId xmlns:a16="http://schemas.microsoft.com/office/drawing/2014/main" id="{2D39C3D6-FE76-402D-BD12-F63FF8C9B99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5" name="avatar">
          <a:extLst>
            <a:ext uri="{FF2B5EF4-FFF2-40B4-BE49-F238E27FC236}">
              <a16:creationId xmlns:a16="http://schemas.microsoft.com/office/drawing/2014/main" id="{860B9826-16F4-4C88-A6EF-83C9A64E2D9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6" name="avatar">
          <a:extLst>
            <a:ext uri="{FF2B5EF4-FFF2-40B4-BE49-F238E27FC236}">
              <a16:creationId xmlns:a16="http://schemas.microsoft.com/office/drawing/2014/main" id="{834D06F5-5850-481A-8BB8-39F6D904EA8F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7" name="avatar">
          <a:extLst>
            <a:ext uri="{FF2B5EF4-FFF2-40B4-BE49-F238E27FC236}">
              <a16:creationId xmlns:a16="http://schemas.microsoft.com/office/drawing/2014/main" id="{A5B8ABAA-BAF2-4C7F-9161-88A8313A3350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8" name="avatar">
          <a:extLst>
            <a:ext uri="{FF2B5EF4-FFF2-40B4-BE49-F238E27FC236}">
              <a16:creationId xmlns:a16="http://schemas.microsoft.com/office/drawing/2014/main" id="{1517BE80-56D6-4FA4-9112-1A0BF5874C64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69" name="avatar">
          <a:extLst>
            <a:ext uri="{FF2B5EF4-FFF2-40B4-BE49-F238E27FC236}">
              <a16:creationId xmlns:a16="http://schemas.microsoft.com/office/drawing/2014/main" id="{5467BFEE-FE6F-41AF-87B2-1F65EB8876F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0" name="avatar">
          <a:extLst>
            <a:ext uri="{FF2B5EF4-FFF2-40B4-BE49-F238E27FC236}">
              <a16:creationId xmlns:a16="http://schemas.microsoft.com/office/drawing/2014/main" id="{2C542BA3-EAB0-4400-A9B0-DD051C566A52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1" name="avatar">
          <a:extLst>
            <a:ext uri="{FF2B5EF4-FFF2-40B4-BE49-F238E27FC236}">
              <a16:creationId xmlns:a16="http://schemas.microsoft.com/office/drawing/2014/main" id="{5D9C3428-F43A-41E2-BC46-9307CFE91348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2" name="avatar">
          <a:extLst>
            <a:ext uri="{FF2B5EF4-FFF2-40B4-BE49-F238E27FC236}">
              <a16:creationId xmlns:a16="http://schemas.microsoft.com/office/drawing/2014/main" id="{66A8888B-FD69-450C-BC7A-7E323F1DA47A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3" name="avatar">
          <a:extLst>
            <a:ext uri="{FF2B5EF4-FFF2-40B4-BE49-F238E27FC236}">
              <a16:creationId xmlns:a16="http://schemas.microsoft.com/office/drawing/2014/main" id="{7C491F09-A4B9-4F6F-A5F9-FBC1322FB656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4" name="avatar">
          <a:extLst>
            <a:ext uri="{FF2B5EF4-FFF2-40B4-BE49-F238E27FC236}">
              <a16:creationId xmlns:a16="http://schemas.microsoft.com/office/drawing/2014/main" id="{CBD461F4-C42B-4366-B947-33B10437C485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5" name="avatar">
          <a:extLst>
            <a:ext uri="{FF2B5EF4-FFF2-40B4-BE49-F238E27FC236}">
              <a16:creationId xmlns:a16="http://schemas.microsoft.com/office/drawing/2014/main" id="{A60DDD60-B59D-444F-B7F9-1A4FDCFAE65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6" name="avatar">
          <a:extLst>
            <a:ext uri="{FF2B5EF4-FFF2-40B4-BE49-F238E27FC236}">
              <a16:creationId xmlns:a16="http://schemas.microsoft.com/office/drawing/2014/main" id="{9B06FEA1-FDD1-49D4-A71B-0B2DA873E81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7" name="avatar">
          <a:extLst>
            <a:ext uri="{FF2B5EF4-FFF2-40B4-BE49-F238E27FC236}">
              <a16:creationId xmlns:a16="http://schemas.microsoft.com/office/drawing/2014/main" id="{ED193834-28BB-4A8D-8936-186058DE0ED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8" name="avatar">
          <a:extLst>
            <a:ext uri="{FF2B5EF4-FFF2-40B4-BE49-F238E27FC236}">
              <a16:creationId xmlns:a16="http://schemas.microsoft.com/office/drawing/2014/main" id="{B4C46C2A-4CC8-4DB5-97E0-3483852D6CC5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79" name="avatar">
          <a:extLst>
            <a:ext uri="{FF2B5EF4-FFF2-40B4-BE49-F238E27FC236}">
              <a16:creationId xmlns:a16="http://schemas.microsoft.com/office/drawing/2014/main" id="{AC041373-BAC4-4EBB-BF8A-C622AEF3B628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0" name="avatar">
          <a:extLst>
            <a:ext uri="{FF2B5EF4-FFF2-40B4-BE49-F238E27FC236}">
              <a16:creationId xmlns:a16="http://schemas.microsoft.com/office/drawing/2014/main" id="{0BC82967-2BF9-4A62-ABBC-90E7197EE6F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1" name="avatar">
          <a:extLst>
            <a:ext uri="{FF2B5EF4-FFF2-40B4-BE49-F238E27FC236}">
              <a16:creationId xmlns:a16="http://schemas.microsoft.com/office/drawing/2014/main" id="{52FC433F-2F25-47C9-8DC5-842CDB463D38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2" name="avatar">
          <a:extLst>
            <a:ext uri="{FF2B5EF4-FFF2-40B4-BE49-F238E27FC236}">
              <a16:creationId xmlns:a16="http://schemas.microsoft.com/office/drawing/2014/main" id="{2632D713-E8F7-43D5-9FB4-BE01FC86885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3" name="avatar">
          <a:extLst>
            <a:ext uri="{FF2B5EF4-FFF2-40B4-BE49-F238E27FC236}">
              <a16:creationId xmlns:a16="http://schemas.microsoft.com/office/drawing/2014/main" id="{83ABBA48-67F9-44AD-920C-74B3B176D9D7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4" name="avatar">
          <a:extLst>
            <a:ext uri="{FF2B5EF4-FFF2-40B4-BE49-F238E27FC236}">
              <a16:creationId xmlns:a16="http://schemas.microsoft.com/office/drawing/2014/main" id="{6E1EFCC9-C42D-4C2E-BB97-AB2107A024F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5" name="avatar">
          <a:extLst>
            <a:ext uri="{FF2B5EF4-FFF2-40B4-BE49-F238E27FC236}">
              <a16:creationId xmlns:a16="http://schemas.microsoft.com/office/drawing/2014/main" id="{3E407288-1C92-4CB0-8A22-DACD2C25E2B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6" name="avatar">
          <a:extLst>
            <a:ext uri="{FF2B5EF4-FFF2-40B4-BE49-F238E27FC236}">
              <a16:creationId xmlns:a16="http://schemas.microsoft.com/office/drawing/2014/main" id="{87E19738-F0CC-49C1-B984-5D4399C4AB8D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7" name="avatar">
          <a:extLst>
            <a:ext uri="{FF2B5EF4-FFF2-40B4-BE49-F238E27FC236}">
              <a16:creationId xmlns:a16="http://schemas.microsoft.com/office/drawing/2014/main" id="{FF8F729B-CAF7-4FF2-A0EF-B74E8D4BF81F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8" name="avatar">
          <a:extLst>
            <a:ext uri="{FF2B5EF4-FFF2-40B4-BE49-F238E27FC236}">
              <a16:creationId xmlns:a16="http://schemas.microsoft.com/office/drawing/2014/main" id="{4FDC6205-9AEC-442D-AAA3-9757E0038ED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89" name="avatar">
          <a:extLst>
            <a:ext uri="{FF2B5EF4-FFF2-40B4-BE49-F238E27FC236}">
              <a16:creationId xmlns:a16="http://schemas.microsoft.com/office/drawing/2014/main" id="{BE57A22A-C5F5-4D04-8B94-80F8FA7A3868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0" name="avatar">
          <a:extLst>
            <a:ext uri="{FF2B5EF4-FFF2-40B4-BE49-F238E27FC236}">
              <a16:creationId xmlns:a16="http://schemas.microsoft.com/office/drawing/2014/main" id="{963EE72E-FA80-463F-A84C-E5FC5CF24002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1" name="avatar">
          <a:extLst>
            <a:ext uri="{FF2B5EF4-FFF2-40B4-BE49-F238E27FC236}">
              <a16:creationId xmlns:a16="http://schemas.microsoft.com/office/drawing/2014/main" id="{3203F095-E975-4BF9-AAE3-060423B2CE4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2" name="avatar">
          <a:extLst>
            <a:ext uri="{FF2B5EF4-FFF2-40B4-BE49-F238E27FC236}">
              <a16:creationId xmlns:a16="http://schemas.microsoft.com/office/drawing/2014/main" id="{A28EEA2B-06BD-44DA-83E1-83D27D1E3333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3" name="avatar">
          <a:extLst>
            <a:ext uri="{FF2B5EF4-FFF2-40B4-BE49-F238E27FC236}">
              <a16:creationId xmlns:a16="http://schemas.microsoft.com/office/drawing/2014/main" id="{6D850C3B-A7F2-40FF-A40E-6F38B2ED57FE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4" name="avatar">
          <a:extLst>
            <a:ext uri="{FF2B5EF4-FFF2-40B4-BE49-F238E27FC236}">
              <a16:creationId xmlns:a16="http://schemas.microsoft.com/office/drawing/2014/main" id="{528D5824-F76F-4EF7-9C87-1D28AF18BB9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5" name="avatar">
          <a:extLst>
            <a:ext uri="{FF2B5EF4-FFF2-40B4-BE49-F238E27FC236}">
              <a16:creationId xmlns:a16="http://schemas.microsoft.com/office/drawing/2014/main" id="{690CDF87-3638-405E-9D96-73FCCC6BB02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6" name="avatar">
          <a:extLst>
            <a:ext uri="{FF2B5EF4-FFF2-40B4-BE49-F238E27FC236}">
              <a16:creationId xmlns:a16="http://schemas.microsoft.com/office/drawing/2014/main" id="{0A4B1CC4-6E4C-4553-9B04-730A32FEF3E1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7" name="avatar">
          <a:extLst>
            <a:ext uri="{FF2B5EF4-FFF2-40B4-BE49-F238E27FC236}">
              <a16:creationId xmlns:a16="http://schemas.microsoft.com/office/drawing/2014/main" id="{3AFFC84D-3AA7-43B8-90D7-E376E97DF255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8" name="avatar">
          <a:extLst>
            <a:ext uri="{FF2B5EF4-FFF2-40B4-BE49-F238E27FC236}">
              <a16:creationId xmlns:a16="http://schemas.microsoft.com/office/drawing/2014/main" id="{FD27B8B5-00A4-427C-ACE0-851B571AE44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99" name="avatar">
          <a:extLst>
            <a:ext uri="{FF2B5EF4-FFF2-40B4-BE49-F238E27FC236}">
              <a16:creationId xmlns:a16="http://schemas.microsoft.com/office/drawing/2014/main" id="{1945E4DB-7C45-428D-A22F-ADAEB8039B8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0" name="avatar">
          <a:extLst>
            <a:ext uri="{FF2B5EF4-FFF2-40B4-BE49-F238E27FC236}">
              <a16:creationId xmlns:a16="http://schemas.microsoft.com/office/drawing/2014/main" id="{414C6E84-87DB-48AB-A3C1-5CE5EDD71FC1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1" name="avatar">
          <a:extLst>
            <a:ext uri="{FF2B5EF4-FFF2-40B4-BE49-F238E27FC236}">
              <a16:creationId xmlns:a16="http://schemas.microsoft.com/office/drawing/2014/main" id="{6E3AB888-378E-416A-A65C-9ACE0A7E85E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2" name="avatar">
          <a:extLst>
            <a:ext uri="{FF2B5EF4-FFF2-40B4-BE49-F238E27FC236}">
              <a16:creationId xmlns:a16="http://schemas.microsoft.com/office/drawing/2014/main" id="{C29EDA2C-AA5A-4708-8DEC-A03FF3E5590B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3" name="avatar">
          <a:extLst>
            <a:ext uri="{FF2B5EF4-FFF2-40B4-BE49-F238E27FC236}">
              <a16:creationId xmlns:a16="http://schemas.microsoft.com/office/drawing/2014/main" id="{D16531A5-2371-4555-89BF-3E7F1151E01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4" name="avatar">
          <a:extLst>
            <a:ext uri="{FF2B5EF4-FFF2-40B4-BE49-F238E27FC236}">
              <a16:creationId xmlns:a16="http://schemas.microsoft.com/office/drawing/2014/main" id="{4F18591D-EB26-428E-A3E8-21D196B3F352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5" name="avatar">
          <a:extLst>
            <a:ext uri="{FF2B5EF4-FFF2-40B4-BE49-F238E27FC236}">
              <a16:creationId xmlns:a16="http://schemas.microsoft.com/office/drawing/2014/main" id="{AEFF658E-F6CD-43E6-B04C-EEBE8F11A896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6" name="avatar">
          <a:extLst>
            <a:ext uri="{FF2B5EF4-FFF2-40B4-BE49-F238E27FC236}">
              <a16:creationId xmlns:a16="http://schemas.microsoft.com/office/drawing/2014/main" id="{8454362C-A137-4C60-B639-B34B3F1D3F68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7" name="avatar">
          <a:extLst>
            <a:ext uri="{FF2B5EF4-FFF2-40B4-BE49-F238E27FC236}">
              <a16:creationId xmlns:a16="http://schemas.microsoft.com/office/drawing/2014/main" id="{12604AD2-3AE1-4A24-B871-40FC7282861D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8" name="avatar">
          <a:extLst>
            <a:ext uri="{FF2B5EF4-FFF2-40B4-BE49-F238E27FC236}">
              <a16:creationId xmlns:a16="http://schemas.microsoft.com/office/drawing/2014/main" id="{B10A3F7E-A413-4388-8E63-9B2DA327723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109" name="avatar">
          <a:extLst>
            <a:ext uri="{FF2B5EF4-FFF2-40B4-BE49-F238E27FC236}">
              <a16:creationId xmlns:a16="http://schemas.microsoft.com/office/drawing/2014/main" id="{ED049271-65AA-4193-B371-184FCFE0BA08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0" name="avatar">
          <a:extLst>
            <a:ext uri="{FF2B5EF4-FFF2-40B4-BE49-F238E27FC236}">
              <a16:creationId xmlns:a16="http://schemas.microsoft.com/office/drawing/2014/main" id="{10DCDA55-CB54-4FF5-8320-7446553180E2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1" name="avatar">
          <a:extLst>
            <a:ext uri="{FF2B5EF4-FFF2-40B4-BE49-F238E27FC236}">
              <a16:creationId xmlns:a16="http://schemas.microsoft.com/office/drawing/2014/main" id="{8A0ECB15-C2C8-4176-90FC-24CD1752D55B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2" name="avatar">
          <a:extLst>
            <a:ext uri="{FF2B5EF4-FFF2-40B4-BE49-F238E27FC236}">
              <a16:creationId xmlns:a16="http://schemas.microsoft.com/office/drawing/2014/main" id="{DBE04268-4A5B-42D7-AA28-E7101544E95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3" name="avatar">
          <a:extLst>
            <a:ext uri="{FF2B5EF4-FFF2-40B4-BE49-F238E27FC236}">
              <a16:creationId xmlns:a16="http://schemas.microsoft.com/office/drawing/2014/main" id="{1BF45227-BEC5-43DF-B74F-AAEC6E7DDE3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4" name="avatar">
          <a:extLst>
            <a:ext uri="{FF2B5EF4-FFF2-40B4-BE49-F238E27FC236}">
              <a16:creationId xmlns:a16="http://schemas.microsoft.com/office/drawing/2014/main" id="{A0BAE7D7-EF71-4F2C-BC2C-15FEF17FB66C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5" name="avatar">
          <a:extLst>
            <a:ext uri="{FF2B5EF4-FFF2-40B4-BE49-F238E27FC236}">
              <a16:creationId xmlns:a16="http://schemas.microsoft.com/office/drawing/2014/main" id="{FBB7640C-8527-404B-8F73-31F4FA561C02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6" name="avatar">
          <a:extLst>
            <a:ext uri="{FF2B5EF4-FFF2-40B4-BE49-F238E27FC236}">
              <a16:creationId xmlns:a16="http://schemas.microsoft.com/office/drawing/2014/main" id="{EE02880F-94BA-43EA-AAEA-DDDC1520E59D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7" name="avatar">
          <a:extLst>
            <a:ext uri="{FF2B5EF4-FFF2-40B4-BE49-F238E27FC236}">
              <a16:creationId xmlns:a16="http://schemas.microsoft.com/office/drawing/2014/main" id="{7062B0E1-7779-4030-9D81-C0FD45D773E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8" name="avatar">
          <a:extLst>
            <a:ext uri="{FF2B5EF4-FFF2-40B4-BE49-F238E27FC236}">
              <a16:creationId xmlns:a16="http://schemas.microsoft.com/office/drawing/2014/main" id="{D55C396F-20C2-4EE4-9606-DE32C3460F1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119" name="avatar">
          <a:extLst>
            <a:ext uri="{FF2B5EF4-FFF2-40B4-BE49-F238E27FC236}">
              <a16:creationId xmlns:a16="http://schemas.microsoft.com/office/drawing/2014/main" id="{EE55357B-6E75-4D68-BC62-A6768EEBCBF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0" name="avatar">
          <a:extLst>
            <a:ext uri="{FF2B5EF4-FFF2-40B4-BE49-F238E27FC236}">
              <a16:creationId xmlns:a16="http://schemas.microsoft.com/office/drawing/2014/main" id="{5AF72D94-42AB-4278-AB5D-AC541F0916B3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1" name="avatar">
          <a:extLst>
            <a:ext uri="{FF2B5EF4-FFF2-40B4-BE49-F238E27FC236}">
              <a16:creationId xmlns:a16="http://schemas.microsoft.com/office/drawing/2014/main" id="{4CE02913-16C5-4A9F-A844-44BF050200AC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2" name="avatar">
          <a:extLst>
            <a:ext uri="{FF2B5EF4-FFF2-40B4-BE49-F238E27FC236}">
              <a16:creationId xmlns:a16="http://schemas.microsoft.com/office/drawing/2014/main" id="{808BD149-A075-4777-A7D0-80B59CB8EE48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3" name="avatar">
          <a:extLst>
            <a:ext uri="{FF2B5EF4-FFF2-40B4-BE49-F238E27FC236}">
              <a16:creationId xmlns:a16="http://schemas.microsoft.com/office/drawing/2014/main" id="{4C491DDB-7FAC-4098-8CC3-E49D1CD475CD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4" name="avatar">
          <a:extLst>
            <a:ext uri="{FF2B5EF4-FFF2-40B4-BE49-F238E27FC236}">
              <a16:creationId xmlns:a16="http://schemas.microsoft.com/office/drawing/2014/main" id="{0A4DB723-3C25-4268-83FF-81D3032E64C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5" name="avatar">
          <a:extLst>
            <a:ext uri="{FF2B5EF4-FFF2-40B4-BE49-F238E27FC236}">
              <a16:creationId xmlns:a16="http://schemas.microsoft.com/office/drawing/2014/main" id="{AFA95C60-339C-4553-911B-D2A6D0E5E7F5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6" name="avatar">
          <a:extLst>
            <a:ext uri="{FF2B5EF4-FFF2-40B4-BE49-F238E27FC236}">
              <a16:creationId xmlns:a16="http://schemas.microsoft.com/office/drawing/2014/main" id="{931D7022-0CFD-4EDB-B3A7-AA2660F66CB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7" name="avatar">
          <a:extLst>
            <a:ext uri="{FF2B5EF4-FFF2-40B4-BE49-F238E27FC236}">
              <a16:creationId xmlns:a16="http://schemas.microsoft.com/office/drawing/2014/main" id="{78FA4333-822C-4982-86FA-8388B19838C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8" name="avatar">
          <a:extLst>
            <a:ext uri="{FF2B5EF4-FFF2-40B4-BE49-F238E27FC236}">
              <a16:creationId xmlns:a16="http://schemas.microsoft.com/office/drawing/2014/main" id="{D3B1A6C8-5829-4A97-9DCD-D61C18A881C3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129" name="avatar">
          <a:extLst>
            <a:ext uri="{FF2B5EF4-FFF2-40B4-BE49-F238E27FC236}">
              <a16:creationId xmlns:a16="http://schemas.microsoft.com/office/drawing/2014/main" id="{A6B90E1F-C4EC-4B0B-B9C3-0B0BBD86147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0" name="avatar">
          <a:extLst>
            <a:ext uri="{FF2B5EF4-FFF2-40B4-BE49-F238E27FC236}">
              <a16:creationId xmlns:a16="http://schemas.microsoft.com/office/drawing/2014/main" id="{A187C249-DF6D-4266-B635-70F6CD25860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1" name="avatar">
          <a:extLst>
            <a:ext uri="{FF2B5EF4-FFF2-40B4-BE49-F238E27FC236}">
              <a16:creationId xmlns:a16="http://schemas.microsoft.com/office/drawing/2014/main" id="{685B77F4-BC12-40F6-855C-9FCCBD760826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2" name="avatar">
          <a:extLst>
            <a:ext uri="{FF2B5EF4-FFF2-40B4-BE49-F238E27FC236}">
              <a16:creationId xmlns:a16="http://schemas.microsoft.com/office/drawing/2014/main" id="{2DFE99AB-8514-4D40-B199-D37128C0A510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3" name="avatar">
          <a:extLst>
            <a:ext uri="{FF2B5EF4-FFF2-40B4-BE49-F238E27FC236}">
              <a16:creationId xmlns:a16="http://schemas.microsoft.com/office/drawing/2014/main" id="{9A38C98A-538A-446F-B7BD-D3D643AB2F8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4" name="avatar">
          <a:extLst>
            <a:ext uri="{FF2B5EF4-FFF2-40B4-BE49-F238E27FC236}">
              <a16:creationId xmlns:a16="http://schemas.microsoft.com/office/drawing/2014/main" id="{E44C3644-F48C-43C3-92B5-2706AFAEB38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5" name="avatar">
          <a:extLst>
            <a:ext uri="{FF2B5EF4-FFF2-40B4-BE49-F238E27FC236}">
              <a16:creationId xmlns:a16="http://schemas.microsoft.com/office/drawing/2014/main" id="{A6903570-0752-4EA2-971E-2F2775746A95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6" name="avatar">
          <a:extLst>
            <a:ext uri="{FF2B5EF4-FFF2-40B4-BE49-F238E27FC236}">
              <a16:creationId xmlns:a16="http://schemas.microsoft.com/office/drawing/2014/main" id="{2939B9DF-376A-44E1-BB34-999DD89F3E42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7" name="avatar">
          <a:extLst>
            <a:ext uri="{FF2B5EF4-FFF2-40B4-BE49-F238E27FC236}">
              <a16:creationId xmlns:a16="http://schemas.microsoft.com/office/drawing/2014/main" id="{B9C663BA-3763-40C5-9E7E-57FA40545326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8" name="avatar">
          <a:extLst>
            <a:ext uri="{FF2B5EF4-FFF2-40B4-BE49-F238E27FC236}">
              <a16:creationId xmlns:a16="http://schemas.microsoft.com/office/drawing/2014/main" id="{BAA5E90A-D4FD-42CF-89AE-C0F7BB1628F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139" name="avatar">
          <a:extLst>
            <a:ext uri="{FF2B5EF4-FFF2-40B4-BE49-F238E27FC236}">
              <a16:creationId xmlns:a16="http://schemas.microsoft.com/office/drawing/2014/main" id="{CFFA407E-A372-47D9-9E7D-CCB861E0EEC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0" name="avatar">
          <a:extLst>
            <a:ext uri="{FF2B5EF4-FFF2-40B4-BE49-F238E27FC236}">
              <a16:creationId xmlns:a16="http://schemas.microsoft.com/office/drawing/2014/main" id="{40627D73-DF73-4D32-8BF8-6A1AB19D8F9B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1" name="avatar">
          <a:extLst>
            <a:ext uri="{FF2B5EF4-FFF2-40B4-BE49-F238E27FC236}">
              <a16:creationId xmlns:a16="http://schemas.microsoft.com/office/drawing/2014/main" id="{468522C6-AF34-4800-8369-57FD82E89F2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2" name="avatar">
          <a:extLst>
            <a:ext uri="{FF2B5EF4-FFF2-40B4-BE49-F238E27FC236}">
              <a16:creationId xmlns:a16="http://schemas.microsoft.com/office/drawing/2014/main" id="{CDE12320-4690-4470-B564-B59FC9ACCEB8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3" name="avatar">
          <a:extLst>
            <a:ext uri="{FF2B5EF4-FFF2-40B4-BE49-F238E27FC236}">
              <a16:creationId xmlns:a16="http://schemas.microsoft.com/office/drawing/2014/main" id="{D80DE533-B9A4-4967-8052-449F18CECAFF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4" name="avatar">
          <a:extLst>
            <a:ext uri="{FF2B5EF4-FFF2-40B4-BE49-F238E27FC236}">
              <a16:creationId xmlns:a16="http://schemas.microsoft.com/office/drawing/2014/main" id="{14645CEC-8571-4F16-B057-3B3E395A9C6F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5" name="avatar">
          <a:extLst>
            <a:ext uri="{FF2B5EF4-FFF2-40B4-BE49-F238E27FC236}">
              <a16:creationId xmlns:a16="http://schemas.microsoft.com/office/drawing/2014/main" id="{A90056E9-9CC1-4DA0-BCE9-6BDE18549DA3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6" name="avatar">
          <a:extLst>
            <a:ext uri="{FF2B5EF4-FFF2-40B4-BE49-F238E27FC236}">
              <a16:creationId xmlns:a16="http://schemas.microsoft.com/office/drawing/2014/main" id="{C0B7B199-2A99-4985-91EB-8D91BCF8F2B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7" name="avatar">
          <a:extLst>
            <a:ext uri="{FF2B5EF4-FFF2-40B4-BE49-F238E27FC236}">
              <a16:creationId xmlns:a16="http://schemas.microsoft.com/office/drawing/2014/main" id="{32F4E44E-9356-4387-979F-804409AF5F6A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8" name="avatar">
          <a:extLst>
            <a:ext uri="{FF2B5EF4-FFF2-40B4-BE49-F238E27FC236}">
              <a16:creationId xmlns:a16="http://schemas.microsoft.com/office/drawing/2014/main" id="{5555E6CD-D709-4E49-93B6-AA9A458B6788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149" name="avatar">
          <a:extLst>
            <a:ext uri="{FF2B5EF4-FFF2-40B4-BE49-F238E27FC236}">
              <a16:creationId xmlns:a16="http://schemas.microsoft.com/office/drawing/2014/main" id="{AD81BBE3-58D9-41C8-BB4E-7D11F2E9FE8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0" name="avatar">
          <a:extLst>
            <a:ext uri="{FF2B5EF4-FFF2-40B4-BE49-F238E27FC236}">
              <a16:creationId xmlns:a16="http://schemas.microsoft.com/office/drawing/2014/main" id="{8265BBBB-1552-4274-8C26-DCF9DDFB06A3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1" name="avatar">
          <a:extLst>
            <a:ext uri="{FF2B5EF4-FFF2-40B4-BE49-F238E27FC236}">
              <a16:creationId xmlns:a16="http://schemas.microsoft.com/office/drawing/2014/main" id="{6A455BEB-157F-4C97-A1C0-8CF4BC6F43A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2" name="avatar">
          <a:extLst>
            <a:ext uri="{FF2B5EF4-FFF2-40B4-BE49-F238E27FC236}">
              <a16:creationId xmlns:a16="http://schemas.microsoft.com/office/drawing/2014/main" id="{AEB44A24-7324-4B80-A018-2BB1D13ADB6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3" name="avatar">
          <a:extLst>
            <a:ext uri="{FF2B5EF4-FFF2-40B4-BE49-F238E27FC236}">
              <a16:creationId xmlns:a16="http://schemas.microsoft.com/office/drawing/2014/main" id="{BA7EA9DE-5859-4546-8C23-642F2F46431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4" name="avatar">
          <a:extLst>
            <a:ext uri="{FF2B5EF4-FFF2-40B4-BE49-F238E27FC236}">
              <a16:creationId xmlns:a16="http://schemas.microsoft.com/office/drawing/2014/main" id="{E44B89BC-C920-4EF2-8E03-E535CE8E4FD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5" name="avatar">
          <a:extLst>
            <a:ext uri="{FF2B5EF4-FFF2-40B4-BE49-F238E27FC236}">
              <a16:creationId xmlns:a16="http://schemas.microsoft.com/office/drawing/2014/main" id="{802E59EE-0E7B-4A2C-A060-D3532E221A63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6" name="avatar">
          <a:extLst>
            <a:ext uri="{FF2B5EF4-FFF2-40B4-BE49-F238E27FC236}">
              <a16:creationId xmlns:a16="http://schemas.microsoft.com/office/drawing/2014/main" id="{C3FB33B9-F8F7-4F1A-9ECB-5A90E5178CF4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7" name="avatar">
          <a:extLst>
            <a:ext uri="{FF2B5EF4-FFF2-40B4-BE49-F238E27FC236}">
              <a16:creationId xmlns:a16="http://schemas.microsoft.com/office/drawing/2014/main" id="{8CFFCCC2-20A6-488A-8D90-DE7326B1FDF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8" name="avatar">
          <a:extLst>
            <a:ext uri="{FF2B5EF4-FFF2-40B4-BE49-F238E27FC236}">
              <a16:creationId xmlns:a16="http://schemas.microsoft.com/office/drawing/2014/main" id="{C4240E04-B58E-4649-8428-77A4D09F1255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159" name="avatar">
          <a:extLst>
            <a:ext uri="{FF2B5EF4-FFF2-40B4-BE49-F238E27FC236}">
              <a16:creationId xmlns:a16="http://schemas.microsoft.com/office/drawing/2014/main" id="{13EEB2B4-16B9-4357-83E4-16373B235CFF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0" name="avatar">
          <a:extLst>
            <a:ext uri="{FF2B5EF4-FFF2-40B4-BE49-F238E27FC236}">
              <a16:creationId xmlns:a16="http://schemas.microsoft.com/office/drawing/2014/main" id="{A5889683-C838-4863-942A-4E4976B438D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1" name="avatar">
          <a:extLst>
            <a:ext uri="{FF2B5EF4-FFF2-40B4-BE49-F238E27FC236}">
              <a16:creationId xmlns:a16="http://schemas.microsoft.com/office/drawing/2014/main" id="{A61C1EDF-E1E8-482D-81AF-B36C702D000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2" name="avatar">
          <a:extLst>
            <a:ext uri="{FF2B5EF4-FFF2-40B4-BE49-F238E27FC236}">
              <a16:creationId xmlns:a16="http://schemas.microsoft.com/office/drawing/2014/main" id="{468D4D45-4F31-46DE-9ABA-46DDF3FCC16A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3" name="avatar">
          <a:extLst>
            <a:ext uri="{FF2B5EF4-FFF2-40B4-BE49-F238E27FC236}">
              <a16:creationId xmlns:a16="http://schemas.microsoft.com/office/drawing/2014/main" id="{BB3E2F9D-1A26-42C6-A74C-F51BE5EECDCA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4" name="avatar">
          <a:extLst>
            <a:ext uri="{FF2B5EF4-FFF2-40B4-BE49-F238E27FC236}">
              <a16:creationId xmlns:a16="http://schemas.microsoft.com/office/drawing/2014/main" id="{E8335161-F8FF-40EF-941A-DA575F636DFE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5" name="avatar">
          <a:extLst>
            <a:ext uri="{FF2B5EF4-FFF2-40B4-BE49-F238E27FC236}">
              <a16:creationId xmlns:a16="http://schemas.microsoft.com/office/drawing/2014/main" id="{F8FBC994-3E9B-4F53-8277-0BA3E8C53F2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6" name="avatar">
          <a:extLst>
            <a:ext uri="{FF2B5EF4-FFF2-40B4-BE49-F238E27FC236}">
              <a16:creationId xmlns:a16="http://schemas.microsoft.com/office/drawing/2014/main" id="{FD1848AC-05EB-45DB-A57C-A239413AD6E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7" name="avatar">
          <a:extLst>
            <a:ext uri="{FF2B5EF4-FFF2-40B4-BE49-F238E27FC236}">
              <a16:creationId xmlns:a16="http://schemas.microsoft.com/office/drawing/2014/main" id="{EFDE34E8-3CB1-4B26-B3A2-ECF70EBAC02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8" name="avatar">
          <a:extLst>
            <a:ext uri="{FF2B5EF4-FFF2-40B4-BE49-F238E27FC236}">
              <a16:creationId xmlns:a16="http://schemas.microsoft.com/office/drawing/2014/main" id="{4159DAA5-64EE-4694-B934-5672698C794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169" name="avatar">
          <a:extLst>
            <a:ext uri="{FF2B5EF4-FFF2-40B4-BE49-F238E27FC236}">
              <a16:creationId xmlns:a16="http://schemas.microsoft.com/office/drawing/2014/main" id="{77E35671-50A8-4466-8907-36D9258C5EA0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0" name="avatar">
          <a:extLst>
            <a:ext uri="{FF2B5EF4-FFF2-40B4-BE49-F238E27FC236}">
              <a16:creationId xmlns:a16="http://schemas.microsoft.com/office/drawing/2014/main" id="{88D666B4-2CF5-49F6-BAF7-2628FC57074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1" name="avatar">
          <a:extLst>
            <a:ext uri="{FF2B5EF4-FFF2-40B4-BE49-F238E27FC236}">
              <a16:creationId xmlns:a16="http://schemas.microsoft.com/office/drawing/2014/main" id="{0128B1AD-116B-46AD-9405-DEB42700F92F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2" name="avatar">
          <a:extLst>
            <a:ext uri="{FF2B5EF4-FFF2-40B4-BE49-F238E27FC236}">
              <a16:creationId xmlns:a16="http://schemas.microsoft.com/office/drawing/2014/main" id="{84931269-DDA7-425B-AF34-E0FE8DCA889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3" name="avatar">
          <a:extLst>
            <a:ext uri="{FF2B5EF4-FFF2-40B4-BE49-F238E27FC236}">
              <a16:creationId xmlns:a16="http://schemas.microsoft.com/office/drawing/2014/main" id="{90544414-1169-4B64-BFAA-FAAC66D4628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4" name="avatar">
          <a:extLst>
            <a:ext uri="{FF2B5EF4-FFF2-40B4-BE49-F238E27FC236}">
              <a16:creationId xmlns:a16="http://schemas.microsoft.com/office/drawing/2014/main" id="{308572B4-ECB2-45FF-8286-E25E74E050C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5" name="avatar">
          <a:extLst>
            <a:ext uri="{FF2B5EF4-FFF2-40B4-BE49-F238E27FC236}">
              <a16:creationId xmlns:a16="http://schemas.microsoft.com/office/drawing/2014/main" id="{6C530316-A001-4DDB-9AAB-B79DAD0B78E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6" name="avatar">
          <a:extLst>
            <a:ext uri="{FF2B5EF4-FFF2-40B4-BE49-F238E27FC236}">
              <a16:creationId xmlns:a16="http://schemas.microsoft.com/office/drawing/2014/main" id="{3245598A-F9C8-44F5-9C84-17F336977E9F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7" name="avatar">
          <a:extLst>
            <a:ext uri="{FF2B5EF4-FFF2-40B4-BE49-F238E27FC236}">
              <a16:creationId xmlns:a16="http://schemas.microsoft.com/office/drawing/2014/main" id="{720C8F0C-34FE-41FB-85F2-82E56B63042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8" name="avatar">
          <a:extLst>
            <a:ext uri="{FF2B5EF4-FFF2-40B4-BE49-F238E27FC236}">
              <a16:creationId xmlns:a16="http://schemas.microsoft.com/office/drawing/2014/main" id="{B9252DF9-780E-4A56-8948-63E41601C53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179" name="avatar">
          <a:extLst>
            <a:ext uri="{FF2B5EF4-FFF2-40B4-BE49-F238E27FC236}">
              <a16:creationId xmlns:a16="http://schemas.microsoft.com/office/drawing/2014/main" id="{BA2655D8-37F7-43D6-BF61-44EE2B6783EB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0" name="avatar">
          <a:extLst>
            <a:ext uri="{FF2B5EF4-FFF2-40B4-BE49-F238E27FC236}">
              <a16:creationId xmlns:a16="http://schemas.microsoft.com/office/drawing/2014/main" id="{8F8E4D2C-8EC7-4E4A-A4E4-79A068A37BC4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1" name="avatar">
          <a:extLst>
            <a:ext uri="{FF2B5EF4-FFF2-40B4-BE49-F238E27FC236}">
              <a16:creationId xmlns:a16="http://schemas.microsoft.com/office/drawing/2014/main" id="{37E7377E-92B2-4EA4-A59E-A91DE134F73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2" name="avatar">
          <a:extLst>
            <a:ext uri="{FF2B5EF4-FFF2-40B4-BE49-F238E27FC236}">
              <a16:creationId xmlns:a16="http://schemas.microsoft.com/office/drawing/2014/main" id="{F9596E7B-7C04-4D62-BAED-B870EBE85C2E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3" name="avatar">
          <a:extLst>
            <a:ext uri="{FF2B5EF4-FFF2-40B4-BE49-F238E27FC236}">
              <a16:creationId xmlns:a16="http://schemas.microsoft.com/office/drawing/2014/main" id="{55E2606D-B91E-4AC2-80BD-FA89763045B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4" name="avatar">
          <a:extLst>
            <a:ext uri="{FF2B5EF4-FFF2-40B4-BE49-F238E27FC236}">
              <a16:creationId xmlns:a16="http://schemas.microsoft.com/office/drawing/2014/main" id="{02588243-66FB-4231-834A-C940E2FD6A36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5" name="avatar">
          <a:extLst>
            <a:ext uri="{FF2B5EF4-FFF2-40B4-BE49-F238E27FC236}">
              <a16:creationId xmlns:a16="http://schemas.microsoft.com/office/drawing/2014/main" id="{F4B38AA2-D041-474D-91F4-3135D58A2D71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6" name="avatar">
          <a:extLst>
            <a:ext uri="{FF2B5EF4-FFF2-40B4-BE49-F238E27FC236}">
              <a16:creationId xmlns:a16="http://schemas.microsoft.com/office/drawing/2014/main" id="{83189ED8-A963-416A-AB42-5B3BC97CD1F1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7" name="avatar">
          <a:extLst>
            <a:ext uri="{FF2B5EF4-FFF2-40B4-BE49-F238E27FC236}">
              <a16:creationId xmlns:a16="http://schemas.microsoft.com/office/drawing/2014/main" id="{04690879-CAAB-4E75-8DAE-EA61038FB613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8" name="avatar">
          <a:extLst>
            <a:ext uri="{FF2B5EF4-FFF2-40B4-BE49-F238E27FC236}">
              <a16:creationId xmlns:a16="http://schemas.microsoft.com/office/drawing/2014/main" id="{1F5DE66B-B952-49B0-A6D1-C9F739997DB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189" name="avatar">
          <a:extLst>
            <a:ext uri="{FF2B5EF4-FFF2-40B4-BE49-F238E27FC236}">
              <a16:creationId xmlns:a16="http://schemas.microsoft.com/office/drawing/2014/main" id="{3495C7B1-87C1-49D4-BE45-8DF0F4F2EA1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0" name="avatar">
          <a:extLst>
            <a:ext uri="{FF2B5EF4-FFF2-40B4-BE49-F238E27FC236}">
              <a16:creationId xmlns:a16="http://schemas.microsoft.com/office/drawing/2014/main" id="{2C15CA6F-71A1-4128-A4B8-064ACF07C8E6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1" name="avatar">
          <a:extLst>
            <a:ext uri="{FF2B5EF4-FFF2-40B4-BE49-F238E27FC236}">
              <a16:creationId xmlns:a16="http://schemas.microsoft.com/office/drawing/2014/main" id="{6BB667AC-B1C8-49DD-9578-40AE610FCA5D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2" name="avatar">
          <a:extLst>
            <a:ext uri="{FF2B5EF4-FFF2-40B4-BE49-F238E27FC236}">
              <a16:creationId xmlns:a16="http://schemas.microsoft.com/office/drawing/2014/main" id="{367E979A-DDF3-4127-A39D-31B0EFEC3AA7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3" name="avatar">
          <a:extLst>
            <a:ext uri="{FF2B5EF4-FFF2-40B4-BE49-F238E27FC236}">
              <a16:creationId xmlns:a16="http://schemas.microsoft.com/office/drawing/2014/main" id="{1A4A2CF9-C4B0-4B5D-AD9A-92F26642883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4" name="avatar">
          <a:extLst>
            <a:ext uri="{FF2B5EF4-FFF2-40B4-BE49-F238E27FC236}">
              <a16:creationId xmlns:a16="http://schemas.microsoft.com/office/drawing/2014/main" id="{5648CB98-B0D4-4AB3-BDD0-EA1777D7BC18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5" name="avatar">
          <a:extLst>
            <a:ext uri="{FF2B5EF4-FFF2-40B4-BE49-F238E27FC236}">
              <a16:creationId xmlns:a16="http://schemas.microsoft.com/office/drawing/2014/main" id="{D72492A3-4D95-4CA8-8E3A-8BBA02E4B57D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6" name="avatar">
          <a:extLst>
            <a:ext uri="{FF2B5EF4-FFF2-40B4-BE49-F238E27FC236}">
              <a16:creationId xmlns:a16="http://schemas.microsoft.com/office/drawing/2014/main" id="{B84D71C6-8C6C-4F31-BA7D-9A8291BE9984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7" name="avatar">
          <a:extLst>
            <a:ext uri="{FF2B5EF4-FFF2-40B4-BE49-F238E27FC236}">
              <a16:creationId xmlns:a16="http://schemas.microsoft.com/office/drawing/2014/main" id="{9EACEE51-C780-4CC8-AC3C-11F58D511C4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8" name="avatar">
          <a:extLst>
            <a:ext uri="{FF2B5EF4-FFF2-40B4-BE49-F238E27FC236}">
              <a16:creationId xmlns:a16="http://schemas.microsoft.com/office/drawing/2014/main" id="{7AF21664-5D60-475C-898C-E12A942D558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199" name="avatar">
          <a:extLst>
            <a:ext uri="{FF2B5EF4-FFF2-40B4-BE49-F238E27FC236}">
              <a16:creationId xmlns:a16="http://schemas.microsoft.com/office/drawing/2014/main" id="{F1113716-E9DB-406E-BA13-BE672C039B37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0" name="avatar">
          <a:extLst>
            <a:ext uri="{FF2B5EF4-FFF2-40B4-BE49-F238E27FC236}">
              <a16:creationId xmlns:a16="http://schemas.microsoft.com/office/drawing/2014/main" id="{24B6ED3A-1C64-4F11-82BA-825975535488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1" name="avatar">
          <a:extLst>
            <a:ext uri="{FF2B5EF4-FFF2-40B4-BE49-F238E27FC236}">
              <a16:creationId xmlns:a16="http://schemas.microsoft.com/office/drawing/2014/main" id="{A9077165-8D53-4711-8E5E-865C3CA77DA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2" name="avatar">
          <a:extLst>
            <a:ext uri="{FF2B5EF4-FFF2-40B4-BE49-F238E27FC236}">
              <a16:creationId xmlns:a16="http://schemas.microsoft.com/office/drawing/2014/main" id="{1836087D-BB6C-47AB-90C2-0F92E697E079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3" name="avatar">
          <a:extLst>
            <a:ext uri="{FF2B5EF4-FFF2-40B4-BE49-F238E27FC236}">
              <a16:creationId xmlns:a16="http://schemas.microsoft.com/office/drawing/2014/main" id="{CC4AFC67-6AEC-4AFF-BF6E-DB2B9DDFC1FC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4" name="avatar">
          <a:extLst>
            <a:ext uri="{FF2B5EF4-FFF2-40B4-BE49-F238E27FC236}">
              <a16:creationId xmlns:a16="http://schemas.microsoft.com/office/drawing/2014/main" id="{090C4A62-7D45-448A-8309-FD35152D190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5" name="avatar">
          <a:extLst>
            <a:ext uri="{FF2B5EF4-FFF2-40B4-BE49-F238E27FC236}">
              <a16:creationId xmlns:a16="http://schemas.microsoft.com/office/drawing/2014/main" id="{6C974F48-5A57-4DE5-A4A6-6BA52252BBE4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6" name="avatar">
          <a:extLst>
            <a:ext uri="{FF2B5EF4-FFF2-40B4-BE49-F238E27FC236}">
              <a16:creationId xmlns:a16="http://schemas.microsoft.com/office/drawing/2014/main" id="{EA2AB79B-59B1-4CE7-9AFB-740CBCA672D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7" name="avatar">
          <a:extLst>
            <a:ext uri="{FF2B5EF4-FFF2-40B4-BE49-F238E27FC236}">
              <a16:creationId xmlns:a16="http://schemas.microsoft.com/office/drawing/2014/main" id="{DC0499A1-6F44-4F0D-BBF7-855E47D35CD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8" name="avatar">
          <a:extLst>
            <a:ext uri="{FF2B5EF4-FFF2-40B4-BE49-F238E27FC236}">
              <a16:creationId xmlns:a16="http://schemas.microsoft.com/office/drawing/2014/main" id="{3EBA5E49-84AC-493B-8C46-8684B5E1D4E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09" name="avatar">
          <a:extLst>
            <a:ext uri="{FF2B5EF4-FFF2-40B4-BE49-F238E27FC236}">
              <a16:creationId xmlns:a16="http://schemas.microsoft.com/office/drawing/2014/main" id="{4920EB25-6E49-43C2-90BF-93FC1DAF540F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0" name="avatar">
          <a:extLst>
            <a:ext uri="{FF2B5EF4-FFF2-40B4-BE49-F238E27FC236}">
              <a16:creationId xmlns:a16="http://schemas.microsoft.com/office/drawing/2014/main" id="{14700CAC-DC7A-4A0F-BA69-4B6852642C3B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1" name="avatar">
          <a:extLst>
            <a:ext uri="{FF2B5EF4-FFF2-40B4-BE49-F238E27FC236}">
              <a16:creationId xmlns:a16="http://schemas.microsoft.com/office/drawing/2014/main" id="{853E8675-8033-48B9-ABF4-B05415166A7D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2" name="avatar">
          <a:extLst>
            <a:ext uri="{FF2B5EF4-FFF2-40B4-BE49-F238E27FC236}">
              <a16:creationId xmlns:a16="http://schemas.microsoft.com/office/drawing/2014/main" id="{8592EF95-A9B3-48F0-A07D-7C06504D5FD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3" name="avatar">
          <a:extLst>
            <a:ext uri="{FF2B5EF4-FFF2-40B4-BE49-F238E27FC236}">
              <a16:creationId xmlns:a16="http://schemas.microsoft.com/office/drawing/2014/main" id="{0DABBAE7-29A4-4CD9-B3F1-41D97B7F0D4A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4" name="avatar">
          <a:extLst>
            <a:ext uri="{FF2B5EF4-FFF2-40B4-BE49-F238E27FC236}">
              <a16:creationId xmlns:a16="http://schemas.microsoft.com/office/drawing/2014/main" id="{338785A2-3A3A-4AE4-9D67-E5A52CDA8FB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5" name="avatar">
          <a:extLst>
            <a:ext uri="{FF2B5EF4-FFF2-40B4-BE49-F238E27FC236}">
              <a16:creationId xmlns:a16="http://schemas.microsoft.com/office/drawing/2014/main" id="{A63A3BC5-B4F0-460C-B126-CADB1197C5BC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6" name="avatar">
          <a:extLst>
            <a:ext uri="{FF2B5EF4-FFF2-40B4-BE49-F238E27FC236}">
              <a16:creationId xmlns:a16="http://schemas.microsoft.com/office/drawing/2014/main" id="{B6071C78-5E05-4CA7-A4AF-C23D7E2225FC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7" name="avatar">
          <a:extLst>
            <a:ext uri="{FF2B5EF4-FFF2-40B4-BE49-F238E27FC236}">
              <a16:creationId xmlns:a16="http://schemas.microsoft.com/office/drawing/2014/main" id="{A8E49CD7-863D-4B81-A73E-4B9D8E2643D4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8" name="avatar">
          <a:extLst>
            <a:ext uri="{FF2B5EF4-FFF2-40B4-BE49-F238E27FC236}">
              <a16:creationId xmlns:a16="http://schemas.microsoft.com/office/drawing/2014/main" id="{87FC69A8-D56D-4D69-AFE1-8A5E55A16C8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19" name="avatar">
          <a:extLst>
            <a:ext uri="{FF2B5EF4-FFF2-40B4-BE49-F238E27FC236}">
              <a16:creationId xmlns:a16="http://schemas.microsoft.com/office/drawing/2014/main" id="{BA7451E1-5C8F-4750-A22F-F960AC2CF248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0" name="avatar">
          <a:extLst>
            <a:ext uri="{FF2B5EF4-FFF2-40B4-BE49-F238E27FC236}">
              <a16:creationId xmlns:a16="http://schemas.microsoft.com/office/drawing/2014/main" id="{D27E70C1-23E2-4AE7-B438-770CB090BE2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1" name="avatar">
          <a:extLst>
            <a:ext uri="{FF2B5EF4-FFF2-40B4-BE49-F238E27FC236}">
              <a16:creationId xmlns:a16="http://schemas.microsoft.com/office/drawing/2014/main" id="{85C0B5C1-454B-479F-A560-40CDD00B35A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2" name="avatar">
          <a:extLst>
            <a:ext uri="{FF2B5EF4-FFF2-40B4-BE49-F238E27FC236}">
              <a16:creationId xmlns:a16="http://schemas.microsoft.com/office/drawing/2014/main" id="{6A75AF45-354A-4D5B-B13E-61C70F90F52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3" name="avatar">
          <a:extLst>
            <a:ext uri="{FF2B5EF4-FFF2-40B4-BE49-F238E27FC236}">
              <a16:creationId xmlns:a16="http://schemas.microsoft.com/office/drawing/2014/main" id="{81224446-8794-424E-A66B-EA1A742920F9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4" name="avatar">
          <a:extLst>
            <a:ext uri="{FF2B5EF4-FFF2-40B4-BE49-F238E27FC236}">
              <a16:creationId xmlns:a16="http://schemas.microsoft.com/office/drawing/2014/main" id="{F76F9CE9-4492-4EEA-802C-74EAA8E2387C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5" name="avatar">
          <a:extLst>
            <a:ext uri="{FF2B5EF4-FFF2-40B4-BE49-F238E27FC236}">
              <a16:creationId xmlns:a16="http://schemas.microsoft.com/office/drawing/2014/main" id="{0634CC19-AF36-4D16-A1AD-398E46E689E3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6" name="avatar">
          <a:extLst>
            <a:ext uri="{FF2B5EF4-FFF2-40B4-BE49-F238E27FC236}">
              <a16:creationId xmlns:a16="http://schemas.microsoft.com/office/drawing/2014/main" id="{55876924-8C8F-426F-9A56-AFCBF8B4D1EB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7" name="avatar">
          <a:extLst>
            <a:ext uri="{FF2B5EF4-FFF2-40B4-BE49-F238E27FC236}">
              <a16:creationId xmlns:a16="http://schemas.microsoft.com/office/drawing/2014/main" id="{C21043CE-B805-47A9-8DCB-D92D11E5BEA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8" name="avatar">
          <a:extLst>
            <a:ext uri="{FF2B5EF4-FFF2-40B4-BE49-F238E27FC236}">
              <a16:creationId xmlns:a16="http://schemas.microsoft.com/office/drawing/2014/main" id="{DBAE5FAC-FD3C-478B-AFAB-374093A83001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229" name="avatar">
          <a:extLst>
            <a:ext uri="{FF2B5EF4-FFF2-40B4-BE49-F238E27FC236}">
              <a16:creationId xmlns:a16="http://schemas.microsoft.com/office/drawing/2014/main" id="{22F38EFB-9855-45BA-9CFB-DBE13FD9B8C2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0" name="avatar">
          <a:extLst>
            <a:ext uri="{FF2B5EF4-FFF2-40B4-BE49-F238E27FC236}">
              <a16:creationId xmlns:a16="http://schemas.microsoft.com/office/drawing/2014/main" id="{A208AA66-3F7E-427E-8BF7-3A820AED317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1" name="avatar">
          <a:extLst>
            <a:ext uri="{FF2B5EF4-FFF2-40B4-BE49-F238E27FC236}">
              <a16:creationId xmlns:a16="http://schemas.microsoft.com/office/drawing/2014/main" id="{C2949BFA-D17C-47EB-A47D-0AF6FB71C420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2" name="avatar">
          <a:extLst>
            <a:ext uri="{FF2B5EF4-FFF2-40B4-BE49-F238E27FC236}">
              <a16:creationId xmlns:a16="http://schemas.microsoft.com/office/drawing/2014/main" id="{3081A6FE-6C62-4A98-82A5-EDD8EC37365F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3" name="avatar">
          <a:extLst>
            <a:ext uri="{FF2B5EF4-FFF2-40B4-BE49-F238E27FC236}">
              <a16:creationId xmlns:a16="http://schemas.microsoft.com/office/drawing/2014/main" id="{977F350D-AA02-424C-8772-4EB0E1633EA6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4" name="avatar">
          <a:extLst>
            <a:ext uri="{FF2B5EF4-FFF2-40B4-BE49-F238E27FC236}">
              <a16:creationId xmlns:a16="http://schemas.microsoft.com/office/drawing/2014/main" id="{8528CF68-0B96-48AF-B6D1-8914CC213F6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5" name="avatar">
          <a:extLst>
            <a:ext uri="{FF2B5EF4-FFF2-40B4-BE49-F238E27FC236}">
              <a16:creationId xmlns:a16="http://schemas.microsoft.com/office/drawing/2014/main" id="{A8570B7E-444D-47CD-B348-204EB153AED2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6" name="avatar">
          <a:extLst>
            <a:ext uri="{FF2B5EF4-FFF2-40B4-BE49-F238E27FC236}">
              <a16:creationId xmlns:a16="http://schemas.microsoft.com/office/drawing/2014/main" id="{AD26D3F4-6B7F-4382-B221-72AEA18F7F63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7" name="avatar">
          <a:extLst>
            <a:ext uri="{FF2B5EF4-FFF2-40B4-BE49-F238E27FC236}">
              <a16:creationId xmlns:a16="http://schemas.microsoft.com/office/drawing/2014/main" id="{DFEEF03E-C37C-46EF-8F27-C90B26714F5D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8" name="avatar">
          <a:extLst>
            <a:ext uri="{FF2B5EF4-FFF2-40B4-BE49-F238E27FC236}">
              <a16:creationId xmlns:a16="http://schemas.microsoft.com/office/drawing/2014/main" id="{77875449-8979-40D7-9B95-E85632AA3529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239" name="avatar">
          <a:extLst>
            <a:ext uri="{FF2B5EF4-FFF2-40B4-BE49-F238E27FC236}">
              <a16:creationId xmlns:a16="http://schemas.microsoft.com/office/drawing/2014/main" id="{4FE6358E-8570-47A2-9221-CE110E15A38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0" name="avatar">
          <a:extLst>
            <a:ext uri="{FF2B5EF4-FFF2-40B4-BE49-F238E27FC236}">
              <a16:creationId xmlns:a16="http://schemas.microsoft.com/office/drawing/2014/main" id="{67D4C411-4F26-4826-A208-66108E767CF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1" name="avatar">
          <a:extLst>
            <a:ext uri="{FF2B5EF4-FFF2-40B4-BE49-F238E27FC236}">
              <a16:creationId xmlns:a16="http://schemas.microsoft.com/office/drawing/2014/main" id="{02983025-1082-4C86-AD93-637045D55FD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2" name="avatar">
          <a:extLst>
            <a:ext uri="{FF2B5EF4-FFF2-40B4-BE49-F238E27FC236}">
              <a16:creationId xmlns:a16="http://schemas.microsoft.com/office/drawing/2014/main" id="{C0049514-7941-46E1-93A5-AD3F9AB514D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3" name="avatar">
          <a:extLst>
            <a:ext uri="{FF2B5EF4-FFF2-40B4-BE49-F238E27FC236}">
              <a16:creationId xmlns:a16="http://schemas.microsoft.com/office/drawing/2014/main" id="{CEA3E85C-26C1-4476-BE9F-53D94B6D976E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4" name="avatar">
          <a:extLst>
            <a:ext uri="{FF2B5EF4-FFF2-40B4-BE49-F238E27FC236}">
              <a16:creationId xmlns:a16="http://schemas.microsoft.com/office/drawing/2014/main" id="{7BB9CE15-F320-4365-BA4B-EC62F46AF32B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5" name="avatar">
          <a:extLst>
            <a:ext uri="{FF2B5EF4-FFF2-40B4-BE49-F238E27FC236}">
              <a16:creationId xmlns:a16="http://schemas.microsoft.com/office/drawing/2014/main" id="{68D7ACD6-8545-437B-A168-E15D028FC791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6" name="avatar">
          <a:extLst>
            <a:ext uri="{FF2B5EF4-FFF2-40B4-BE49-F238E27FC236}">
              <a16:creationId xmlns:a16="http://schemas.microsoft.com/office/drawing/2014/main" id="{5F8091BB-7E2D-4ECC-8A6B-C05648693AF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7" name="avatar">
          <a:extLst>
            <a:ext uri="{FF2B5EF4-FFF2-40B4-BE49-F238E27FC236}">
              <a16:creationId xmlns:a16="http://schemas.microsoft.com/office/drawing/2014/main" id="{87CD6924-9357-4D0C-9036-574CCBCF2A9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8" name="avatar">
          <a:extLst>
            <a:ext uri="{FF2B5EF4-FFF2-40B4-BE49-F238E27FC236}">
              <a16:creationId xmlns:a16="http://schemas.microsoft.com/office/drawing/2014/main" id="{703BB770-2A47-47E2-A311-35BC1BD8F3D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249" name="avatar">
          <a:extLst>
            <a:ext uri="{FF2B5EF4-FFF2-40B4-BE49-F238E27FC236}">
              <a16:creationId xmlns:a16="http://schemas.microsoft.com/office/drawing/2014/main" id="{2C25BF54-142E-4FD4-B461-6FAC865D544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0" name="avatar">
          <a:extLst>
            <a:ext uri="{FF2B5EF4-FFF2-40B4-BE49-F238E27FC236}">
              <a16:creationId xmlns:a16="http://schemas.microsoft.com/office/drawing/2014/main" id="{20D41419-8587-4003-90BB-EDDAE20934A3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1" name="avatar">
          <a:extLst>
            <a:ext uri="{FF2B5EF4-FFF2-40B4-BE49-F238E27FC236}">
              <a16:creationId xmlns:a16="http://schemas.microsoft.com/office/drawing/2014/main" id="{670A94C2-3DFF-4A0A-A2F1-6A2CF5C88DA0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2" name="avatar">
          <a:extLst>
            <a:ext uri="{FF2B5EF4-FFF2-40B4-BE49-F238E27FC236}">
              <a16:creationId xmlns:a16="http://schemas.microsoft.com/office/drawing/2014/main" id="{89CEC08E-BFEB-4A86-A1EC-4E818B476169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3" name="avatar">
          <a:extLst>
            <a:ext uri="{FF2B5EF4-FFF2-40B4-BE49-F238E27FC236}">
              <a16:creationId xmlns:a16="http://schemas.microsoft.com/office/drawing/2014/main" id="{140CC208-43ED-4B2D-A90A-88D61CE13B73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4" name="avatar">
          <a:extLst>
            <a:ext uri="{FF2B5EF4-FFF2-40B4-BE49-F238E27FC236}">
              <a16:creationId xmlns:a16="http://schemas.microsoft.com/office/drawing/2014/main" id="{09EA8EA1-33E9-4CD1-A8DA-35915E0713E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5" name="avatar">
          <a:extLst>
            <a:ext uri="{FF2B5EF4-FFF2-40B4-BE49-F238E27FC236}">
              <a16:creationId xmlns:a16="http://schemas.microsoft.com/office/drawing/2014/main" id="{A6FB1F35-034D-4AA6-BA06-793ACF5C6BB9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6" name="avatar">
          <a:extLst>
            <a:ext uri="{FF2B5EF4-FFF2-40B4-BE49-F238E27FC236}">
              <a16:creationId xmlns:a16="http://schemas.microsoft.com/office/drawing/2014/main" id="{4F3D2C01-1C50-41AA-872D-06DFBA97AD9E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7" name="avatar">
          <a:extLst>
            <a:ext uri="{FF2B5EF4-FFF2-40B4-BE49-F238E27FC236}">
              <a16:creationId xmlns:a16="http://schemas.microsoft.com/office/drawing/2014/main" id="{86C89081-3317-4CDD-A7F5-7EE06EA93427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8" name="avatar">
          <a:extLst>
            <a:ext uri="{FF2B5EF4-FFF2-40B4-BE49-F238E27FC236}">
              <a16:creationId xmlns:a16="http://schemas.microsoft.com/office/drawing/2014/main" id="{18D327D2-A366-4DBB-9C52-605A52F3352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259" name="avatar">
          <a:extLst>
            <a:ext uri="{FF2B5EF4-FFF2-40B4-BE49-F238E27FC236}">
              <a16:creationId xmlns:a16="http://schemas.microsoft.com/office/drawing/2014/main" id="{4134BA9C-E125-4252-8CB3-DF8DCAF8DA29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0" name="avatar">
          <a:extLst>
            <a:ext uri="{FF2B5EF4-FFF2-40B4-BE49-F238E27FC236}">
              <a16:creationId xmlns:a16="http://schemas.microsoft.com/office/drawing/2014/main" id="{9D17759F-3EA4-464B-9604-96A014D121BC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1" name="avatar">
          <a:extLst>
            <a:ext uri="{FF2B5EF4-FFF2-40B4-BE49-F238E27FC236}">
              <a16:creationId xmlns:a16="http://schemas.microsoft.com/office/drawing/2014/main" id="{84B9B36E-F022-42DB-95E5-E4D0D7AEB3C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2" name="avatar">
          <a:extLst>
            <a:ext uri="{FF2B5EF4-FFF2-40B4-BE49-F238E27FC236}">
              <a16:creationId xmlns:a16="http://schemas.microsoft.com/office/drawing/2014/main" id="{7CBBC29B-B723-4E36-884D-1EDDAE288185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3" name="avatar">
          <a:extLst>
            <a:ext uri="{FF2B5EF4-FFF2-40B4-BE49-F238E27FC236}">
              <a16:creationId xmlns:a16="http://schemas.microsoft.com/office/drawing/2014/main" id="{82D5A02C-D566-4CE4-AB1D-BF33E237952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4" name="avatar">
          <a:extLst>
            <a:ext uri="{FF2B5EF4-FFF2-40B4-BE49-F238E27FC236}">
              <a16:creationId xmlns:a16="http://schemas.microsoft.com/office/drawing/2014/main" id="{5B1D0B57-E284-4BF6-A264-A4141E756280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5" name="avatar">
          <a:extLst>
            <a:ext uri="{FF2B5EF4-FFF2-40B4-BE49-F238E27FC236}">
              <a16:creationId xmlns:a16="http://schemas.microsoft.com/office/drawing/2014/main" id="{A047D09E-483C-43BB-A4B3-E3172474351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6" name="avatar">
          <a:extLst>
            <a:ext uri="{FF2B5EF4-FFF2-40B4-BE49-F238E27FC236}">
              <a16:creationId xmlns:a16="http://schemas.microsoft.com/office/drawing/2014/main" id="{D4EB1B06-0C96-4C54-9D92-7E92CF99A59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7" name="avatar">
          <a:extLst>
            <a:ext uri="{FF2B5EF4-FFF2-40B4-BE49-F238E27FC236}">
              <a16:creationId xmlns:a16="http://schemas.microsoft.com/office/drawing/2014/main" id="{22BA2129-1463-454C-AF6E-8CBB654FC62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8" name="avatar">
          <a:extLst>
            <a:ext uri="{FF2B5EF4-FFF2-40B4-BE49-F238E27FC236}">
              <a16:creationId xmlns:a16="http://schemas.microsoft.com/office/drawing/2014/main" id="{167B3062-A197-4AEF-8E08-A2EA0DBF9CB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269" name="avatar">
          <a:extLst>
            <a:ext uri="{FF2B5EF4-FFF2-40B4-BE49-F238E27FC236}">
              <a16:creationId xmlns:a16="http://schemas.microsoft.com/office/drawing/2014/main" id="{6F0147D6-EE54-46BB-B40F-C5CD7B228DC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0" name="avatar">
          <a:extLst>
            <a:ext uri="{FF2B5EF4-FFF2-40B4-BE49-F238E27FC236}">
              <a16:creationId xmlns:a16="http://schemas.microsoft.com/office/drawing/2014/main" id="{0636E0E8-6ACF-477F-95F9-D505A614F46E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1" name="avatar">
          <a:extLst>
            <a:ext uri="{FF2B5EF4-FFF2-40B4-BE49-F238E27FC236}">
              <a16:creationId xmlns:a16="http://schemas.microsoft.com/office/drawing/2014/main" id="{16DAE611-BB2F-4615-A989-9F701213B1D8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2" name="avatar">
          <a:extLst>
            <a:ext uri="{FF2B5EF4-FFF2-40B4-BE49-F238E27FC236}">
              <a16:creationId xmlns:a16="http://schemas.microsoft.com/office/drawing/2014/main" id="{4A8EC587-9FB4-404E-8554-110291C26E37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3" name="avatar">
          <a:extLst>
            <a:ext uri="{FF2B5EF4-FFF2-40B4-BE49-F238E27FC236}">
              <a16:creationId xmlns:a16="http://schemas.microsoft.com/office/drawing/2014/main" id="{895CC1CA-75A9-4933-96FE-ACC819FE6976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4" name="avatar">
          <a:extLst>
            <a:ext uri="{FF2B5EF4-FFF2-40B4-BE49-F238E27FC236}">
              <a16:creationId xmlns:a16="http://schemas.microsoft.com/office/drawing/2014/main" id="{61F3D6A2-C53F-4B5A-B4A1-5104F7152418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5" name="avatar">
          <a:extLst>
            <a:ext uri="{FF2B5EF4-FFF2-40B4-BE49-F238E27FC236}">
              <a16:creationId xmlns:a16="http://schemas.microsoft.com/office/drawing/2014/main" id="{FC612165-AAA5-4264-AFDE-118AFFD8A53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6" name="avatar">
          <a:extLst>
            <a:ext uri="{FF2B5EF4-FFF2-40B4-BE49-F238E27FC236}">
              <a16:creationId xmlns:a16="http://schemas.microsoft.com/office/drawing/2014/main" id="{81537BCB-5B16-497D-AE75-F7F855AD4D26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7" name="avatar">
          <a:extLst>
            <a:ext uri="{FF2B5EF4-FFF2-40B4-BE49-F238E27FC236}">
              <a16:creationId xmlns:a16="http://schemas.microsoft.com/office/drawing/2014/main" id="{98D56869-E401-4FDE-8643-1C9FBC162273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8" name="avatar">
          <a:extLst>
            <a:ext uri="{FF2B5EF4-FFF2-40B4-BE49-F238E27FC236}">
              <a16:creationId xmlns:a16="http://schemas.microsoft.com/office/drawing/2014/main" id="{C01A63A4-1473-41B5-A7C1-A08345DD56DB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279" name="avatar">
          <a:extLst>
            <a:ext uri="{FF2B5EF4-FFF2-40B4-BE49-F238E27FC236}">
              <a16:creationId xmlns:a16="http://schemas.microsoft.com/office/drawing/2014/main" id="{32086BD5-786B-4CA2-A080-90E6ABBD38C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0" name="avatar">
          <a:extLst>
            <a:ext uri="{FF2B5EF4-FFF2-40B4-BE49-F238E27FC236}">
              <a16:creationId xmlns:a16="http://schemas.microsoft.com/office/drawing/2014/main" id="{5E8400C5-3523-4EFF-8455-F88C13BDB23B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1" name="avatar">
          <a:extLst>
            <a:ext uri="{FF2B5EF4-FFF2-40B4-BE49-F238E27FC236}">
              <a16:creationId xmlns:a16="http://schemas.microsoft.com/office/drawing/2014/main" id="{555BE71B-147E-41BF-99FE-F7DA7BFF888E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2" name="avatar">
          <a:extLst>
            <a:ext uri="{FF2B5EF4-FFF2-40B4-BE49-F238E27FC236}">
              <a16:creationId xmlns:a16="http://schemas.microsoft.com/office/drawing/2014/main" id="{70354A85-1412-4AD3-A4CD-0C411A968791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3" name="avatar">
          <a:extLst>
            <a:ext uri="{FF2B5EF4-FFF2-40B4-BE49-F238E27FC236}">
              <a16:creationId xmlns:a16="http://schemas.microsoft.com/office/drawing/2014/main" id="{EDE6C275-276F-46FC-BFAB-8345E15017F9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4" name="avatar">
          <a:extLst>
            <a:ext uri="{FF2B5EF4-FFF2-40B4-BE49-F238E27FC236}">
              <a16:creationId xmlns:a16="http://schemas.microsoft.com/office/drawing/2014/main" id="{BA3A4A06-357D-46E6-B841-B6EF00C19F0C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5" name="avatar">
          <a:extLst>
            <a:ext uri="{FF2B5EF4-FFF2-40B4-BE49-F238E27FC236}">
              <a16:creationId xmlns:a16="http://schemas.microsoft.com/office/drawing/2014/main" id="{F0C947AE-3AB7-47E4-A15F-FBEC642D3BC7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6" name="avatar">
          <a:extLst>
            <a:ext uri="{FF2B5EF4-FFF2-40B4-BE49-F238E27FC236}">
              <a16:creationId xmlns:a16="http://schemas.microsoft.com/office/drawing/2014/main" id="{7977331F-0981-49B8-BAA2-0258A9AAF2E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7" name="avatar">
          <a:extLst>
            <a:ext uri="{FF2B5EF4-FFF2-40B4-BE49-F238E27FC236}">
              <a16:creationId xmlns:a16="http://schemas.microsoft.com/office/drawing/2014/main" id="{8F605228-3F56-4D18-965E-0B031AAED33A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8" name="avatar">
          <a:extLst>
            <a:ext uri="{FF2B5EF4-FFF2-40B4-BE49-F238E27FC236}">
              <a16:creationId xmlns:a16="http://schemas.microsoft.com/office/drawing/2014/main" id="{4DB35A90-C9BC-4226-B739-7F191CE31BAB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289" name="avatar">
          <a:extLst>
            <a:ext uri="{FF2B5EF4-FFF2-40B4-BE49-F238E27FC236}">
              <a16:creationId xmlns:a16="http://schemas.microsoft.com/office/drawing/2014/main" id="{3D6D0168-78C0-43A3-AF17-6E3828DF896F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0" name="avatar">
          <a:extLst>
            <a:ext uri="{FF2B5EF4-FFF2-40B4-BE49-F238E27FC236}">
              <a16:creationId xmlns:a16="http://schemas.microsoft.com/office/drawing/2014/main" id="{79B22571-9A1B-45B8-914B-022A4C8511D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1" name="avatar">
          <a:extLst>
            <a:ext uri="{FF2B5EF4-FFF2-40B4-BE49-F238E27FC236}">
              <a16:creationId xmlns:a16="http://schemas.microsoft.com/office/drawing/2014/main" id="{25CF3305-36A3-4970-B8E2-24143070F50E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2" name="avatar">
          <a:extLst>
            <a:ext uri="{FF2B5EF4-FFF2-40B4-BE49-F238E27FC236}">
              <a16:creationId xmlns:a16="http://schemas.microsoft.com/office/drawing/2014/main" id="{163C0855-D5E4-4BFF-847F-35BBAABCBA1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3" name="avatar">
          <a:extLst>
            <a:ext uri="{FF2B5EF4-FFF2-40B4-BE49-F238E27FC236}">
              <a16:creationId xmlns:a16="http://schemas.microsoft.com/office/drawing/2014/main" id="{1D4C97AD-435A-4109-9B0E-7DADA5D50E56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4" name="avatar">
          <a:extLst>
            <a:ext uri="{FF2B5EF4-FFF2-40B4-BE49-F238E27FC236}">
              <a16:creationId xmlns:a16="http://schemas.microsoft.com/office/drawing/2014/main" id="{AA10418C-FEF8-4AC6-8A6E-EAA57499764E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5" name="avatar">
          <a:extLst>
            <a:ext uri="{FF2B5EF4-FFF2-40B4-BE49-F238E27FC236}">
              <a16:creationId xmlns:a16="http://schemas.microsoft.com/office/drawing/2014/main" id="{40802EDA-E0B1-4447-9C65-E7950D540A1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6" name="avatar">
          <a:extLst>
            <a:ext uri="{FF2B5EF4-FFF2-40B4-BE49-F238E27FC236}">
              <a16:creationId xmlns:a16="http://schemas.microsoft.com/office/drawing/2014/main" id="{D90C7756-32F6-4D59-A28B-45376C0F5A8D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7" name="avatar">
          <a:extLst>
            <a:ext uri="{FF2B5EF4-FFF2-40B4-BE49-F238E27FC236}">
              <a16:creationId xmlns:a16="http://schemas.microsoft.com/office/drawing/2014/main" id="{45AD28C5-D523-45ED-9129-95F21F8CCE79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8" name="avatar">
          <a:extLst>
            <a:ext uri="{FF2B5EF4-FFF2-40B4-BE49-F238E27FC236}">
              <a16:creationId xmlns:a16="http://schemas.microsoft.com/office/drawing/2014/main" id="{736CCFDE-CC88-4656-997A-D14957291CAC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299" name="avatar">
          <a:extLst>
            <a:ext uri="{FF2B5EF4-FFF2-40B4-BE49-F238E27FC236}">
              <a16:creationId xmlns:a16="http://schemas.microsoft.com/office/drawing/2014/main" id="{8B29E563-8015-42C7-97C8-0227F0AF339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0" name="avatar">
          <a:extLst>
            <a:ext uri="{FF2B5EF4-FFF2-40B4-BE49-F238E27FC236}">
              <a16:creationId xmlns:a16="http://schemas.microsoft.com/office/drawing/2014/main" id="{046352C0-D026-480B-85FE-3E39EECEDA7D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1" name="avatar">
          <a:extLst>
            <a:ext uri="{FF2B5EF4-FFF2-40B4-BE49-F238E27FC236}">
              <a16:creationId xmlns:a16="http://schemas.microsoft.com/office/drawing/2014/main" id="{5C3B9963-809E-4023-BC02-A74396334B8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2" name="avatar">
          <a:extLst>
            <a:ext uri="{FF2B5EF4-FFF2-40B4-BE49-F238E27FC236}">
              <a16:creationId xmlns:a16="http://schemas.microsoft.com/office/drawing/2014/main" id="{C703F64E-37D7-408F-BD33-4A7FF8088C46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3" name="avatar">
          <a:extLst>
            <a:ext uri="{FF2B5EF4-FFF2-40B4-BE49-F238E27FC236}">
              <a16:creationId xmlns:a16="http://schemas.microsoft.com/office/drawing/2014/main" id="{BE8B761C-22FE-4191-AF17-6BBD1909C5C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4" name="avatar">
          <a:extLst>
            <a:ext uri="{FF2B5EF4-FFF2-40B4-BE49-F238E27FC236}">
              <a16:creationId xmlns:a16="http://schemas.microsoft.com/office/drawing/2014/main" id="{22AC4D06-3A66-4389-B0C9-1F4E70596E6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5" name="avatar">
          <a:extLst>
            <a:ext uri="{FF2B5EF4-FFF2-40B4-BE49-F238E27FC236}">
              <a16:creationId xmlns:a16="http://schemas.microsoft.com/office/drawing/2014/main" id="{F9E9E7B5-3A27-4092-AEE2-2AAD247679B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6" name="avatar">
          <a:extLst>
            <a:ext uri="{FF2B5EF4-FFF2-40B4-BE49-F238E27FC236}">
              <a16:creationId xmlns:a16="http://schemas.microsoft.com/office/drawing/2014/main" id="{C19EDC7E-C39D-40AE-B0BE-399BC69CF28A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7" name="avatar">
          <a:extLst>
            <a:ext uri="{FF2B5EF4-FFF2-40B4-BE49-F238E27FC236}">
              <a16:creationId xmlns:a16="http://schemas.microsoft.com/office/drawing/2014/main" id="{A14EE6F8-5812-4D13-A098-F9A448A0DDC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8" name="avatar">
          <a:extLst>
            <a:ext uri="{FF2B5EF4-FFF2-40B4-BE49-F238E27FC236}">
              <a16:creationId xmlns:a16="http://schemas.microsoft.com/office/drawing/2014/main" id="{E47926C0-4D56-4189-9EE6-BFBF8C9809A6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09" name="avatar">
          <a:extLst>
            <a:ext uri="{FF2B5EF4-FFF2-40B4-BE49-F238E27FC236}">
              <a16:creationId xmlns:a16="http://schemas.microsoft.com/office/drawing/2014/main" id="{BDB0F8EA-B3AF-4093-A8A4-E938EEA50B7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0" name="avatar">
          <a:extLst>
            <a:ext uri="{FF2B5EF4-FFF2-40B4-BE49-F238E27FC236}">
              <a16:creationId xmlns:a16="http://schemas.microsoft.com/office/drawing/2014/main" id="{978EFE54-DB2A-4D7F-8AD6-01C91A03506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1" name="avatar">
          <a:extLst>
            <a:ext uri="{FF2B5EF4-FFF2-40B4-BE49-F238E27FC236}">
              <a16:creationId xmlns:a16="http://schemas.microsoft.com/office/drawing/2014/main" id="{8820A5C4-FEFC-4BB0-861C-8D073CB690E1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2" name="avatar">
          <a:extLst>
            <a:ext uri="{FF2B5EF4-FFF2-40B4-BE49-F238E27FC236}">
              <a16:creationId xmlns:a16="http://schemas.microsoft.com/office/drawing/2014/main" id="{EA32C5A1-0C4C-4B7D-B22A-91168438060C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3" name="avatar">
          <a:extLst>
            <a:ext uri="{FF2B5EF4-FFF2-40B4-BE49-F238E27FC236}">
              <a16:creationId xmlns:a16="http://schemas.microsoft.com/office/drawing/2014/main" id="{4794A040-59F1-4526-AC88-F686BA4CB102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4" name="avatar">
          <a:extLst>
            <a:ext uri="{FF2B5EF4-FFF2-40B4-BE49-F238E27FC236}">
              <a16:creationId xmlns:a16="http://schemas.microsoft.com/office/drawing/2014/main" id="{8400216A-3722-4B23-BE27-0D59D5E93232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5" name="avatar">
          <a:extLst>
            <a:ext uri="{FF2B5EF4-FFF2-40B4-BE49-F238E27FC236}">
              <a16:creationId xmlns:a16="http://schemas.microsoft.com/office/drawing/2014/main" id="{6075A891-FBBD-48B7-9CD3-44E14C03E95C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6" name="avatar">
          <a:extLst>
            <a:ext uri="{FF2B5EF4-FFF2-40B4-BE49-F238E27FC236}">
              <a16:creationId xmlns:a16="http://schemas.microsoft.com/office/drawing/2014/main" id="{1E6AA7A4-D176-4883-A0B2-52A61775202A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7" name="avatar">
          <a:extLst>
            <a:ext uri="{FF2B5EF4-FFF2-40B4-BE49-F238E27FC236}">
              <a16:creationId xmlns:a16="http://schemas.microsoft.com/office/drawing/2014/main" id="{20058F61-8CDB-4EAE-8E15-768CBB0E08E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8" name="avatar">
          <a:extLst>
            <a:ext uri="{FF2B5EF4-FFF2-40B4-BE49-F238E27FC236}">
              <a16:creationId xmlns:a16="http://schemas.microsoft.com/office/drawing/2014/main" id="{E649517E-0928-4A0A-BA75-AA1FF0A612E9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319" name="avatar">
          <a:extLst>
            <a:ext uri="{FF2B5EF4-FFF2-40B4-BE49-F238E27FC236}">
              <a16:creationId xmlns:a16="http://schemas.microsoft.com/office/drawing/2014/main" id="{E9433EDB-3BEE-4A07-AD1B-E465D98B21CC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0" name="avatar">
          <a:extLst>
            <a:ext uri="{FF2B5EF4-FFF2-40B4-BE49-F238E27FC236}">
              <a16:creationId xmlns:a16="http://schemas.microsoft.com/office/drawing/2014/main" id="{EC4B3034-EF4F-49A0-B4BA-9C4487E2BC52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1" name="avatar">
          <a:extLst>
            <a:ext uri="{FF2B5EF4-FFF2-40B4-BE49-F238E27FC236}">
              <a16:creationId xmlns:a16="http://schemas.microsoft.com/office/drawing/2014/main" id="{5E3B28C0-3994-4654-84AA-DEDD245D6659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2" name="avatar">
          <a:extLst>
            <a:ext uri="{FF2B5EF4-FFF2-40B4-BE49-F238E27FC236}">
              <a16:creationId xmlns:a16="http://schemas.microsoft.com/office/drawing/2014/main" id="{51165290-665F-4AE0-94D2-E9397EE52859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3" name="avatar">
          <a:extLst>
            <a:ext uri="{FF2B5EF4-FFF2-40B4-BE49-F238E27FC236}">
              <a16:creationId xmlns:a16="http://schemas.microsoft.com/office/drawing/2014/main" id="{F3E0BC23-6A23-4FE8-9F70-8B5A30F2135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4" name="avatar">
          <a:extLst>
            <a:ext uri="{FF2B5EF4-FFF2-40B4-BE49-F238E27FC236}">
              <a16:creationId xmlns:a16="http://schemas.microsoft.com/office/drawing/2014/main" id="{13047158-C975-4B2F-9F27-45E628B140C7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5" name="avatar">
          <a:extLst>
            <a:ext uri="{FF2B5EF4-FFF2-40B4-BE49-F238E27FC236}">
              <a16:creationId xmlns:a16="http://schemas.microsoft.com/office/drawing/2014/main" id="{24FE407E-5860-4B56-BCA8-EC8E8A7CE02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6" name="avatar">
          <a:extLst>
            <a:ext uri="{FF2B5EF4-FFF2-40B4-BE49-F238E27FC236}">
              <a16:creationId xmlns:a16="http://schemas.microsoft.com/office/drawing/2014/main" id="{3CFC7AC9-9295-461F-B5F7-63903595768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7" name="avatar">
          <a:extLst>
            <a:ext uri="{FF2B5EF4-FFF2-40B4-BE49-F238E27FC236}">
              <a16:creationId xmlns:a16="http://schemas.microsoft.com/office/drawing/2014/main" id="{569D4A7F-EE92-432A-961F-65477264D91D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8" name="avatar">
          <a:extLst>
            <a:ext uri="{FF2B5EF4-FFF2-40B4-BE49-F238E27FC236}">
              <a16:creationId xmlns:a16="http://schemas.microsoft.com/office/drawing/2014/main" id="{CB3B4705-F401-4A13-A7EB-46908F5B44E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29" name="avatar">
          <a:extLst>
            <a:ext uri="{FF2B5EF4-FFF2-40B4-BE49-F238E27FC236}">
              <a16:creationId xmlns:a16="http://schemas.microsoft.com/office/drawing/2014/main" id="{1FE48C94-4063-4598-A423-61C45A26E960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0" name="avatar">
          <a:extLst>
            <a:ext uri="{FF2B5EF4-FFF2-40B4-BE49-F238E27FC236}">
              <a16:creationId xmlns:a16="http://schemas.microsoft.com/office/drawing/2014/main" id="{49BBDB16-5BF3-4DBF-BAAE-941650F6A523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1" name="avatar">
          <a:extLst>
            <a:ext uri="{FF2B5EF4-FFF2-40B4-BE49-F238E27FC236}">
              <a16:creationId xmlns:a16="http://schemas.microsoft.com/office/drawing/2014/main" id="{6E3937CE-853B-4B16-92C2-090CCC9C6194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2" name="avatar">
          <a:extLst>
            <a:ext uri="{FF2B5EF4-FFF2-40B4-BE49-F238E27FC236}">
              <a16:creationId xmlns:a16="http://schemas.microsoft.com/office/drawing/2014/main" id="{1AFF9FE2-87E6-4362-8AAF-5C0B7D5581E3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3" name="avatar">
          <a:extLst>
            <a:ext uri="{FF2B5EF4-FFF2-40B4-BE49-F238E27FC236}">
              <a16:creationId xmlns:a16="http://schemas.microsoft.com/office/drawing/2014/main" id="{FE5F80B5-0433-427F-9CDE-6AE7F47533AF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4" name="avatar">
          <a:extLst>
            <a:ext uri="{FF2B5EF4-FFF2-40B4-BE49-F238E27FC236}">
              <a16:creationId xmlns:a16="http://schemas.microsoft.com/office/drawing/2014/main" id="{2FBBE1EB-8934-44C2-95B3-BE202AB3DB35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5" name="avatar">
          <a:extLst>
            <a:ext uri="{FF2B5EF4-FFF2-40B4-BE49-F238E27FC236}">
              <a16:creationId xmlns:a16="http://schemas.microsoft.com/office/drawing/2014/main" id="{32F57864-0E91-419A-91B8-15FC183D58F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6" name="avatar">
          <a:extLst>
            <a:ext uri="{FF2B5EF4-FFF2-40B4-BE49-F238E27FC236}">
              <a16:creationId xmlns:a16="http://schemas.microsoft.com/office/drawing/2014/main" id="{9DED28E6-A7FE-45BD-8D74-49543335317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7" name="avatar">
          <a:extLst>
            <a:ext uri="{FF2B5EF4-FFF2-40B4-BE49-F238E27FC236}">
              <a16:creationId xmlns:a16="http://schemas.microsoft.com/office/drawing/2014/main" id="{513BDF88-38F0-40C9-B2AA-C8D84E88F181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8" name="avatar">
          <a:extLst>
            <a:ext uri="{FF2B5EF4-FFF2-40B4-BE49-F238E27FC236}">
              <a16:creationId xmlns:a16="http://schemas.microsoft.com/office/drawing/2014/main" id="{B0FA72ED-3CDD-4F5A-B602-4208DA741CB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39" name="avatar">
          <a:extLst>
            <a:ext uri="{FF2B5EF4-FFF2-40B4-BE49-F238E27FC236}">
              <a16:creationId xmlns:a16="http://schemas.microsoft.com/office/drawing/2014/main" id="{F54F39C9-42CC-4448-BF6E-6912AA1AF9E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0" name="avatar">
          <a:extLst>
            <a:ext uri="{FF2B5EF4-FFF2-40B4-BE49-F238E27FC236}">
              <a16:creationId xmlns:a16="http://schemas.microsoft.com/office/drawing/2014/main" id="{B4F69F8C-2D80-4EC8-9A3E-EF11805C9AD7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1" name="avatar">
          <a:extLst>
            <a:ext uri="{FF2B5EF4-FFF2-40B4-BE49-F238E27FC236}">
              <a16:creationId xmlns:a16="http://schemas.microsoft.com/office/drawing/2014/main" id="{DB9A1BD2-D5DF-41C0-9E59-A9C8E2B6EDAF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2" name="avatar">
          <a:extLst>
            <a:ext uri="{FF2B5EF4-FFF2-40B4-BE49-F238E27FC236}">
              <a16:creationId xmlns:a16="http://schemas.microsoft.com/office/drawing/2014/main" id="{F9DD79AC-13C8-4E78-A5B9-A2658CC112F1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3" name="avatar">
          <a:extLst>
            <a:ext uri="{FF2B5EF4-FFF2-40B4-BE49-F238E27FC236}">
              <a16:creationId xmlns:a16="http://schemas.microsoft.com/office/drawing/2014/main" id="{CE2834EB-AD02-4851-AA4C-823A2450A34F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4" name="avatar">
          <a:extLst>
            <a:ext uri="{FF2B5EF4-FFF2-40B4-BE49-F238E27FC236}">
              <a16:creationId xmlns:a16="http://schemas.microsoft.com/office/drawing/2014/main" id="{0C432A2D-4BF3-49CC-A0C9-DA378D3D6CC5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5" name="avatar">
          <a:extLst>
            <a:ext uri="{FF2B5EF4-FFF2-40B4-BE49-F238E27FC236}">
              <a16:creationId xmlns:a16="http://schemas.microsoft.com/office/drawing/2014/main" id="{A3107559-DECE-4130-8800-AB19E1AB0C3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6" name="avatar">
          <a:extLst>
            <a:ext uri="{FF2B5EF4-FFF2-40B4-BE49-F238E27FC236}">
              <a16:creationId xmlns:a16="http://schemas.microsoft.com/office/drawing/2014/main" id="{6EC68298-8B09-45FF-B017-78DBE8FD78C3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7" name="avatar">
          <a:extLst>
            <a:ext uri="{FF2B5EF4-FFF2-40B4-BE49-F238E27FC236}">
              <a16:creationId xmlns:a16="http://schemas.microsoft.com/office/drawing/2014/main" id="{C8AD1A3B-30AE-4327-AACA-F40D87A836A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8" name="avatar">
          <a:extLst>
            <a:ext uri="{FF2B5EF4-FFF2-40B4-BE49-F238E27FC236}">
              <a16:creationId xmlns:a16="http://schemas.microsoft.com/office/drawing/2014/main" id="{5F921CB2-06CB-49DE-AE6D-19882FC07E6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49" name="avatar">
          <a:extLst>
            <a:ext uri="{FF2B5EF4-FFF2-40B4-BE49-F238E27FC236}">
              <a16:creationId xmlns:a16="http://schemas.microsoft.com/office/drawing/2014/main" id="{85B125CD-A0C6-4129-8680-627110C9A58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0" name="avatar">
          <a:extLst>
            <a:ext uri="{FF2B5EF4-FFF2-40B4-BE49-F238E27FC236}">
              <a16:creationId xmlns:a16="http://schemas.microsoft.com/office/drawing/2014/main" id="{22743887-43A1-42E5-9112-81F3DB53581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1" name="avatar">
          <a:extLst>
            <a:ext uri="{FF2B5EF4-FFF2-40B4-BE49-F238E27FC236}">
              <a16:creationId xmlns:a16="http://schemas.microsoft.com/office/drawing/2014/main" id="{7B58581A-27BA-4C8C-9749-A14E6816995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2" name="avatar">
          <a:extLst>
            <a:ext uri="{FF2B5EF4-FFF2-40B4-BE49-F238E27FC236}">
              <a16:creationId xmlns:a16="http://schemas.microsoft.com/office/drawing/2014/main" id="{D635D099-1A9A-4E24-B09F-3087AF2D5015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3" name="avatar">
          <a:extLst>
            <a:ext uri="{FF2B5EF4-FFF2-40B4-BE49-F238E27FC236}">
              <a16:creationId xmlns:a16="http://schemas.microsoft.com/office/drawing/2014/main" id="{2E60CFAD-98A4-4B64-AF76-81554C02E812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4" name="avatar">
          <a:extLst>
            <a:ext uri="{FF2B5EF4-FFF2-40B4-BE49-F238E27FC236}">
              <a16:creationId xmlns:a16="http://schemas.microsoft.com/office/drawing/2014/main" id="{579B737E-38A2-413A-9A70-038CE50185B2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5" name="avatar">
          <a:extLst>
            <a:ext uri="{FF2B5EF4-FFF2-40B4-BE49-F238E27FC236}">
              <a16:creationId xmlns:a16="http://schemas.microsoft.com/office/drawing/2014/main" id="{5316E35E-42AF-45F5-9BA4-1C6615525B63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6" name="avatar">
          <a:extLst>
            <a:ext uri="{FF2B5EF4-FFF2-40B4-BE49-F238E27FC236}">
              <a16:creationId xmlns:a16="http://schemas.microsoft.com/office/drawing/2014/main" id="{48CA48AE-B3CB-45DD-A928-F8C0D88ECCEB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7" name="avatar">
          <a:extLst>
            <a:ext uri="{FF2B5EF4-FFF2-40B4-BE49-F238E27FC236}">
              <a16:creationId xmlns:a16="http://schemas.microsoft.com/office/drawing/2014/main" id="{25FAA313-0A47-45B8-A57B-307A9BB0ABBB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8" name="avatar">
          <a:extLst>
            <a:ext uri="{FF2B5EF4-FFF2-40B4-BE49-F238E27FC236}">
              <a16:creationId xmlns:a16="http://schemas.microsoft.com/office/drawing/2014/main" id="{4A4256DA-757E-48B3-86DE-63626E036045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359" name="avatar">
          <a:extLst>
            <a:ext uri="{FF2B5EF4-FFF2-40B4-BE49-F238E27FC236}">
              <a16:creationId xmlns:a16="http://schemas.microsoft.com/office/drawing/2014/main" id="{2740030D-614F-4D25-BCBC-883EAA3A3E3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0" name="avatar">
          <a:extLst>
            <a:ext uri="{FF2B5EF4-FFF2-40B4-BE49-F238E27FC236}">
              <a16:creationId xmlns:a16="http://schemas.microsoft.com/office/drawing/2014/main" id="{3C94CEC8-3CC6-420B-8B3F-83D8D521809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1" name="avatar">
          <a:extLst>
            <a:ext uri="{FF2B5EF4-FFF2-40B4-BE49-F238E27FC236}">
              <a16:creationId xmlns:a16="http://schemas.microsoft.com/office/drawing/2014/main" id="{6ACBA615-6E60-45C6-B0A3-501B1EFB0BE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2" name="avatar">
          <a:extLst>
            <a:ext uri="{FF2B5EF4-FFF2-40B4-BE49-F238E27FC236}">
              <a16:creationId xmlns:a16="http://schemas.microsoft.com/office/drawing/2014/main" id="{EF3281BF-9F39-4354-954E-861022F09F3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3" name="avatar">
          <a:extLst>
            <a:ext uri="{FF2B5EF4-FFF2-40B4-BE49-F238E27FC236}">
              <a16:creationId xmlns:a16="http://schemas.microsoft.com/office/drawing/2014/main" id="{F10814C1-28E3-4E82-8B70-7025E4A6174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4" name="avatar">
          <a:extLst>
            <a:ext uri="{FF2B5EF4-FFF2-40B4-BE49-F238E27FC236}">
              <a16:creationId xmlns:a16="http://schemas.microsoft.com/office/drawing/2014/main" id="{095139AB-54AF-4D17-BFFC-5331B1E1F08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5" name="avatar">
          <a:extLst>
            <a:ext uri="{FF2B5EF4-FFF2-40B4-BE49-F238E27FC236}">
              <a16:creationId xmlns:a16="http://schemas.microsoft.com/office/drawing/2014/main" id="{37C287A2-87C2-41C3-BB4D-DA28826AB3D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6" name="avatar">
          <a:extLst>
            <a:ext uri="{FF2B5EF4-FFF2-40B4-BE49-F238E27FC236}">
              <a16:creationId xmlns:a16="http://schemas.microsoft.com/office/drawing/2014/main" id="{03E6CB81-17D0-4B94-AB00-71288BBEA48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7" name="avatar">
          <a:extLst>
            <a:ext uri="{FF2B5EF4-FFF2-40B4-BE49-F238E27FC236}">
              <a16:creationId xmlns:a16="http://schemas.microsoft.com/office/drawing/2014/main" id="{620660C2-6E92-40F9-918D-F05A05B4109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8" name="avatar">
          <a:extLst>
            <a:ext uri="{FF2B5EF4-FFF2-40B4-BE49-F238E27FC236}">
              <a16:creationId xmlns:a16="http://schemas.microsoft.com/office/drawing/2014/main" id="{BF5D9429-E9C1-49DC-9BA7-C734DA784CB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369" name="avatar">
          <a:extLst>
            <a:ext uri="{FF2B5EF4-FFF2-40B4-BE49-F238E27FC236}">
              <a16:creationId xmlns:a16="http://schemas.microsoft.com/office/drawing/2014/main" id="{39826820-C5D0-4B1D-9887-5ADCFCADD81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0" name="avatar">
          <a:extLst>
            <a:ext uri="{FF2B5EF4-FFF2-40B4-BE49-F238E27FC236}">
              <a16:creationId xmlns:a16="http://schemas.microsoft.com/office/drawing/2014/main" id="{8C500892-60A0-40D9-8AF6-00BB67C2D12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1" name="avatar">
          <a:extLst>
            <a:ext uri="{FF2B5EF4-FFF2-40B4-BE49-F238E27FC236}">
              <a16:creationId xmlns:a16="http://schemas.microsoft.com/office/drawing/2014/main" id="{3E10926E-3383-4E30-9354-63B74F61643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2" name="avatar">
          <a:extLst>
            <a:ext uri="{FF2B5EF4-FFF2-40B4-BE49-F238E27FC236}">
              <a16:creationId xmlns:a16="http://schemas.microsoft.com/office/drawing/2014/main" id="{CCF1B485-D651-4D75-91CC-B856E9035819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3" name="avatar">
          <a:extLst>
            <a:ext uri="{FF2B5EF4-FFF2-40B4-BE49-F238E27FC236}">
              <a16:creationId xmlns:a16="http://schemas.microsoft.com/office/drawing/2014/main" id="{EE53AEAC-D5F0-47DC-8497-59BF80957094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4" name="avatar">
          <a:extLst>
            <a:ext uri="{FF2B5EF4-FFF2-40B4-BE49-F238E27FC236}">
              <a16:creationId xmlns:a16="http://schemas.microsoft.com/office/drawing/2014/main" id="{519B4D11-2F23-4674-9AA7-B409ED41AF2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5" name="avatar">
          <a:extLst>
            <a:ext uri="{FF2B5EF4-FFF2-40B4-BE49-F238E27FC236}">
              <a16:creationId xmlns:a16="http://schemas.microsoft.com/office/drawing/2014/main" id="{66F5FA3B-8B9C-42FE-A9D3-BC619118D25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6" name="avatar">
          <a:extLst>
            <a:ext uri="{FF2B5EF4-FFF2-40B4-BE49-F238E27FC236}">
              <a16:creationId xmlns:a16="http://schemas.microsoft.com/office/drawing/2014/main" id="{2157D70F-1F9D-49A6-BBD8-3250BC0AA7E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7" name="avatar">
          <a:extLst>
            <a:ext uri="{FF2B5EF4-FFF2-40B4-BE49-F238E27FC236}">
              <a16:creationId xmlns:a16="http://schemas.microsoft.com/office/drawing/2014/main" id="{5B0653EF-3532-4768-877A-14B57B517A8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8" name="avatar">
          <a:extLst>
            <a:ext uri="{FF2B5EF4-FFF2-40B4-BE49-F238E27FC236}">
              <a16:creationId xmlns:a16="http://schemas.microsoft.com/office/drawing/2014/main" id="{A4D1AFA6-2C83-49A1-A8D5-A6175696313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379" name="avatar">
          <a:extLst>
            <a:ext uri="{FF2B5EF4-FFF2-40B4-BE49-F238E27FC236}">
              <a16:creationId xmlns:a16="http://schemas.microsoft.com/office/drawing/2014/main" id="{05250A1E-2B14-4AD9-A22B-A4DB809F2E7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0" name="avatar">
          <a:extLst>
            <a:ext uri="{FF2B5EF4-FFF2-40B4-BE49-F238E27FC236}">
              <a16:creationId xmlns:a16="http://schemas.microsoft.com/office/drawing/2014/main" id="{F3A112F8-2E8D-4F39-B4DA-3D45639CBCB5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1" name="avatar">
          <a:extLst>
            <a:ext uri="{FF2B5EF4-FFF2-40B4-BE49-F238E27FC236}">
              <a16:creationId xmlns:a16="http://schemas.microsoft.com/office/drawing/2014/main" id="{55A7B41E-46CF-439F-B646-9854CA25872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2" name="avatar">
          <a:extLst>
            <a:ext uri="{FF2B5EF4-FFF2-40B4-BE49-F238E27FC236}">
              <a16:creationId xmlns:a16="http://schemas.microsoft.com/office/drawing/2014/main" id="{AE992D88-3FC1-4EEC-9A6A-806C07EE95AD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3" name="avatar">
          <a:extLst>
            <a:ext uri="{FF2B5EF4-FFF2-40B4-BE49-F238E27FC236}">
              <a16:creationId xmlns:a16="http://schemas.microsoft.com/office/drawing/2014/main" id="{A90340FC-C84F-4B16-ACEA-5509B44FEA04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4" name="avatar">
          <a:extLst>
            <a:ext uri="{FF2B5EF4-FFF2-40B4-BE49-F238E27FC236}">
              <a16:creationId xmlns:a16="http://schemas.microsoft.com/office/drawing/2014/main" id="{C57530EE-F754-409D-B00B-B38F94B29545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5" name="avatar">
          <a:extLst>
            <a:ext uri="{FF2B5EF4-FFF2-40B4-BE49-F238E27FC236}">
              <a16:creationId xmlns:a16="http://schemas.microsoft.com/office/drawing/2014/main" id="{E941C478-78E3-4FC6-9D5E-8D173BDEE40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6" name="avatar">
          <a:extLst>
            <a:ext uri="{FF2B5EF4-FFF2-40B4-BE49-F238E27FC236}">
              <a16:creationId xmlns:a16="http://schemas.microsoft.com/office/drawing/2014/main" id="{AD6FB462-5256-4665-8293-1287D2A17E1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7" name="avatar">
          <a:extLst>
            <a:ext uri="{FF2B5EF4-FFF2-40B4-BE49-F238E27FC236}">
              <a16:creationId xmlns:a16="http://schemas.microsoft.com/office/drawing/2014/main" id="{E6DAF041-9555-4621-ADC2-CB06651E544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8" name="avatar">
          <a:extLst>
            <a:ext uri="{FF2B5EF4-FFF2-40B4-BE49-F238E27FC236}">
              <a16:creationId xmlns:a16="http://schemas.microsoft.com/office/drawing/2014/main" id="{2EF9DC0F-D950-47EA-AEF9-D79567F05C6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389" name="avatar">
          <a:extLst>
            <a:ext uri="{FF2B5EF4-FFF2-40B4-BE49-F238E27FC236}">
              <a16:creationId xmlns:a16="http://schemas.microsoft.com/office/drawing/2014/main" id="{6088955D-5F38-420B-87CA-8E1898356E0B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0" name="avatar">
          <a:extLst>
            <a:ext uri="{FF2B5EF4-FFF2-40B4-BE49-F238E27FC236}">
              <a16:creationId xmlns:a16="http://schemas.microsoft.com/office/drawing/2014/main" id="{1BC6BDEA-2918-4DC7-8BAE-1C9035B5757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1" name="avatar">
          <a:extLst>
            <a:ext uri="{FF2B5EF4-FFF2-40B4-BE49-F238E27FC236}">
              <a16:creationId xmlns:a16="http://schemas.microsoft.com/office/drawing/2014/main" id="{38D98647-3613-450E-8BCD-F4578E5158A3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2" name="avatar">
          <a:extLst>
            <a:ext uri="{FF2B5EF4-FFF2-40B4-BE49-F238E27FC236}">
              <a16:creationId xmlns:a16="http://schemas.microsoft.com/office/drawing/2014/main" id="{86A4E244-A9A6-4D84-BD11-1AAA6330F32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3" name="avatar">
          <a:extLst>
            <a:ext uri="{FF2B5EF4-FFF2-40B4-BE49-F238E27FC236}">
              <a16:creationId xmlns:a16="http://schemas.microsoft.com/office/drawing/2014/main" id="{6EB22DA3-4FBA-4DD3-B77B-5480066DBCF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4" name="avatar">
          <a:extLst>
            <a:ext uri="{FF2B5EF4-FFF2-40B4-BE49-F238E27FC236}">
              <a16:creationId xmlns:a16="http://schemas.microsoft.com/office/drawing/2014/main" id="{6663E020-1DA3-400A-9555-00A86E466104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5" name="avatar">
          <a:extLst>
            <a:ext uri="{FF2B5EF4-FFF2-40B4-BE49-F238E27FC236}">
              <a16:creationId xmlns:a16="http://schemas.microsoft.com/office/drawing/2014/main" id="{DB7D7284-E6F5-4A1D-827F-86B0471AE14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6" name="avatar">
          <a:extLst>
            <a:ext uri="{FF2B5EF4-FFF2-40B4-BE49-F238E27FC236}">
              <a16:creationId xmlns:a16="http://schemas.microsoft.com/office/drawing/2014/main" id="{8190CEB6-1518-4796-BFBF-A2FA249E8266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7" name="avatar">
          <a:extLst>
            <a:ext uri="{FF2B5EF4-FFF2-40B4-BE49-F238E27FC236}">
              <a16:creationId xmlns:a16="http://schemas.microsoft.com/office/drawing/2014/main" id="{7F6F93EC-90AE-4CF1-A77A-ACF6CB7A110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8" name="avatar">
          <a:extLst>
            <a:ext uri="{FF2B5EF4-FFF2-40B4-BE49-F238E27FC236}">
              <a16:creationId xmlns:a16="http://schemas.microsoft.com/office/drawing/2014/main" id="{D355D39C-6370-4C4D-87DC-A671CA70CA3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399" name="avatar">
          <a:extLst>
            <a:ext uri="{FF2B5EF4-FFF2-40B4-BE49-F238E27FC236}">
              <a16:creationId xmlns:a16="http://schemas.microsoft.com/office/drawing/2014/main" id="{32132815-7D50-41DF-AF08-C5C4928CE69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0" name="avatar">
          <a:extLst>
            <a:ext uri="{FF2B5EF4-FFF2-40B4-BE49-F238E27FC236}">
              <a16:creationId xmlns:a16="http://schemas.microsoft.com/office/drawing/2014/main" id="{56EEF1D8-544F-4EE8-BE2E-43AF6A4BBF63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1" name="avatar">
          <a:extLst>
            <a:ext uri="{FF2B5EF4-FFF2-40B4-BE49-F238E27FC236}">
              <a16:creationId xmlns:a16="http://schemas.microsoft.com/office/drawing/2014/main" id="{5D046A05-53DF-4B95-8773-39062C77C2A7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2" name="avatar">
          <a:extLst>
            <a:ext uri="{FF2B5EF4-FFF2-40B4-BE49-F238E27FC236}">
              <a16:creationId xmlns:a16="http://schemas.microsoft.com/office/drawing/2014/main" id="{1B0CA0E2-6BC9-46F6-95E9-2175708A16FF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3" name="avatar">
          <a:extLst>
            <a:ext uri="{FF2B5EF4-FFF2-40B4-BE49-F238E27FC236}">
              <a16:creationId xmlns:a16="http://schemas.microsoft.com/office/drawing/2014/main" id="{DF934A1C-0232-4AFF-948F-9BB5FE7189A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4" name="avatar">
          <a:extLst>
            <a:ext uri="{FF2B5EF4-FFF2-40B4-BE49-F238E27FC236}">
              <a16:creationId xmlns:a16="http://schemas.microsoft.com/office/drawing/2014/main" id="{383E6500-391A-48E5-841C-77397B5760A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5" name="avatar">
          <a:extLst>
            <a:ext uri="{FF2B5EF4-FFF2-40B4-BE49-F238E27FC236}">
              <a16:creationId xmlns:a16="http://schemas.microsoft.com/office/drawing/2014/main" id="{BA6472EF-DC07-42AA-AB3C-1A5F28EFC2D6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6" name="avatar">
          <a:extLst>
            <a:ext uri="{FF2B5EF4-FFF2-40B4-BE49-F238E27FC236}">
              <a16:creationId xmlns:a16="http://schemas.microsoft.com/office/drawing/2014/main" id="{A88D2EEF-034C-4746-AE41-BD7B335A0D2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7" name="avatar">
          <a:extLst>
            <a:ext uri="{FF2B5EF4-FFF2-40B4-BE49-F238E27FC236}">
              <a16:creationId xmlns:a16="http://schemas.microsoft.com/office/drawing/2014/main" id="{B10150CB-6254-4D99-9C23-1B3D49F717F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8" name="avatar">
          <a:extLst>
            <a:ext uri="{FF2B5EF4-FFF2-40B4-BE49-F238E27FC236}">
              <a16:creationId xmlns:a16="http://schemas.microsoft.com/office/drawing/2014/main" id="{F9F235F4-B3A1-4F6C-B99F-65F2E22927A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409" name="avatar">
          <a:extLst>
            <a:ext uri="{FF2B5EF4-FFF2-40B4-BE49-F238E27FC236}">
              <a16:creationId xmlns:a16="http://schemas.microsoft.com/office/drawing/2014/main" id="{72482735-DD19-4349-8A08-5A53FE219CF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0" name="avatar">
          <a:extLst>
            <a:ext uri="{FF2B5EF4-FFF2-40B4-BE49-F238E27FC236}">
              <a16:creationId xmlns:a16="http://schemas.microsoft.com/office/drawing/2014/main" id="{CAC20BFF-228B-4B98-8874-F54B8B421CC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1" name="avatar">
          <a:extLst>
            <a:ext uri="{FF2B5EF4-FFF2-40B4-BE49-F238E27FC236}">
              <a16:creationId xmlns:a16="http://schemas.microsoft.com/office/drawing/2014/main" id="{B8D1D195-8547-409D-8DAA-1FE376A5A50A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2" name="avatar">
          <a:extLst>
            <a:ext uri="{FF2B5EF4-FFF2-40B4-BE49-F238E27FC236}">
              <a16:creationId xmlns:a16="http://schemas.microsoft.com/office/drawing/2014/main" id="{DBDC0C88-B439-4A39-A9A2-C48CD4297970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3" name="avatar">
          <a:extLst>
            <a:ext uri="{FF2B5EF4-FFF2-40B4-BE49-F238E27FC236}">
              <a16:creationId xmlns:a16="http://schemas.microsoft.com/office/drawing/2014/main" id="{69FF500C-B507-4229-9B51-0B549866D73D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4" name="avatar">
          <a:extLst>
            <a:ext uri="{FF2B5EF4-FFF2-40B4-BE49-F238E27FC236}">
              <a16:creationId xmlns:a16="http://schemas.microsoft.com/office/drawing/2014/main" id="{091DF6EA-F875-4BF3-8558-4B42C9AE81E7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5" name="avatar">
          <a:extLst>
            <a:ext uri="{FF2B5EF4-FFF2-40B4-BE49-F238E27FC236}">
              <a16:creationId xmlns:a16="http://schemas.microsoft.com/office/drawing/2014/main" id="{3FCC21A0-B899-431C-A300-CBBBE6A1163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6" name="avatar">
          <a:extLst>
            <a:ext uri="{FF2B5EF4-FFF2-40B4-BE49-F238E27FC236}">
              <a16:creationId xmlns:a16="http://schemas.microsoft.com/office/drawing/2014/main" id="{4FAFA788-7D54-4035-A125-8FEAC3C54C6A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7" name="avatar">
          <a:extLst>
            <a:ext uri="{FF2B5EF4-FFF2-40B4-BE49-F238E27FC236}">
              <a16:creationId xmlns:a16="http://schemas.microsoft.com/office/drawing/2014/main" id="{C9DE65FD-D788-461B-B833-763C7FCF8C0B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8" name="avatar">
          <a:extLst>
            <a:ext uri="{FF2B5EF4-FFF2-40B4-BE49-F238E27FC236}">
              <a16:creationId xmlns:a16="http://schemas.microsoft.com/office/drawing/2014/main" id="{2CB40337-B61E-43B4-9B1C-2B59D86DFB65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419" name="avatar">
          <a:extLst>
            <a:ext uri="{FF2B5EF4-FFF2-40B4-BE49-F238E27FC236}">
              <a16:creationId xmlns:a16="http://schemas.microsoft.com/office/drawing/2014/main" id="{2727715E-9497-49AF-AE5B-88702D3A9C8F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0" name="avatar">
          <a:extLst>
            <a:ext uri="{FF2B5EF4-FFF2-40B4-BE49-F238E27FC236}">
              <a16:creationId xmlns:a16="http://schemas.microsoft.com/office/drawing/2014/main" id="{6798851D-1E58-4D6F-9D34-9189F9016A32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1" name="avatar">
          <a:extLst>
            <a:ext uri="{FF2B5EF4-FFF2-40B4-BE49-F238E27FC236}">
              <a16:creationId xmlns:a16="http://schemas.microsoft.com/office/drawing/2014/main" id="{50615A7F-ABB2-425B-9E68-949D28EBF82E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2" name="avatar">
          <a:extLst>
            <a:ext uri="{FF2B5EF4-FFF2-40B4-BE49-F238E27FC236}">
              <a16:creationId xmlns:a16="http://schemas.microsoft.com/office/drawing/2014/main" id="{43ECF516-6946-4AB3-844C-82D3F94DE9B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3" name="avatar">
          <a:extLst>
            <a:ext uri="{FF2B5EF4-FFF2-40B4-BE49-F238E27FC236}">
              <a16:creationId xmlns:a16="http://schemas.microsoft.com/office/drawing/2014/main" id="{A6F0C4DE-F690-4154-9F24-4762B64A3F96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4" name="avatar">
          <a:extLst>
            <a:ext uri="{FF2B5EF4-FFF2-40B4-BE49-F238E27FC236}">
              <a16:creationId xmlns:a16="http://schemas.microsoft.com/office/drawing/2014/main" id="{E4BDC1FB-DEE7-4AA2-8AAD-A6C9A5628A8C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5" name="avatar">
          <a:extLst>
            <a:ext uri="{FF2B5EF4-FFF2-40B4-BE49-F238E27FC236}">
              <a16:creationId xmlns:a16="http://schemas.microsoft.com/office/drawing/2014/main" id="{C61221E8-C331-4366-B160-57713BC20361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6" name="avatar">
          <a:extLst>
            <a:ext uri="{FF2B5EF4-FFF2-40B4-BE49-F238E27FC236}">
              <a16:creationId xmlns:a16="http://schemas.microsoft.com/office/drawing/2014/main" id="{50C7925F-12B7-45C5-A106-4DA932B06BA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7" name="avatar">
          <a:extLst>
            <a:ext uri="{FF2B5EF4-FFF2-40B4-BE49-F238E27FC236}">
              <a16:creationId xmlns:a16="http://schemas.microsoft.com/office/drawing/2014/main" id="{8328B0E0-94EC-48FB-BD39-169235D0F033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8" name="avatar">
          <a:extLst>
            <a:ext uri="{FF2B5EF4-FFF2-40B4-BE49-F238E27FC236}">
              <a16:creationId xmlns:a16="http://schemas.microsoft.com/office/drawing/2014/main" id="{91339978-91DB-4483-ABD8-0E5F20877F2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429" name="avatar">
          <a:extLst>
            <a:ext uri="{FF2B5EF4-FFF2-40B4-BE49-F238E27FC236}">
              <a16:creationId xmlns:a16="http://schemas.microsoft.com/office/drawing/2014/main" id="{001B4C81-93AF-4461-820B-127B74BA62D0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0" name="avatar">
          <a:extLst>
            <a:ext uri="{FF2B5EF4-FFF2-40B4-BE49-F238E27FC236}">
              <a16:creationId xmlns:a16="http://schemas.microsoft.com/office/drawing/2014/main" id="{63189030-703C-4D37-80EC-104050F4A34E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1" name="avatar">
          <a:extLst>
            <a:ext uri="{FF2B5EF4-FFF2-40B4-BE49-F238E27FC236}">
              <a16:creationId xmlns:a16="http://schemas.microsoft.com/office/drawing/2014/main" id="{42BA8020-5CB7-4B84-9CE7-AB4E3466A6EF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2" name="avatar">
          <a:extLst>
            <a:ext uri="{FF2B5EF4-FFF2-40B4-BE49-F238E27FC236}">
              <a16:creationId xmlns:a16="http://schemas.microsoft.com/office/drawing/2014/main" id="{94E0B2A2-DB99-4EE9-A831-88485EB0132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3" name="avatar">
          <a:extLst>
            <a:ext uri="{FF2B5EF4-FFF2-40B4-BE49-F238E27FC236}">
              <a16:creationId xmlns:a16="http://schemas.microsoft.com/office/drawing/2014/main" id="{FEE8E301-4BA4-4932-8C00-43603C90354A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4" name="avatar">
          <a:extLst>
            <a:ext uri="{FF2B5EF4-FFF2-40B4-BE49-F238E27FC236}">
              <a16:creationId xmlns:a16="http://schemas.microsoft.com/office/drawing/2014/main" id="{FE524DCF-7EF9-43D5-8AB1-7539605ACAEA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5" name="avatar">
          <a:extLst>
            <a:ext uri="{FF2B5EF4-FFF2-40B4-BE49-F238E27FC236}">
              <a16:creationId xmlns:a16="http://schemas.microsoft.com/office/drawing/2014/main" id="{A04AFEB8-46EE-49CC-9CD7-61997238768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6" name="avatar">
          <a:extLst>
            <a:ext uri="{FF2B5EF4-FFF2-40B4-BE49-F238E27FC236}">
              <a16:creationId xmlns:a16="http://schemas.microsoft.com/office/drawing/2014/main" id="{7D09BB42-BE7E-4166-8713-4150746195F6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7" name="avatar">
          <a:extLst>
            <a:ext uri="{FF2B5EF4-FFF2-40B4-BE49-F238E27FC236}">
              <a16:creationId xmlns:a16="http://schemas.microsoft.com/office/drawing/2014/main" id="{EAACA8B2-8EF7-43BA-8AE0-367D5F80ECD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8" name="avatar">
          <a:extLst>
            <a:ext uri="{FF2B5EF4-FFF2-40B4-BE49-F238E27FC236}">
              <a16:creationId xmlns:a16="http://schemas.microsoft.com/office/drawing/2014/main" id="{B987266F-9E08-4DCB-8036-0C04251028C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439" name="avatar">
          <a:extLst>
            <a:ext uri="{FF2B5EF4-FFF2-40B4-BE49-F238E27FC236}">
              <a16:creationId xmlns:a16="http://schemas.microsoft.com/office/drawing/2014/main" id="{08533998-9EA0-40EF-95B3-9F165DCF432B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0" name="avatar">
          <a:extLst>
            <a:ext uri="{FF2B5EF4-FFF2-40B4-BE49-F238E27FC236}">
              <a16:creationId xmlns:a16="http://schemas.microsoft.com/office/drawing/2014/main" id="{44BAA52E-617D-44DF-AFC2-9311BBEF620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1" name="avatar">
          <a:extLst>
            <a:ext uri="{FF2B5EF4-FFF2-40B4-BE49-F238E27FC236}">
              <a16:creationId xmlns:a16="http://schemas.microsoft.com/office/drawing/2014/main" id="{E4A16941-4A81-49DC-B8C3-5FF5AB9FFA1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2" name="avatar">
          <a:extLst>
            <a:ext uri="{FF2B5EF4-FFF2-40B4-BE49-F238E27FC236}">
              <a16:creationId xmlns:a16="http://schemas.microsoft.com/office/drawing/2014/main" id="{F2C1D6EF-BFB8-4516-BF51-646B962F982D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3" name="avatar">
          <a:extLst>
            <a:ext uri="{FF2B5EF4-FFF2-40B4-BE49-F238E27FC236}">
              <a16:creationId xmlns:a16="http://schemas.microsoft.com/office/drawing/2014/main" id="{E61F977A-7D42-4A4F-B85D-0EED69BE6DFF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4" name="avatar">
          <a:extLst>
            <a:ext uri="{FF2B5EF4-FFF2-40B4-BE49-F238E27FC236}">
              <a16:creationId xmlns:a16="http://schemas.microsoft.com/office/drawing/2014/main" id="{E4694EF5-ADD5-4F18-9928-13AF8AC5F3E4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5" name="avatar">
          <a:extLst>
            <a:ext uri="{FF2B5EF4-FFF2-40B4-BE49-F238E27FC236}">
              <a16:creationId xmlns:a16="http://schemas.microsoft.com/office/drawing/2014/main" id="{45FE0820-C0F4-42D5-AF0B-3C01AC6CBD0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6" name="avatar">
          <a:extLst>
            <a:ext uri="{FF2B5EF4-FFF2-40B4-BE49-F238E27FC236}">
              <a16:creationId xmlns:a16="http://schemas.microsoft.com/office/drawing/2014/main" id="{BD5553FA-DC4B-435A-B938-DF83B747CE3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7" name="avatar">
          <a:extLst>
            <a:ext uri="{FF2B5EF4-FFF2-40B4-BE49-F238E27FC236}">
              <a16:creationId xmlns:a16="http://schemas.microsoft.com/office/drawing/2014/main" id="{83A9D2D6-A3EC-4E92-AE58-04705728F4AE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8" name="avatar">
          <a:extLst>
            <a:ext uri="{FF2B5EF4-FFF2-40B4-BE49-F238E27FC236}">
              <a16:creationId xmlns:a16="http://schemas.microsoft.com/office/drawing/2014/main" id="{99F6AFDF-CA15-44A8-877D-0594C00C0D36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449" name="avatar">
          <a:extLst>
            <a:ext uri="{FF2B5EF4-FFF2-40B4-BE49-F238E27FC236}">
              <a16:creationId xmlns:a16="http://schemas.microsoft.com/office/drawing/2014/main" id="{F942A2E2-9500-4F12-A615-540B5D4E0CCA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0" name="avatar">
          <a:extLst>
            <a:ext uri="{FF2B5EF4-FFF2-40B4-BE49-F238E27FC236}">
              <a16:creationId xmlns:a16="http://schemas.microsoft.com/office/drawing/2014/main" id="{3DC5374E-F0B7-4A40-8962-BDE3B477297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1" name="avatar">
          <a:extLst>
            <a:ext uri="{FF2B5EF4-FFF2-40B4-BE49-F238E27FC236}">
              <a16:creationId xmlns:a16="http://schemas.microsoft.com/office/drawing/2014/main" id="{C7079CF1-FD85-4F55-B6FA-BFF736B18927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2" name="avatar">
          <a:extLst>
            <a:ext uri="{FF2B5EF4-FFF2-40B4-BE49-F238E27FC236}">
              <a16:creationId xmlns:a16="http://schemas.microsoft.com/office/drawing/2014/main" id="{5848E35F-341F-416E-B877-DEED8258C205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3" name="avatar">
          <a:extLst>
            <a:ext uri="{FF2B5EF4-FFF2-40B4-BE49-F238E27FC236}">
              <a16:creationId xmlns:a16="http://schemas.microsoft.com/office/drawing/2014/main" id="{E6FEACAD-0E66-4A16-9325-020001F2A9AA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4" name="avatar">
          <a:extLst>
            <a:ext uri="{FF2B5EF4-FFF2-40B4-BE49-F238E27FC236}">
              <a16:creationId xmlns:a16="http://schemas.microsoft.com/office/drawing/2014/main" id="{5A1A766A-D85B-453E-9797-11E6BE5B4634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5" name="avatar">
          <a:extLst>
            <a:ext uri="{FF2B5EF4-FFF2-40B4-BE49-F238E27FC236}">
              <a16:creationId xmlns:a16="http://schemas.microsoft.com/office/drawing/2014/main" id="{97562F30-5B20-41C0-B2BA-D9F0DE69216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6" name="avatar">
          <a:extLst>
            <a:ext uri="{FF2B5EF4-FFF2-40B4-BE49-F238E27FC236}">
              <a16:creationId xmlns:a16="http://schemas.microsoft.com/office/drawing/2014/main" id="{B8B67681-FD22-43C0-A5E6-6B14D2EB30FB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7" name="avatar">
          <a:extLst>
            <a:ext uri="{FF2B5EF4-FFF2-40B4-BE49-F238E27FC236}">
              <a16:creationId xmlns:a16="http://schemas.microsoft.com/office/drawing/2014/main" id="{1C83A9BC-DE95-4806-BBB5-15892A777C7F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8" name="avatar">
          <a:extLst>
            <a:ext uri="{FF2B5EF4-FFF2-40B4-BE49-F238E27FC236}">
              <a16:creationId xmlns:a16="http://schemas.microsoft.com/office/drawing/2014/main" id="{30EE0F1C-6243-4F6A-9B00-D1EFD8AA0FB9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459" name="avatar">
          <a:extLst>
            <a:ext uri="{FF2B5EF4-FFF2-40B4-BE49-F238E27FC236}">
              <a16:creationId xmlns:a16="http://schemas.microsoft.com/office/drawing/2014/main" id="{83F3542D-0FD6-405A-A757-06C971C5D2A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0" name="avatar">
          <a:extLst>
            <a:ext uri="{FF2B5EF4-FFF2-40B4-BE49-F238E27FC236}">
              <a16:creationId xmlns:a16="http://schemas.microsoft.com/office/drawing/2014/main" id="{40AA81B2-020D-4EAA-AD63-8FF34CE5F1A6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1" name="avatar">
          <a:extLst>
            <a:ext uri="{FF2B5EF4-FFF2-40B4-BE49-F238E27FC236}">
              <a16:creationId xmlns:a16="http://schemas.microsoft.com/office/drawing/2014/main" id="{3E3BCD1A-BB52-4390-9BAF-04E9FE0EB0FA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2" name="avatar">
          <a:extLst>
            <a:ext uri="{FF2B5EF4-FFF2-40B4-BE49-F238E27FC236}">
              <a16:creationId xmlns:a16="http://schemas.microsoft.com/office/drawing/2014/main" id="{513F8FEE-7BD2-4EBA-8870-A5E3BB2C85CB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3" name="avatar">
          <a:extLst>
            <a:ext uri="{FF2B5EF4-FFF2-40B4-BE49-F238E27FC236}">
              <a16:creationId xmlns:a16="http://schemas.microsoft.com/office/drawing/2014/main" id="{32B4E7D8-A597-4E46-A5A0-81538C098557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4" name="avatar">
          <a:extLst>
            <a:ext uri="{FF2B5EF4-FFF2-40B4-BE49-F238E27FC236}">
              <a16:creationId xmlns:a16="http://schemas.microsoft.com/office/drawing/2014/main" id="{20BE4EC7-AD8E-4488-A33C-673D4EB095FA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5" name="avatar">
          <a:extLst>
            <a:ext uri="{FF2B5EF4-FFF2-40B4-BE49-F238E27FC236}">
              <a16:creationId xmlns:a16="http://schemas.microsoft.com/office/drawing/2014/main" id="{3182E761-9270-47E3-9527-18877D4B39BA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6" name="avatar">
          <a:extLst>
            <a:ext uri="{FF2B5EF4-FFF2-40B4-BE49-F238E27FC236}">
              <a16:creationId xmlns:a16="http://schemas.microsoft.com/office/drawing/2014/main" id="{1B1BE3B2-5421-4AEF-B369-73D199AA2160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7" name="avatar">
          <a:extLst>
            <a:ext uri="{FF2B5EF4-FFF2-40B4-BE49-F238E27FC236}">
              <a16:creationId xmlns:a16="http://schemas.microsoft.com/office/drawing/2014/main" id="{5D6F997C-721F-4E36-B512-F9CAC1DAB3AF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8" name="avatar">
          <a:extLst>
            <a:ext uri="{FF2B5EF4-FFF2-40B4-BE49-F238E27FC236}">
              <a16:creationId xmlns:a16="http://schemas.microsoft.com/office/drawing/2014/main" id="{49DD07A0-6EF5-4FFF-943E-8C8AD573D0CF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469" name="avatar">
          <a:extLst>
            <a:ext uri="{FF2B5EF4-FFF2-40B4-BE49-F238E27FC236}">
              <a16:creationId xmlns:a16="http://schemas.microsoft.com/office/drawing/2014/main" id="{4E272F99-FE4D-4A75-B5F3-454AD424679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0" name="avatar">
          <a:extLst>
            <a:ext uri="{FF2B5EF4-FFF2-40B4-BE49-F238E27FC236}">
              <a16:creationId xmlns:a16="http://schemas.microsoft.com/office/drawing/2014/main" id="{C0125C65-59BC-44B0-98CE-05486EE4A48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1" name="avatar">
          <a:extLst>
            <a:ext uri="{FF2B5EF4-FFF2-40B4-BE49-F238E27FC236}">
              <a16:creationId xmlns:a16="http://schemas.microsoft.com/office/drawing/2014/main" id="{418CD053-835B-40F3-BE77-68134AF7F4D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2" name="avatar">
          <a:extLst>
            <a:ext uri="{FF2B5EF4-FFF2-40B4-BE49-F238E27FC236}">
              <a16:creationId xmlns:a16="http://schemas.microsoft.com/office/drawing/2014/main" id="{34B45186-C958-4BBA-9385-4C86A93F094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3" name="avatar">
          <a:extLst>
            <a:ext uri="{FF2B5EF4-FFF2-40B4-BE49-F238E27FC236}">
              <a16:creationId xmlns:a16="http://schemas.microsoft.com/office/drawing/2014/main" id="{54842764-A394-4AF0-94E5-CB0C8462B36D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4" name="avatar">
          <a:extLst>
            <a:ext uri="{FF2B5EF4-FFF2-40B4-BE49-F238E27FC236}">
              <a16:creationId xmlns:a16="http://schemas.microsoft.com/office/drawing/2014/main" id="{03E425AE-2FA3-4F4F-8CA8-F11E74E96EAD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5" name="avatar">
          <a:extLst>
            <a:ext uri="{FF2B5EF4-FFF2-40B4-BE49-F238E27FC236}">
              <a16:creationId xmlns:a16="http://schemas.microsoft.com/office/drawing/2014/main" id="{64A33F09-E87F-410B-B910-A1BB950BDCA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6" name="avatar">
          <a:extLst>
            <a:ext uri="{FF2B5EF4-FFF2-40B4-BE49-F238E27FC236}">
              <a16:creationId xmlns:a16="http://schemas.microsoft.com/office/drawing/2014/main" id="{E2A79EF9-12DE-4853-BA6F-3349E73DD60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7" name="avatar">
          <a:extLst>
            <a:ext uri="{FF2B5EF4-FFF2-40B4-BE49-F238E27FC236}">
              <a16:creationId xmlns:a16="http://schemas.microsoft.com/office/drawing/2014/main" id="{8DAD9684-5B8F-4CB7-9AE9-E44E0CF8887F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8" name="avatar">
          <a:extLst>
            <a:ext uri="{FF2B5EF4-FFF2-40B4-BE49-F238E27FC236}">
              <a16:creationId xmlns:a16="http://schemas.microsoft.com/office/drawing/2014/main" id="{45886C2A-E511-4560-A83B-1ECB84F88A8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79" name="avatar">
          <a:extLst>
            <a:ext uri="{FF2B5EF4-FFF2-40B4-BE49-F238E27FC236}">
              <a16:creationId xmlns:a16="http://schemas.microsoft.com/office/drawing/2014/main" id="{374ECDE6-6B9C-4DF4-BCDD-E36E7179EDD5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0" name="avatar">
          <a:extLst>
            <a:ext uri="{FF2B5EF4-FFF2-40B4-BE49-F238E27FC236}">
              <a16:creationId xmlns:a16="http://schemas.microsoft.com/office/drawing/2014/main" id="{79636E05-A30D-4FFC-B415-8B1D1593A17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1" name="avatar">
          <a:extLst>
            <a:ext uri="{FF2B5EF4-FFF2-40B4-BE49-F238E27FC236}">
              <a16:creationId xmlns:a16="http://schemas.microsoft.com/office/drawing/2014/main" id="{3BFAA0F2-D3E7-4E89-BF16-006143176DB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2" name="avatar">
          <a:extLst>
            <a:ext uri="{FF2B5EF4-FFF2-40B4-BE49-F238E27FC236}">
              <a16:creationId xmlns:a16="http://schemas.microsoft.com/office/drawing/2014/main" id="{443717A4-1D6E-494B-AFDE-A95C80B4D7E7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3" name="avatar">
          <a:extLst>
            <a:ext uri="{FF2B5EF4-FFF2-40B4-BE49-F238E27FC236}">
              <a16:creationId xmlns:a16="http://schemas.microsoft.com/office/drawing/2014/main" id="{B4E669AF-BD37-4213-A32D-A936F0B81D1C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4" name="avatar">
          <a:extLst>
            <a:ext uri="{FF2B5EF4-FFF2-40B4-BE49-F238E27FC236}">
              <a16:creationId xmlns:a16="http://schemas.microsoft.com/office/drawing/2014/main" id="{3909E71E-DCF4-4A8A-AD9F-FD99997BF3BC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5" name="avatar">
          <a:extLst>
            <a:ext uri="{FF2B5EF4-FFF2-40B4-BE49-F238E27FC236}">
              <a16:creationId xmlns:a16="http://schemas.microsoft.com/office/drawing/2014/main" id="{B6D7E923-451C-460F-A1E3-D898F83E5F15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6" name="avatar">
          <a:extLst>
            <a:ext uri="{FF2B5EF4-FFF2-40B4-BE49-F238E27FC236}">
              <a16:creationId xmlns:a16="http://schemas.microsoft.com/office/drawing/2014/main" id="{94E0E188-7E7B-4635-85B5-C7207D963D13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7" name="avatar">
          <a:extLst>
            <a:ext uri="{FF2B5EF4-FFF2-40B4-BE49-F238E27FC236}">
              <a16:creationId xmlns:a16="http://schemas.microsoft.com/office/drawing/2014/main" id="{E2D80DED-D5B3-4DEC-81CB-E8CCD3D108CA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8" name="avatar">
          <a:extLst>
            <a:ext uri="{FF2B5EF4-FFF2-40B4-BE49-F238E27FC236}">
              <a16:creationId xmlns:a16="http://schemas.microsoft.com/office/drawing/2014/main" id="{249D8D97-7F2E-42BB-930C-E62F5110CF8C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489" name="avatar">
          <a:extLst>
            <a:ext uri="{FF2B5EF4-FFF2-40B4-BE49-F238E27FC236}">
              <a16:creationId xmlns:a16="http://schemas.microsoft.com/office/drawing/2014/main" id="{4AB3D063-6CB0-4CFD-B7A4-7C68559ABCA3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0" name="avatar">
          <a:extLst>
            <a:ext uri="{FF2B5EF4-FFF2-40B4-BE49-F238E27FC236}">
              <a16:creationId xmlns:a16="http://schemas.microsoft.com/office/drawing/2014/main" id="{F8C9D6A3-3BD7-4705-BF6C-67EF71739077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1" name="avatar">
          <a:extLst>
            <a:ext uri="{FF2B5EF4-FFF2-40B4-BE49-F238E27FC236}">
              <a16:creationId xmlns:a16="http://schemas.microsoft.com/office/drawing/2014/main" id="{637CBA51-65AF-4E68-B4A6-1E4939D745C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2" name="avatar">
          <a:extLst>
            <a:ext uri="{FF2B5EF4-FFF2-40B4-BE49-F238E27FC236}">
              <a16:creationId xmlns:a16="http://schemas.microsoft.com/office/drawing/2014/main" id="{F89DBDDA-A2F1-4191-9FAE-985C301CA1B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3" name="avatar">
          <a:extLst>
            <a:ext uri="{FF2B5EF4-FFF2-40B4-BE49-F238E27FC236}">
              <a16:creationId xmlns:a16="http://schemas.microsoft.com/office/drawing/2014/main" id="{B50A5EC4-108F-46D3-B589-9359EC2FCD5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4" name="avatar">
          <a:extLst>
            <a:ext uri="{FF2B5EF4-FFF2-40B4-BE49-F238E27FC236}">
              <a16:creationId xmlns:a16="http://schemas.microsoft.com/office/drawing/2014/main" id="{7DD09A23-6155-4844-9481-9FF4F66CCA2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5" name="avatar">
          <a:extLst>
            <a:ext uri="{FF2B5EF4-FFF2-40B4-BE49-F238E27FC236}">
              <a16:creationId xmlns:a16="http://schemas.microsoft.com/office/drawing/2014/main" id="{01F52768-63C6-49D4-9F25-4FCF9E045A36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6" name="avatar">
          <a:extLst>
            <a:ext uri="{FF2B5EF4-FFF2-40B4-BE49-F238E27FC236}">
              <a16:creationId xmlns:a16="http://schemas.microsoft.com/office/drawing/2014/main" id="{989F9815-A123-4FE6-8FCA-CA0EA37A35F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7" name="avatar">
          <a:extLst>
            <a:ext uri="{FF2B5EF4-FFF2-40B4-BE49-F238E27FC236}">
              <a16:creationId xmlns:a16="http://schemas.microsoft.com/office/drawing/2014/main" id="{79F2A7AB-FDA1-4C50-8B2D-3FE64AA2D5CC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8" name="avatar">
          <a:extLst>
            <a:ext uri="{FF2B5EF4-FFF2-40B4-BE49-F238E27FC236}">
              <a16:creationId xmlns:a16="http://schemas.microsoft.com/office/drawing/2014/main" id="{FF61C75D-6DBD-4AE7-ABBF-FF8EAF4244EF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99" name="avatar">
          <a:extLst>
            <a:ext uri="{FF2B5EF4-FFF2-40B4-BE49-F238E27FC236}">
              <a16:creationId xmlns:a16="http://schemas.microsoft.com/office/drawing/2014/main" id="{24E8219D-0A24-41A0-8EA1-E17B0B5BAD8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0" name="avatar">
          <a:extLst>
            <a:ext uri="{FF2B5EF4-FFF2-40B4-BE49-F238E27FC236}">
              <a16:creationId xmlns:a16="http://schemas.microsoft.com/office/drawing/2014/main" id="{4D4CF4B9-24BB-4647-847D-ABE5C7764454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1" name="avatar">
          <a:extLst>
            <a:ext uri="{FF2B5EF4-FFF2-40B4-BE49-F238E27FC236}">
              <a16:creationId xmlns:a16="http://schemas.microsoft.com/office/drawing/2014/main" id="{CAC84E48-119C-452D-BF2E-AC27E74F454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2" name="avatar">
          <a:extLst>
            <a:ext uri="{FF2B5EF4-FFF2-40B4-BE49-F238E27FC236}">
              <a16:creationId xmlns:a16="http://schemas.microsoft.com/office/drawing/2014/main" id="{C5DDE124-1ACD-4AF4-9F51-1A946B60397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3" name="avatar">
          <a:extLst>
            <a:ext uri="{FF2B5EF4-FFF2-40B4-BE49-F238E27FC236}">
              <a16:creationId xmlns:a16="http://schemas.microsoft.com/office/drawing/2014/main" id="{188F6918-7151-44D8-9CF2-711BF8F00A7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4" name="avatar">
          <a:extLst>
            <a:ext uri="{FF2B5EF4-FFF2-40B4-BE49-F238E27FC236}">
              <a16:creationId xmlns:a16="http://schemas.microsoft.com/office/drawing/2014/main" id="{5B75DE72-0528-4501-A970-A5BC90808A6A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5" name="avatar">
          <a:extLst>
            <a:ext uri="{FF2B5EF4-FFF2-40B4-BE49-F238E27FC236}">
              <a16:creationId xmlns:a16="http://schemas.microsoft.com/office/drawing/2014/main" id="{7EDADDB5-F36E-406E-A3B8-200F05074B6D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6" name="avatar">
          <a:extLst>
            <a:ext uri="{FF2B5EF4-FFF2-40B4-BE49-F238E27FC236}">
              <a16:creationId xmlns:a16="http://schemas.microsoft.com/office/drawing/2014/main" id="{82EF8835-EB2E-4ED4-9B3E-324787AB1975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7" name="avatar">
          <a:extLst>
            <a:ext uri="{FF2B5EF4-FFF2-40B4-BE49-F238E27FC236}">
              <a16:creationId xmlns:a16="http://schemas.microsoft.com/office/drawing/2014/main" id="{119C9391-0277-4778-BC12-CDF8AD40892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8" name="avatar">
          <a:extLst>
            <a:ext uri="{FF2B5EF4-FFF2-40B4-BE49-F238E27FC236}">
              <a16:creationId xmlns:a16="http://schemas.microsoft.com/office/drawing/2014/main" id="{378F6208-FCE4-4452-9106-2FEF1ED8882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09" name="avatar">
          <a:extLst>
            <a:ext uri="{FF2B5EF4-FFF2-40B4-BE49-F238E27FC236}">
              <a16:creationId xmlns:a16="http://schemas.microsoft.com/office/drawing/2014/main" id="{9141A1EA-A4B3-4881-91EC-9E80E2D4941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0" name="avatar">
          <a:extLst>
            <a:ext uri="{FF2B5EF4-FFF2-40B4-BE49-F238E27FC236}">
              <a16:creationId xmlns:a16="http://schemas.microsoft.com/office/drawing/2014/main" id="{84ED47A3-A716-4949-BF08-196235604E2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1" name="avatar">
          <a:extLst>
            <a:ext uri="{FF2B5EF4-FFF2-40B4-BE49-F238E27FC236}">
              <a16:creationId xmlns:a16="http://schemas.microsoft.com/office/drawing/2014/main" id="{5209B8AB-64D5-48E3-AD61-DF304B97177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2" name="avatar">
          <a:extLst>
            <a:ext uri="{FF2B5EF4-FFF2-40B4-BE49-F238E27FC236}">
              <a16:creationId xmlns:a16="http://schemas.microsoft.com/office/drawing/2014/main" id="{74A29A2F-7EA4-487F-BA11-C10B777EDE4A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3" name="avatar">
          <a:extLst>
            <a:ext uri="{FF2B5EF4-FFF2-40B4-BE49-F238E27FC236}">
              <a16:creationId xmlns:a16="http://schemas.microsoft.com/office/drawing/2014/main" id="{934F7AB0-25DB-44F3-A72F-DFCFA2035FA8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4" name="avatar">
          <a:extLst>
            <a:ext uri="{FF2B5EF4-FFF2-40B4-BE49-F238E27FC236}">
              <a16:creationId xmlns:a16="http://schemas.microsoft.com/office/drawing/2014/main" id="{3CAF052F-3ACF-4F30-80C2-8594BCCF087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5" name="avatar">
          <a:extLst>
            <a:ext uri="{FF2B5EF4-FFF2-40B4-BE49-F238E27FC236}">
              <a16:creationId xmlns:a16="http://schemas.microsoft.com/office/drawing/2014/main" id="{5B21FF68-684C-4011-9C5F-CEDAF0D0ADE8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6" name="avatar">
          <a:extLst>
            <a:ext uri="{FF2B5EF4-FFF2-40B4-BE49-F238E27FC236}">
              <a16:creationId xmlns:a16="http://schemas.microsoft.com/office/drawing/2014/main" id="{1316CED3-8993-4FDF-A521-124AC7E5B182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7" name="avatar">
          <a:extLst>
            <a:ext uri="{FF2B5EF4-FFF2-40B4-BE49-F238E27FC236}">
              <a16:creationId xmlns:a16="http://schemas.microsoft.com/office/drawing/2014/main" id="{7E1A3C5C-9714-4274-8440-6D4D7980E45B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8" name="avatar">
          <a:extLst>
            <a:ext uri="{FF2B5EF4-FFF2-40B4-BE49-F238E27FC236}">
              <a16:creationId xmlns:a16="http://schemas.microsoft.com/office/drawing/2014/main" id="{58D6372A-9749-4015-A722-D8C962713762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519" name="avatar">
          <a:extLst>
            <a:ext uri="{FF2B5EF4-FFF2-40B4-BE49-F238E27FC236}">
              <a16:creationId xmlns:a16="http://schemas.microsoft.com/office/drawing/2014/main" id="{958F542B-3407-4A6E-B4DA-AD591C479E7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0" name="avatar">
          <a:extLst>
            <a:ext uri="{FF2B5EF4-FFF2-40B4-BE49-F238E27FC236}">
              <a16:creationId xmlns:a16="http://schemas.microsoft.com/office/drawing/2014/main" id="{CB3E3F10-BE94-41B3-B3AA-740B969170F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1" name="avatar">
          <a:extLst>
            <a:ext uri="{FF2B5EF4-FFF2-40B4-BE49-F238E27FC236}">
              <a16:creationId xmlns:a16="http://schemas.microsoft.com/office/drawing/2014/main" id="{934818BD-1DFB-4DE8-83F9-5E0E98E243A8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2" name="avatar">
          <a:extLst>
            <a:ext uri="{FF2B5EF4-FFF2-40B4-BE49-F238E27FC236}">
              <a16:creationId xmlns:a16="http://schemas.microsoft.com/office/drawing/2014/main" id="{8524D152-5DE1-40BD-A3A4-FF16817F7445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3" name="avatar">
          <a:extLst>
            <a:ext uri="{FF2B5EF4-FFF2-40B4-BE49-F238E27FC236}">
              <a16:creationId xmlns:a16="http://schemas.microsoft.com/office/drawing/2014/main" id="{CE2918C0-12F9-4333-A10F-94A596741130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4" name="avatar">
          <a:extLst>
            <a:ext uri="{FF2B5EF4-FFF2-40B4-BE49-F238E27FC236}">
              <a16:creationId xmlns:a16="http://schemas.microsoft.com/office/drawing/2014/main" id="{C92B7559-2043-4FF2-8E98-D8CFFD97937D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5" name="avatar">
          <a:extLst>
            <a:ext uri="{FF2B5EF4-FFF2-40B4-BE49-F238E27FC236}">
              <a16:creationId xmlns:a16="http://schemas.microsoft.com/office/drawing/2014/main" id="{CCDE4EA7-D1ED-40B7-AD92-402CB142617B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6" name="avatar">
          <a:extLst>
            <a:ext uri="{FF2B5EF4-FFF2-40B4-BE49-F238E27FC236}">
              <a16:creationId xmlns:a16="http://schemas.microsoft.com/office/drawing/2014/main" id="{BB8C6FBD-A131-46C0-8DF3-7350EC54C97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7" name="avatar">
          <a:extLst>
            <a:ext uri="{FF2B5EF4-FFF2-40B4-BE49-F238E27FC236}">
              <a16:creationId xmlns:a16="http://schemas.microsoft.com/office/drawing/2014/main" id="{ED429EE5-A833-42B1-B124-A3AB72DCA2E5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8" name="avatar">
          <a:extLst>
            <a:ext uri="{FF2B5EF4-FFF2-40B4-BE49-F238E27FC236}">
              <a16:creationId xmlns:a16="http://schemas.microsoft.com/office/drawing/2014/main" id="{CA4DBE21-5103-4411-BD3C-EE6C9A2D2D3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</xdr:row>
      <xdr:rowOff>0</xdr:rowOff>
    </xdr:from>
    <xdr:ext cx="304800" cy="304800"/>
    <xdr:sp macro="" textlink="">
      <xdr:nvSpPr>
        <xdr:cNvPr id="529" name="avatar">
          <a:extLst>
            <a:ext uri="{FF2B5EF4-FFF2-40B4-BE49-F238E27FC236}">
              <a16:creationId xmlns:a16="http://schemas.microsoft.com/office/drawing/2014/main" id="{80BEDD9A-0085-4FE6-88CC-D2D7326CF1E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0" name="avatar">
          <a:extLst>
            <a:ext uri="{FF2B5EF4-FFF2-40B4-BE49-F238E27FC236}">
              <a16:creationId xmlns:a16="http://schemas.microsoft.com/office/drawing/2014/main" id="{D29030AF-5FC8-4E2A-B4CD-CCE080CFD88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1" name="avatar">
          <a:extLst>
            <a:ext uri="{FF2B5EF4-FFF2-40B4-BE49-F238E27FC236}">
              <a16:creationId xmlns:a16="http://schemas.microsoft.com/office/drawing/2014/main" id="{F15E9449-8BD2-42FD-B6D6-6350E68FF5EB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2" name="avatar">
          <a:extLst>
            <a:ext uri="{FF2B5EF4-FFF2-40B4-BE49-F238E27FC236}">
              <a16:creationId xmlns:a16="http://schemas.microsoft.com/office/drawing/2014/main" id="{6620F524-C2C6-4129-B32E-E70B0AECA0C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3" name="avatar">
          <a:extLst>
            <a:ext uri="{FF2B5EF4-FFF2-40B4-BE49-F238E27FC236}">
              <a16:creationId xmlns:a16="http://schemas.microsoft.com/office/drawing/2014/main" id="{832F49D6-5687-4C69-A9BC-05848C907FC4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4" name="avatar">
          <a:extLst>
            <a:ext uri="{FF2B5EF4-FFF2-40B4-BE49-F238E27FC236}">
              <a16:creationId xmlns:a16="http://schemas.microsoft.com/office/drawing/2014/main" id="{169B569C-4120-4F0B-BCFB-C89042937B45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5" name="avatar">
          <a:extLst>
            <a:ext uri="{FF2B5EF4-FFF2-40B4-BE49-F238E27FC236}">
              <a16:creationId xmlns:a16="http://schemas.microsoft.com/office/drawing/2014/main" id="{FC5FB494-0497-463D-9AD2-CA73833CD67D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6" name="avatar">
          <a:extLst>
            <a:ext uri="{FF2B5EF4-FFF2-40B4-BE49-F238E27FC236}">
              <a16:creationId xmlns:a16="http://schemas.microsoft.com/office/drawing/2014/main" id="{EB1D604C-09C6-4972-9010-029DFEE108F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7" name="avatar">
          <a:extLst>
            <a:ext uri="{FF2B5EF4-FFF2-40B4-BE49-F238E27FC236}">
              <a16:creationId xmlns:a16="http://schemas.microsoft.com/office/drawing/2014/main" id="{FCC98AFA-FA95-475B-BDC3-4BA035EEA7CB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8" name="avatar">
          <a:extLst>
            <a:ext uri="{FF2B5EF4-FFF2-40B4-BE49-F238E27FC236}">
              <a16:creationId xmlns:a16="http://schemas.microsoft.com/office/drawing/2014/main" id="{6E2858FB-C772-4C29-8310-AB3476A2353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539" name="avatar">
          <a:extLst>
            <a:ext uri="{FF2B5EF4-FFF2-40B4-BE49-F238E27FC236}">
              <a16:creationId xmlns:a16="http://schemas.microsoft.com/office/drawing/2014/main" id="{34D34704-725F-4F93-8471-3A83B2D8115D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0" name="avatar">
          <a:extLst>
            <a:ext uri="{FF2B5EF4-FFF2-40B4-BE49-F238E27FC236}">
              <a16:creationId xmlns:a16="http://schemas.microsoft.com/office/drawing/2014/main" id="{A1CBF16D-46FC-4C36-A3A6-013AEB556E4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1" name="avatar">
          <a:extLst>
            <a:ext uri="{FF2B5EF4-FFF2-40B4-BE49-F238E27FC236}">
              <a16:creationId xmlns:a16="http://schemas.microsoft.com/office/drawing/2014/main" id="{62744408-DC69-4EFE-A46E-2330443CA57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2" name="avatar">
          <a:extLst>
            <a:ext uri="{FF2B5EF4-FFF2-40B4-BE49-F238E27FC236}">
              <a16:creationId xmlns:a16="http://schemas.microsoft.com/office/drawing/2014/main" id="{99E4C47E-BDDF-4549-A393-80C192A31505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3" name="avatar">
          <a:extLst>
            <a:ext uri="{FF2B5EF4-FFF2-40B4-BE49-F238E27FC236}">
              <a16:creationId xmlns:a16="http://schemas.microsoft.com/office/drawing/2014/main" id="{5D3125E8-54BE-482F-A933-29760636601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4" name="avatar">
          <a:extLst>
            <a:ext uri="{FF2B5EF4-FFF2-40B4-BE49-F238E27FC236}">
              <a16:creationId xmlns:a16="http://schemas.microsoft.com/office/drawing/2014/main" id="{92F08242-F593-497A-B915-D5B009455084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5" name="avatar">
          <a:extLst>
            <a:ext uri="{FF2B5EF4-FFF2-40B4-BE49-F238E27FC236}">
              <a16:creationId xmlns:a16="http://schemas.microsoft.com/office/drawing/2014/main" id="{60D34D73-B2EE-4138-8016-C9BCFEF5DA82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6" name="avatar">
          <a:extLst>
            <a:ext uri="{FF2B5EF4-FFF2-40B4-BE49-F238E27FC236}">
              <a16:creationId xmlns:a16="http://schemas.microsoft.com/office/drawing/2014/main" id="{4BB33B4E-9F96-4225-BD17-CF5A2E24C317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7" name="avatar">
          <a:extLst>
            <a:ext uri="{FF2B5EF4-FFF2-40B4-BE49-F238E27FC236}">
              <a16:creationId xmlns:a16="http://schemas.microsoft.com/office/drawing/2014/main" id="{1AF97A30-FC51-4837-B7E6-634E1FFDCC06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8" name="avatar">
          <a:extLst>
            <a:ext uri="{FF2B5EF4-FFF2-40B4-BE49-F238E27FC236}">
              <a16:creationId xmlns:a16="http://schemas.microsoft.com/office/drawing/2014/main" id="{26C2CC5B-43CB-4E12-A2D6-A049F45E09B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</xdr:row>
      <xdr:rowOff>0</xdr:rowOff>
    </xdr:from>
    <xdr:ext cx="304800" cy="304800"/>
    <xdr:sp macro="" textlink="">
      <xdr:nvSpPr>
        <xdr:cNvPr id="549" name="avatar">
          <a:extLst>
            <a:ext uri="{FF2B5EF4-FFF2-40B4-BE49-F238E27FC236}">
              <a16:creationId xmlns:a16="http://schemas.microsoft.com/office/drawing/2014/main" id="{C796AE94-F158-45C2-ACB8-317112C4371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0" name="avatar">
          <a:extLst>
            <a:ext uri="{FF2B5EF4-FFF2-40B4-BE49-F238E27FC236}">
              <a16:creationId xmlns:a16="http://schemas.microsoft.com/office/drawing/2014/main" id="{E6D0B4DE-DBA0-473E-AA1E-9CB1F8B89884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1" name="avatar">
          <a:extLst>
            <a:ext uri="{FF2B5EF4-FFF2-40B4-BE49-F238E27FC236}">
              <a16:creationId xmlns:a16="http://schemas.microsoft.com/office/drawing/2014/main" id="{3449AC5C-B735-48DC-9F5F-C1B4A459F5F7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2" name="avatar">
          <a:extLst>
            <a:ext uri="{FF2B5EF4-FFF2-40B4-BE49-F238E27FC236}">
              <a16:creationId xmlns:a16="http://schemas.microsoft.com/office/drawing/2014/main" id="{F82F9150-8D81-439A-8DE3-46767E29D1F4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3" name="avatar">
          <a:extLst>
            <a:ext uri="{FF2B5EF4-FFF2-40B4-BE49-F238E27FC236}">
              <a16:creationId xmlns:a16="http://schemas.microsoft.com/office/drawing/2014/main" id="{8C67BB05-DD8F-484C-8F84-4FE41B7857E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4" name="avatar">
          <a:extLst>
            <a:ext uri="{FF2B5EF4-FFF2-40B4-BE49-F238E27FC236}">
              <a16:creationId xmlns:a16="http://schemas.microsoft.com/office/drawing/2014/main" id="{4F27BD02-8D1F-466D-B6B2-9EA9CD5A7D2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5" name="avatar">
          <a:extLst>
            <a:ext uri="{FF2B5EF4-FFF2-40B4-BE49-F238E27FC236}">
              <a16:creationId xmlns:a16="http://schemas.microsoft.com/office/drawing/2014/main" id="{2B972D93-A50D-45E2-B376-7D374275907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6" name="avatar">
          <a:extLst>
            <a:ext uri="{FF2B5EF4-FFF2-40B4-BE49-F238E27FC236}">
              <a16:creationId xmlns:a16="http://schemas.microsoft.com/office/drawing/2014/main" id="{E5D8D126-7566-400D-9A4B-DAE122F5FE2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7" name="avatar">
          <a:extLst>
            <a:ext uri="{FF2B5EF4-FFF2-40B4-BE49-F238E27FC236}">
              <a16:creationId xmlns:a16="http://schemas.microsoft.com/office/drawing/2014/main" id="{FCA3AFB9-A404-483D-8BF0-C397BCF505D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8" name="avatar">
          <a:extLst>
            <a:ext uri="{FF2B5EF4-FFF2-40B4-BE49-F238E27FC236}">
              <a16:creationId xmlns:a16="http://schemas.microsoft.com/office/drawing/2014/main" id="{F515BBD2-363C-4F3D-B183-6922CD9F488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304800" cy="304800"/>
    <xdr:sp macro="" textlink="">
      <xdr:nvSpPr>
        <xdr:cNvPr id="559" name="avatar">
          <a:extLst>
            <a:ext uri="{FF2B5EF4-FFF2-40B4-BE49-F238E27FC236}">
              <a16:creationId xmlns:a16="http://schemas.microsoft.com/office/drawing/2014/main" id="{9BC93A9D-F194-4D6C-95D0-0C9E1F9DA64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0" name="avatar">
          <a:extLst>
            <a:ext uri="{FF2B5EF4-FFF2-40B4-BE49-F238E27FC236}">
              <a16:creationId xmlns:a16="http://schemas.microsoft.com/office/drawing/2014/main" id="{D9D239C4-FFA7-4990-8451-2EA7BC47A47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1" name="avatar">
          <a:extLst>
            <a:ext uri="{FF2B5EF4-FFF2-40B4-BE49-F238E27FC236}">
              <a16:creationId xmlns:a16="http://schemas.microsoft.com/office/drawing/2014/main" id="{B5E6FC96-E6A1-48AC-9FB8-D88E910F9B8F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2" name="avatar">
          <a:extLst>
            <a:ext uri="{FF2B5EF4-FFF2-40B4-BE49-F238E27FC236}">
              <a16:creationId xmlns:a16="http://schemas.microsoft.com/office/drawing/2014/main" id="{2B3E0198-0EB9-4056-ACD8-ED844084602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3" name="avatar">
          <a:extLst>
            <a:ext uri="{FF2B5EF4-FFF2-40B4-BE49-F238E27FC236}">
              <a16:creationId xmlns:a16="http://schemas.microsoft.com/office/drawing/2014/main" id="{55273832-6AF6-4BA7-8927-B7C57BBA6518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4" name="avatar">
          <a:extLst>
            <a:ext uri="{FF2B5EF4-FFF2-40B4-BE49-F238E27FC236}">
              <a16:creationId xmlns:a16="http://schemas.microsoft.com/office/drawing/2014/main" id="{F33296C7-541C-4F29-8490-23DCB4EA1BB2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5" name="avatar">
          <a:extLst>
            <a:ext uri="{FF2B5EF4-FFF2-40B4-BE49-F238E27FC236}">
              <a16:creationId xmlns:a16="http://schemas.microsoft.com/office/drawing/2014/main" id="{97973CA7-BA49-4A79-B1A2-CBC1399BE2D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6" name="avatar">
          <a:extLst>
            <a:ext uri="{FF2B5EF4-FFF2-40B4-BE49-F238E27FC236}">
              <a16:creationId xmlns:a16="http://schemas.microsoft.com/office/drawing/2014/main" id="{2B5B1230-FA77-4F4B-9007-0D416E7DD0D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7" name="avatar">
          <a:extLst>
            <a:ext uri="{FF2B5EF4-FFF2-40B4-BE49-F238E27FC236}">
              <a16:creationId xmlns:a16="http://schemas.microsoft.com/office/drawing/2014/main" id="{6B5EF07B-7513-483A-AB4C-2FD048502850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8" name="avatar">
          <a:extLst>
            <a:ext uri="{FF2B5EF4-FFF2-40B4-BE49-F238E27FC236}">
              <a16:creationId xmlns:a16="http://schemas.microsoft.com/office/drawing/2014/main" id="{F7AF1DAF-9371-4F62-9966-9416ECD5C4E5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569" name="avatar">
          <a:extLst>
            <a:ext uri="{FF2B5EF4-FFF2-40B4-BE49-F238E27FC236}">
              <a16:creationId xmlns:a16="http://schemas.microsoft.com/office/drawing/2014/main" id="{9F59B33A-4BAC-4531-B53A-B287ADE8CCED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0" name="avatar">
          <a:extLst>
            <a:ext uri="{FF2B5EF4-FFF2-40B4-BE49-F238E27FC236}">
              <a16:creationId xmlns:a16="http://schemas.microsoft.com/office/drawing/2014/main" id="{F69AE62F-9A75-4628-B77B-CDFC10B861CC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1" name="avatar">
          <a:extLst>
            <a:ext uri="{FF2B5EF4-FFF2-40B4-BE49-F238E27FC236}">
              <a16:creationId xmlns:a16="http://schemas.microsoft.com/office/drawing/2014/main" id="{BDB7DDA1-DCCA-470A-A590-F3811FCB1568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2" name="avatar">
          <a:extLst>
            <a:ext uri="{FF2B5EF4-FFF2-40B4-BE49-F238E27FC236}">
              <a16:creationId xmlns:a16="http://schemas.microsoft.com/office/drawing/2014/main" id="{1E720CDC-F010-4A23-87E8-AF9B3DB5230F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3" name="avatar">
          <a:extLst>
            <a:ext uri="{FF2B5EF4-FFF2-40B4-BE49-F238E27FC236}">
              <a16:creationId xmlns:a16="http://schemas.microsoft.com/office/drawing/2014/main" id="{2A98887E-8223-4355-94B4-3FA95FFBAC4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4" name="avatar">
          <a:extLst>
            <a:ext uri="{FF2B5EF4-FFF2-40B4-BE49-F238E27FC236}">
              <a16:creationId xmlns:a16="http://schemas.microsoft.com/office/drawing/2014/main" id="{A2C96785-2C13-429E-B520-994E95C3C79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5" name="avatar">
          <a:extLst>
            <a:ext uri="{FF2B5EF4-FFF2-40B4-BE49-F238E27FC236}">
              <a16:creationId xmlns:a16="http://schemas.microsoft.com/office/drawing/2014/main" id="{5890BEED-11D6-43A3-95A2-0F2FF1308E3C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6" name="avatar">
          <a:extLst>
            <a:ext uri="{FF2B5EF4-FFF2-40B4-BE49-F238E27FC236}">
              <a16:creationId xmlns:a16="http://schemas.microsoft.com/office/drawing/2014/main" id="{815C679A-2F01-4CDF-A2DC-53FFEEBFD54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7" name="avatar">
          <a:extLst>
            <a:ext uri="{FF2B5EF4-FFF2-40B4-BE49-F238E27FC236}">
              <a16:creationId xmlns:a16="http://schemas.microsoft.com/office/drawing/2014/main" id="{16886432-81B3-4ED3-BC95-71F53FA199B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8" name="avatar">
          <a:extLst>
            <a:ext uri="{FF2B5EF4-FFF2-40B4-BE49-F238E27FC236}">
              <a16:creationId xmlns:a16="http://schemas.microsoft.com/office/drawing/2014/main" id="{CBAE43C1-D91A-46CD-986E-CD0E8769031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79" name="avatar">
          <a:extLst>
            <a:ext uri="{FF2B5EF4-FFF2-40B4-BE49-F238E27FC236}">
              <a16:creationId xmlns:a16="http://schemas.microsoft.com/office/drawing/2014/main" id="{371FACC1-60FC-4D3A-88EB-392E26379C4F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0" name="avatar">
          <a:extLst>
            <a:ext uri="{FF2B5EF4-FFF2-40B4-BE49-F238E27FC236}">
              <a16:creationId xmlns:a16="http://schemas.microsoft.com/office/drawing/2014/main" id="{924C627A-E61A-48D2-8923-3F206C97B68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1" name="avatar">
          <a:extLst>
            <a:ext uri="{FF2B5EF4-FFF2-40B4-BE49-F238E27FC236}">
              <a16:creationId xmlns:a16="http://schemas.microsoft.com/office/drawing/2014/main" id="{C50B3DED-8E74-40B7-B676-07B704683604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2" name="avatar">
          <a:extLst>
            <a:ext uri="{FF2B5EF4-FFF2-40B4-BE49-F238E27FC236}">
              <a16:creationId xmlns:a16="http://schemas.microsoft.com/office/drawing/2014/main" id="{876687C4-F7DD-4877-BBC6-D1FE8AF51C8E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3" name="avatar">
          <a:extLst>
            <a:ext uri="{FF2B5EF4-FFF2-40B4-BE49-F238E27FC236}">
              <a16:creationId xmlns:a16="http://schemas.microsoft.com/office/drawing/2014/main" id="{2277595D-5944-4AE5-A42D-D6143B23041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4" name="avatar">
          <a:extLst>
            <a:ext uri="{FF2B5EF4-FFF2-40B4-BE49-F238E27FC236}">
              <a16:creationId xmlns:a16="http://schemas.microsoft.com/office/drawing/2014/main" id="{D8C74DA8-D257-4D0C-9C21-D3704F30BD2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5" name="avatar">
          <a:extLst>
            <a:ext uri="{FF2B5EF4-FFF2-40B4-BE49-F238E27FC236}">
              <a16:creationId xmlns:a16="http://schemas.microsoft.com/office/drawing/2014/main" id="{8C77BCA2-747E-4AF9-BC03-1BB11D878AA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6" name="avatar">
          <a:extLst>
            <a:ext uri="{FF2B5EF4-FFF2-40B4-BE49-F238E27FC236}">
              <a16:creationId xmlns:a16="http://schemas.microsoft.com/office/drawing/2014/main" id="{F9C79735-E953-4D77-A476-E2CB0334E353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7" name="avatar">
          <a:extLst>
            <a:ext uri="{FF2B5EF4-FFF2-40B4-BE49-F238E27FC236}">
              <a16:creationId xmlns:a16="http://schemas.microsoft.com/office/drawing/2014/main" id="{84DF59DC-CF86-4565-8A80-0DCE88FAB25D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8" name="avatar">
          <a:extLst>
            <a:ext uri="{FF2B5EF4-FFF2-40B4-BE49-F238E27FC236}">
              <a16:creationId xmlns:a16="http://schemas.microsoft.com/office/drawing/2014/main" id="{26186F99-3D90-452C-A604-8056CC59D95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589" name="avatar">
          <a:extLst>
            <a:ext uri="{FF2B5EF4-FFF2-40B4-BE49-F238E27FC236}">
              <a16:creationId xmlns:a16="http://schemas.microsoft.com/office/drawing/2014/main" id="{96800D19-F590-4C9A-8173-9FA3F09C3AC6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0" name="avatar">
          <a:extLst>
            <a:ext uri="{FF2B5EF4-FFF2-40B4-BE49-F238E27FC236}">
              <a16:creationId xmlns:a16="http://schemas.microsoft.com/office/drawing/2014/main" id="{A3D59623-4D34-43FC-8645-4B32C463A7D4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1" name="avatar">
          <a:extLst>
            <a:ext uri="{FF2B5EF4-FFF2-40B4-BE49-F238E27FC236}">
              <a16:creationId xmlns:a16="http://schemas.microsoft.com/office/drawing/2014/main" id="{2AF6B471-C209-44DD-82E0-E6BB7867601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2" name="avatar">
          <a:extLst>
            <a:ext uri="{FF2B5EF4-FFF2-40B4-BE49-F238E27FC236}">
              <a16:creationId xmlns:a16="http://schemas.microsoft.com/office/drawing/2014/main" id="{D0E1A240-6F04-46EC-8844-5144C7BDC9F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3" name="avatar">
          <a:extLst>
            <a:ext uri="{FF2B5EF4-FFF2-40B4-BE49-F238E27FC236}">
              <a16:creationId xmlns:a16="http://schemas.microsoft.com/office/drawing/2014/main" id="{CC9C01D5-7F7F-4B69-81F3-60267C18EEB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4" name="avatar">
          <a:extLst>
            <a:ext uri="{FF2B5EF4-FFF2-40B4-BE49-F238E27FC236}">
              <a16:creationId xmlns:a16="http://schemas.microsoft.com/office/drawing/2014/main" id="{584FD669-8023-49EB-9C4B-3EFD5C54ABCD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5" name="avatar">
          <a:extLst>
            <a:ext uri="{FF2B5EF4-FFF2-40B4-BE49-F238E27FC236}">
              <a16:creationId xmlns:a16="http://schemas.microsoft.com/office/drawing/2014/main" id="{F0548B97-74FF-4629-BDFE-8A1A8FB817F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6" name="avatar">
          <a:extLst>
            <a:ext uri="{FF2B5EF4-FFF2-40B4-BE49-F238E27FC236}">
              <a16:creationId xmlns:a16="http://schemas.microsoft.com/office/drawing/2014/main" id="{6BC659A5-4F14-496E-89E7-E81851419170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7" name="avatar">
          <a:extLst>
            <a:ext uri="{FF2B5EF4-FFF2-40B4-BE49-F238E27FC236}">
              <a16:creationId xmlns:a16="http://schemas.microsoft.com/office/drawing/2014/main" id="{8CC24A72-52C8-4AC6-A5C0-708FFBEEE357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8" name="avatar">
          <a:extLst>
            <a:ext uri="{FF2B5EF4-FFF2-40B4-BE49-F238E27FC236}">
              <a16:creationId xmlns:a16="http://schemas.microsoft.com/office/drawing/2014/main" id="{6C94510E-14C1-45A7-B5AB-66D860352C2E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99" name="avatar">
          <a:extLst>
            <a:ext uri="{FF2B5EF4-FFF2-40B4-BE49-F238E27FC236}">
              <a16:creationId xmlns:a16="http://schemas.microsoft.com/office/drawing/2014/main" id="{B1C6ED5A-3628-4F46-B905-1DF158188F1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0" name="avatar">
          <a:extLst>
            <a:ext uri="{FF2B5EF4-FFF2-40B4-BE49-F238E27FC236}">
              <a16:creationId xmlns:a16="http://schemas.microsoft.com/office/drawing/2014/main" id="{7000BD93-32C1-4213-A928-6BCE25F8B7C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1" name="avatar">
          <a:extLst>
            <a:ext uri="{FF2B5EF4-FFF2-40B4-BE49-F238E27FC236}">
              <a16:creationId xmlns:a16="http://schemas.microsoft.com/office/drawing/2014/main" id="{174A2EB2-252B-40AB-8EB8-EDDC11B70254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2" name="avatar">
          <a:extLst>
            <a:ext uri="{FF2B5EF4-FFF2-40B4-BE49-F238E27FC236}">
              <a16:creationId xmlns:a16="http://schemas.microsoft.com/office/drawing/2014/main" id="{B7AF26DA-4F1D-4C50-9207-BCB991E2FF9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3" name="avatar">
          <a:extLst>
            <a:ext uri="{FF2B5EF4-FFF2-40B4-BE49-F238E27FC236}">
              <a16:creationId xmlns:a16="http://schemas.microsoft.com/office/drawing/2014/main" id="{642950EB-CD6E-4E09-8772-2322F44B9D7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4" name="avatar">
          <a:extLst>
            <a:ext uri="{FF2B5EF4-FFF2-40B4-BE49-F238E27FC236}">
              <a16:creationId xmlns:a16="http://schemas.microsoft.com/office/drawing/2014/main" id="{02C87022-7BC5-426E-AEF5-86DD7B362A2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5" name="avatar">
          <a:extLst>
            <a:ext uri="{FF2B5EF4-FFF2-40B4-BE49-F238E27FC236}">
              <a16:creationId xmlns:a16="http://schemas.microsoft.com/office/drawing/2014/main" id="{2FFAF255-4978-472A-8677-AA32C13C5A4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6" name="avatar">
          <a:extLst>
            <a:ext uri="{FF2B5EF4-FFF2-40B4-BE49-F238E27FC236}">
              <a16:creationId xmlns:a16="http://schemas.microsoft.com/office/drawing/2014/main" id="{145C8D44-EACC-4B8D-97AD-BC27DF2FC46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7" name="avatar">
          <a:extLst>
            <a:ext uri="{FF2B5EF4-FFF2-40B4-BE49-F238E27FC236}">
              <a16:creationId xmlns:a16="http://schemas.microsoft.com/office/drawing/2014/main" id="{A8E8934B-4E42-4A45-9075-01C2EB43042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8" name="avatar">
          <a:extLst>
            <a:ext uri="{FF2B5EF4-FFF2-40B4-BE49-F238E27FC236}">
              <a16:creationId xmlns:a16="http://schemas.microsoft.com/office/drawing/2014/main" id="{7A665307-4478-4C1A-9A6C-8CD8955DE3B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</xdr:row>
      <xdr:rowOff>0</xdr:rowOff>
    </xdr:from>
    <xdr:ext cx="304800" cy="304800"/>
    <xdr:sp macro="" textlink="">
      <xdr:nvSpPr>
        <xdr:cNvPr id="609" name="avatar">
          <a:extLst>
            <a:ext uri="{FF2B5EF4-FFF2-40B4-BE49-F238E27FC236}">
              <a16:creationId xmlns:a16="http://schemas.microsoft.com/office/drawing/2014/main" id="{65AF4908-4C90-4D6C-97F8-E3B836EA246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0" name="avatar">
          <a:extLst>
            <a:ext uri="{FF2B5EF4-FFF2-40B4-BE49-F238E27FC236}">
              <a16:creationId xmlns:a16="http://schemas.microsoft.com/office/drawing/2014/main" id="{04FFCAAA-8916-4A23-B847-D4D0FF8328E2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1" name="avatar">
          <a:extLst>
            <a:ext uri="{FF2B5EF4-FFF2-40B4-BE49-F238E27FC236}">
              <a16:creationId xmlns:a16="http://schemas.microsoft.com/office/drawing/2014/main" id="{8FEDE3CB-DA64-4D84-80F6-6923F2C7DF28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2" name="avatar">
          <a:extLst>
            <a:ext uri="{FF2B5EF4-FFF2-40B4-BE49-F238E27FC236}">
              <a16:creationId xmlns:a16="http://schemas.microsoft.com/office/drawing/2014/main" id="{DE64A4BF-A633-42C2-B1E0-D0CF2ACBB2C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3" name="avatar">
          <a:extLst>
            <a:ext uri="{FF2B5EF4-FFF2-40B4-BE49-F238E27FC236}">
              <a16:creationId xmlns:a16="http://schemas.microsoft.com/office/drawing/2014/main" id="{EC071B44-1564-41F6-8875-8F072364C55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4" name="avatar">
          <a:extLst>
            <a:ext uri="{FF2B5EF4-FFF2-40B4-BE49-F238E27FC236}">
              <a16:creationId xmlns:a16="http://schemas.microsoft.com/office/drawing/2014/main" id="{52A230E4-B23D-46E6-8BF7-4F3E4C8B3793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5" name="avatar">
          <a:extLst>
            <a:ext uri="{FF2B5EF4-FFF2-40B4-BE49-F238E27FC236}">
              <a16:creationId xmlns:a16="http://schemas.microsoft.com/office/drawing/2014/main" id="{1E501396-9A14-4C33-9420-55E01BFB871E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6" name="avatar">
          <a:extLst>
            <a:ext uri="{FF2B5EF4-FFF2-40B4-BE49-F238E27FC236}">
              <a16:creationId xmlns:a16="http://schemas.microsoft.com/office/drawing/2014/main" id="{8BAC9CAC-93D7-4419-AD6B-1CE4E6FFEF74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7" name="avatar">
          <a:extLst>
            <a:ext uri="{FF2B5EF4-FFF2-40B4-BE49-F238E27FC236}">
              <a16:creationId xmlns:a16="http://schemas.microsoft.com/office/drawing/2014/main" id="{DE326BA0-1F97-4E58-92F9-3D44AEF1F9C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8" name="avatar">
          <a:extLst>
            <a:ext uri="{FF2B5EF4-FFF2-40B4-BE49-F238E27FC236}">
              <a16:creationId xmlns:a16="http://schemas.microsoft.com/office/drawing/2014/main" id="{E3622D26-F34D-4706-B697-3595A39BDC7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4</xdr:row>
      <xdr:rowOff>0</xdr:rowOff>
    </xdr:from>
    <xdr:ext cx="304800" cy="304800"/>
    <xdr:sp macro="" textlink="">
      <xdr:nvSpPr>
        <xdr:cNvPr id="619" name="avatar">
          <a:extLst>
            <a:ext uri="{FF2B5EF4-FFF2-40B4-BE49-F238E27FC236}">
              <a16:creationId xmlns:a16="http://schemas.microsoft.com/office/drawing/2014/main" id="{CF9D80EE-B619-4416-B4B5-0F143156AB9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0" name="avatar">
          <a:extLst>
            <a:ext uri="{FF2B5EF4-FFF2-40B4-BE49-F238E27FC236}">
              <a16:creationId xmlns:a16="http://schemas.microsoft.com/office/drawing/2014/main" id="{8C3EBE51-6F2A-4CAA-B113-DF635769FF92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1" name="avatar">
          <a:extLst>
            <a:ext uri="{FF2B5EF4-FFF2-40B4-BE49-F238E27FC236}">
              <a16:creationId xmlns:a16="http://schemas.microsoft.com/office/drawing/2014/main" id="{7B7223D4-77BB-48AE-B2D5-82B762B3CBAF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2" name="avatar">
          <a:extLst>
            <a:ext uri="{FF2B5EF4-FFF2-40B4-BE49-F238E27FC236}">
              <a16:creationId xmlns:a16="http://schemas.microsoft.com/office/drawing/2014/main" id="{293BA375-FAF4-4E6A-AB00-48AC53EF3E9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3" name="avatar">
          <a:extLst>
            <a:ext uri="{FF2B5EF4-FFF2-40B4-BE49-F238E27FC236}">
              <a16:creationId xmlns:a16="http://schemas.microsoft.com/office/drawing/2014/main" id="{F3C0FC5A-CE3E-47C9-90BF-CFD8CF611B11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4" name="avatar">
          <a:extLst>
            <a:ext uri="{FF2B5EF4-FFF2-40B4-BE49-F238E27FC236}">
              <a16:creationId xmlns:a16="http://schemas.microsoft.com/office/drawing/2014/main" id="{625AFF9E-821B-4E3E-8774-B9EAA6631CF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5" name="avatar">
          <a:extLst>
            <a:ext uri="{FF2B5EF4-FFF2-40B4-BE49-F238E27FC236}">
              <a16:creationId xmlns:a16="http://schemas.microsoft.com/office/drawing/2014/main" id="{9EEB7A81-1739-4F99-8B5B-0031A15B9B38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6" name="avatar">
          <a:extLst>
            <a:ext uri="{FF2B5EF4-FFF2-40B4-BE49-F238E27FC236}">
              <a16:creationId xmlns:a16="http://schemas.microsoft.com/office/drawing/2014/main" id="{A1CDC880-DD31-449F-BA2A-445C41D80A6E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7" name="avatar">
          <a:extLst>
            <a:ext uri="{FF2B5EF4-FFF2-40B4-BE49-F238E27FC236}">
              <a16:creationId xmlns:a16="http://schemas.microsoft.com/office/drawing/2014/main" id="{9CAE8E3E-88D7-45E8-8F70-2C559299EA7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8" name="avatar">
          <a:extLst>
            <a:ext uri="{FF2B5EF4-FFF2-40B4-BE49-F238E27FC236}">
              <a16:creationId xmlns:a16="http://schemas.microsoft.com/office/drawing/2014/main" id="{D37B9AAD-BF9B-41D3-AAE6-29BCA82C798F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4</xdr:row>
      <xdr:rowOff>0</xdr:rowOff>
    </xdr:from>
    <xdr:ext cx="304800" cy="304800"/>
    <xdr:sp macro="" textlink="">
      <xdr:nvSpPr>
        <xdr:cNvPr id="629" name="avatar">
          <a:extLst>
            <a:ext uri="{FF2B5EF4-FFF2-40B4-BE49-F238E27FC236}">
              <a16:creationId xmlns:a16="http://schemas.microsoft.com/office/drawing/2014/main" id="{9B2C2CC3-9D89-4A24-B88B-90324E2CDE5C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0" name="avatar">
          <a:extLst>
            <a:ext uri="{FF2B5EF4-FFF2-40B4-BE49-F238E27FC236}">
              <a16:creationId xmlns:a16="http://schemas.microsoft.com/office/drawing/2014/main" id="{A4F92220-83B2-4953-A3C2-732624526846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1" name="avatar">
          <a:extLst>
            <a:ext uri="{FF2B5EF4-FFF2-40B4-BE49-F238E27FC236}">
              <a16:creationId xmlns:a16="http://schemas.microsoft.com/office/drawing/2014/main" id="{BAC67C5A-F6A1-498C-B956-B7C8B85259B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2" name="avatar">
          <a:extLst>
            <a:ext uri="{FF2B5EF4-FFF2-40B4-BE49-F238E27FC236}">
              <a16:creationId xmlns:a16="http://schemas.microsoft.com/office/drawing/2014/main" id="{C4ED1D0C-82C4-46C0-A81A-4BC1658DF305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3" name="avatar">
          <a:extLst>
            <a:ext uri="{FF2B5EF4-FFF2-40B4-BE49-F238E27FC236}">
              <a16:creationId xmlns:a16="http://schemas.microsoft.com/office/drawing/2014/main" id="{2739D113-F312-4104-8DD2-C4E10D162AFB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4" name="avatar">
          <a:extLst>
            <a:ext uri="{FF2B5EF4-FFF2-40B4-BE49-F238E27FC236}">
              <a16:creationId xmlns:a16="http://schemas.microsoft.com/office/drawing/2014/main" id="{3A995368-F85F-40B3-9685-99CDB997D66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5" name="avatar">
          <a:extLst>
            <a:ext uri="{FF2B5EF4-FFF2-40B4-BE49-F238E27FC236}">
              <a16:creationId xmlns:a16="http://schemas.microsoft.com/office/drawing/2014/main" id="{5C7E02E2-11EB-49B7-9988-C5DC84ACA7B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6" name="avatar">
          <a:extLst>
            <a:ext uri="{FF2B5EF4-FFF2-40B4-BE49-F238E27FC236}">
              <a16:creationId xmlns:a16="http://schemas.microsoft.com/office/drawing/2014/main" id="{DA73451C-604C-405E-A50D-FEC3087CEF88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7" name="avatar">
          <a:extLst>
            <a:ext uri="{FF2B5EF4-FFF2-40B4-BE49-F238E27FC236}">
              <a16:creationId xmlns:a16="http://schemas.microsoft.com/office/drawing/2014/main" id="{D420ADD6-7F08-4801-B6AD-1F17DE599D9A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8" name="avatar">
          <a:extLst>
            <a:ext uri="{FF2B5EF4-FFF2-40B4-BE49-F238E27FC236}">
              <a16:creationId xmlns:a16="http://schemas.microsoft.com/office/drawing/2014/main" id="{83FA596E-D2A1-4971-83C4-EB09B2C5EAB3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</xdr:row>
      <xdr:rowOff>0</xdr:rowOff>
    </xdr:from>
    <xdr:ext cx="304800" cy="304800"/>
    <xdr:sp macro="" textlink="">
      <xdr:nvSpPr>
        <xdr:cNvPr id="639" name="avatar">
          <a:extLst>
            <a:ext uri="{FF2B5EF4-FFF2-40B4-BE49-F238E27FC236}">
              <a16:creationId xmlns:a16="http://schemas.microsoft.com/office/drawing/2014/main" id="{99778642-5275-46E3-9B29-AF984EE9B6F9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0" name="avatar">
          <a:extLst>
            <a:ext uri="{FF2B5EF4-FFF2-40B4-BE49-F238E27FC236}">
              <a16:creationId xmlns:a16="http://schemas.microsoft.com/office/drawing/2014/main" id="{5332E6B6-FD7B-491D-9846-011BC19D655E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1" name="avatar">
          <a:extLst>
            <a:ext uri="{FF2B5EF4-FFF2-40B4-BE49-F238E27FC236}">
              <a16:creationId xmlns:a16="http://schemas.microsoft.com/office/drawing/2014/main" id="{44A30D0B-DC8A-43A9-9B58-4236BDC18CA5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2" name="avatar">
          <a:extLst>
            <a:ext uri="{FF2B5EF4-FFF2-40B4-BE49-F238E27FC236}">
              <a16:creationId xmlns:a16="http://schemas.microsoft.com/office/drawing/2014/main" id="{27CF1BB2-9AB2-42F6-805F-61F34BD196F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3" name="avatar">
          <a:extLst>
            <a:ext uri="{FF2B5EF4-FFF2-40B4-BE49-F238E27FC236}">
              <a16:creationId xmlns:a16="http://schemas.microsoft.com/office/drawing/2014/main" id="{689CACF9-BDE0-4124-B34E-FA3D9E7A45F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4" name="avatar">
          <a:extLst>
            <a:ext uri="{FF2B5EF4-FFF2-40B4-BE49-F238E27FC236}">
              <a16:creationId xmlns:a16="http://schemas.microsoft.com/office/drawing/2014/main" id="{59C4B6BF-A4A4-45A0-B2B4-CC84C17A58C0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5" name="avatar">
          <a:extLst>
            <a:ext uri="{FF2B5EF4-FFF2-40B4-BE49-F238E27FC236}">
              <a16:creationId xmlns:a16="http://schemas.microsoft.com/office/drawing/2014/main" id="{3D6D6CDE-639C-4D38-B790-8B219CD5CAD8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6" name="avatar">
          <a:extLst>
            <a:ext uri="{FF2B5EF4-FFF2-40B4-BE49-F238E27FC236}">
              <a16:creationId xmlns:a16="http://schemas.microsoft.com/office/drawing/2014/main" id="{D2BDF675-AD60-48A2-9303-5A42B8B81FD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7" name="avatar">
          <a:extLst>
            <a:ext uri="{FF2B5EF4-FFF2-40B4-BE49-F238E27FC236}">
              <a16:creationId xmlns:a16="http://schemas.microsoft.com/office/drawing/2014/main" id="{B21668E1-04B2-4749-837F-85162F05CF4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8" name="avatar">
          <a:extLst>
            <a:ext uri="{FF2B5EF4-FFF2-40B4-BE49-F238E27FC236}">
              <a16:creationId xmlns:a16="http://schemas.microsoft.com/office/drawing/2014/main" id="{59B98908-C69B-48D6-8599-E873EA71B262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649" name="avatar">
          <a:extLst>
            <a:ext uri="{FF2B5EF4-FFF2-40B4-BE49-F238E27FC236}">
              <a16:creationId xmlns:a16="http://schemas.microsoft.com/office/drawing/2014/main" id="{BF46F788-69AF-4EA8-B999-36EDEF0BEC5F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0" name="avatar">
          <a:extLst>
            <a:ext uri="{FF2B5EF4-FFF2-40B4-BE49-F238E27FC236}">
              <a16:creationId xmlns:a16="http://schemas.microsoft.com/office/drawing/2014/main" id="{A7FB91D9-44A8-4F30-9644-91F0B8A973EC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1" name="avatar">
          <a:extLst>
            <a:ext uri="{FF2B5EF4-FFF2-40B4-BE49-F238E27FC236}">
              <a16:creationId xmlns:a16="http://schemas.microsoft.com/office/drawing/2014/main" id="{1C672F2D-17C6-4C2C-A88C-EFEAC152021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2" name="avatar">
          <a:extLst>
            <a:ext uri="{FF2B5EF4-FFF2-40B4-BE49-F238E27FC236}">
              <a16:creationId xmlns:a16="http://schemas.microsoft.com/office/drawing/2014/main" id="{838E7738-FCE7-4FDA-872E-D6F9075C867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3" name="avatar">
          <a:extLst>
            <a:ext uri="{FF2B5EF4-FFF2-40B4-BE49-F238E27FC236}">
              <a16:creationId xmlns:a16="http://schemas.microsoft.com/office/drawing/2014/main" id="{C7B6F3A4-E1DE-41F8-AB26-686B62D8C40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4" name="avatar">
          <a:extLst>
            <a:ext uri="{FF2B5EF4-FFF2-40B4-BE49-F238E27FC236}">
              <a16:creationId xmlns:a16="http://schemas.microsoft.com/office/drawing/2014/main" id="{E0E60C79-308D-4077-B926-8C5B8132E85E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5" name="avatar">
          <a:extLst>
            <a:ext uri="{FF2B5EF4-FFF2-40B4-BE49-F238E27FC236}">
              <a16:creationId xmlns:a16="http://schemas.microsoft.com/office/drawing/2014/main" id="{65AD980D-4C25-4580-8DDC-90B5897BC6ED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6" name="avatar">
          <a:extLst>
            <a:ext uri="{FF2B5EF4-FFF2-40B4-BE49-F238E27FC236}">
              <a16:creationId xmlns:a16="http://schemas.microsoft.com/office/drawing/2014/main" id="{211C0851-C1C3-4893-A561-145786B85771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7" name="avatar">
          <a:extLst>
            <a:ext uri="{FF2B5EF4-FFF2-40B4-BE49-F238E27FC236}">
              <a16:creationId xmlns:a16="http://schemas.microsoft.com/office/drawing/2014/main" id="{4C2E2D26-1E91-4BE9-84FD-E124C4DC17B0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8" name="avatar">
          <a:extLst>
            <a:ext uri="{FF2B5EF4-FFF2-40B4-BE49-F238E27FC236}">
              <a16:creationId xmlns:a16="http://schemas.microsoft.com/office/drawing/2014/main" id="{CC497D53-3B59-42D1-A37D-1BEAF6B91E7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4800"/>
    <xdr:sp macro="" textlink="">
      <xdr:nvSpPr>
        <xdr:cNvPr id="659" name="avatar">
          <a:extLst>
            <a:ext uri="{FF2B5EF4-FFF2-40B4-BE49-F238E27FC236}">
              <a16:creationId xmlns:a16="http://schemas.microsoft.com/office/drawing/2014/main" id="{79DDFA82-B72B-49B5-9A70-DCC7922B79B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0" name="avatar">
          <a:extLst>
            <a:ext uri="{FF2B5EF4-FFF2-40B4-BE49-F238E27FC236}">
              <a16:creationId xmlns:a16="http://schemas.microsoft.com/office/drawing/2014/main" id="{CCF1390B-911F-4394-869C-501856046A4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1" name="avatar">
          <a:extLst>
            <a:ext uri="{FF2B5EF4-FFF2-40B4-BE49-F238E27FC236}">
              <a16:creationId xmlns:a16="http://schemas.microsoft.com/office/drawing/2014/main" id="{83EBEB50-87F3-4981-AB7E-43D65D643F20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2" name="avatar">
          <a:extLst>
            <a:ext uri="{FF2B5EF4-FFF2-40B4-BE49-F238E27FC236}">
              <a16:creationId xmlns:a16="http://schemas.microsoft.com/office/drawing/2014/main" id="{541964A2-9F1C-47BF-BBC8-F75A30B36C86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3" name="avatar">
          <a:extLst>
            <a:ext uri="{FF2B5EF4-FFF2-40B4-BE49-F238E27FC236}">
              <a16:creationId xmlns:a16="http://schemas.microsoft.com/office/drawing/2014/main" id="{5CB66F5A-C003-4600-9AF9-27DEE16C3254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4" name="avatar">
          <a:extLst>
            <a:ext uri="{FF2B5EF4-FFF2-40B4-BE49-F238E27FC236}">
              <a16:creationId xmlns:a16="http://schemas.microsoft.com/office/drawing/2014/main" id="{ABD26AC8-D9FD-44E0-820B-291CB22D206A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5" name="avatar">
          <a:extLst>
            <a:ext uri="{FF2B5EF4-FFF2-40B4-BE49-F238E27FC236}">
              <a16:creationId xmlns:a16="http://schemas.microsoft.com/office/drawing/2014/main" id="{F1F5F10B-53AB-4DB5-AD91-8308D52A34D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6" name="avatar">
          <a:extLst>
            <a:ext uri="{FF2B5EF4-FFF2-40B4-BE49-F238E27FC236}">
              <a16:creationId xmlns:a16="http://schemas.microsoft.com/office/drawing/2014/main" id="{762E9433-B41A-4C7F-80C0-36D839976A25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7" name="avatar">
          <a:extLst>
            <a:ext uri="{FF2B5EF4-FFF2-40B4-BE49-F238E27FC236}">
              <a16:creationId xmlns:a16="http://schemas.microsoft.com/office/drawing/2014/main" id="{77529AE4-3B45-4D4E-B23A-F60C417735B4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8" name="avatar">
          <a:extLst>
            <a:ext uri="{FF2B5EF4-FFF2-40B4-BE49-F238E27FC236}">
              <a16:creationId xmlns:a16="http://schemas.microsoft.com/office/drawing/2014/main" id="{F5E432A0-0494-450E-B7CD-59130B1F3D26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4</xdr:row>
      <xdr:rowOff>0</xdr:rowOff>
    </xdr:from>
    <xdr:ext cx="304800" cy="304800"/>
    <xdr:sp macro="" textlink="">
      <xdr:nvSpPr>
        <xdr:cNvPr id="669" name="avatar">
          <a:extLst>
            <a:ext uri="{FF2B5EF4-FFF2-40B4-BE49-F238E27FC236}">
              <a16:creationId xmlns:a16="http://schemas.microsoft.com/office/drawing/2014/main" id="{75896192-14FA-464F-AD16-435C4ACBA8B1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0" name="avatar">
          <a:extLst>
            <a:ext uri="{FF2B5EF4-FFF2-40B4-BE49-F238E27FC236}">
              <a16:creationId xmlns:a16="http://schemas.microsoft.com/office/drawing/2014/main" id="{B02AE0BD-0C64-4A3C-AF62-0B903737E529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1" name="avatar">
          <a:extLst>
            <a:ext uri="{FF2B5EF4-FFF2-40B4-BE49-F238E27FC236}">
              <a16:creationId xmlns:a16="http://schemas.microsoft.com/office/drawing/2014/main" id="{16C69CD5-EB55-47C6-9B92-C47FEA5AF344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2" name="avatar">
          <a:extLst>
            <a:ext uri="{FF2B5EF4-FFF2-40B4-BE49-F238E27FC236}">
              <a16:creationId xmlns:a16="http://schemas.microsoft.com/office/drawing/2014/main" id="{445CE2A3-559E-47C0-8090-0DB1C0C4B28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3" name="avatar">
          <a:extLst>
            <a:ext uri="{FF2B5EF4-FFF2-40B4-BE49-F238E27FC236}">
              <a16:creationId xmlns:a16="http://schemas.microsoft.com/office/drawing/2014/main" id="{D2CDF93C-AE02-4461-BEEF-A5BD7ADBF66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4" name="avatar">
          <a:extLst>
            <a:ext uri="{FF2B5EF4-FFF2-40B4-BE49-F238E27FC236}">
              <a16:creationId xmlns:a16="http://schemas.microsoft.com/office/drawing/2014/main" id="{6C5FEA4B-A2D7-4D20-BB4E-3C6478BE38D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5" name="avatar">
          <a:extLst>
            <a:ext uri="{FF2B5EF4-FFF2-40B4-BE49-F238E27FC236}">
              <a16:creationId xmlns:a16="http://schemas.microsoft.com/office/drawing/2014/main" id="{C5A6C88B-E8F0-4157-9323-36535344D2B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6" name="avatar">
          <a:extLst>
            <a:ext uri="{FF2B5EF4-FFF2-40B4-BE49-F238E27FC236}">
              <a16:creationId xmlns:a16="http://schemas.microsoft.com/office/drawing/2014/main" id="{7F1853F4-2584-4FCB-B627-48B43BAFD77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7" name="avatar">
          <a:extLst>
            <a:ext uri="{FF2B5EF4-FFF2-40B4-BE49-F238E27FC236}">
              <a16:creationId xmlns:a16="http://schemas.microsoft.com/office/drawing/2014/main" id="{DFF7574F-220A-4E3F-BEDB-98125D1B72E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8" name="avatar">
          <a:extLst>
            <a:ext uri="{FF2B5EF4-FFF2-40B4-BE49-F238E27FC236}">
              <a16:creationId xmlns:a16="http://schemas.microsoft.com/office/drawing/2014/main" id="{4AA5EE9B-FD36-41FE-AFC1-72E2B4FBA8A8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79" name="avatar">
          <a:extLst>
            <a:ext uri="{FF2B5EF4-FFF2-40B4-BE49-F238E27FC236}">
              <a16:creationId xmlns:a16="http://schemas.microsoft.com/office/drawing/2014/main" id="{0E2DD987-A01C-4B03-A156-2565E073A26D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0" name="avatar">
          <a:extLst>
            <a:ext uri="{FF2B5EF4-FFF2-40B4-BE49-F238E27FC236}">
              <a16:creationId xmlns:a16="http://schemas.microsoft.com/office/drawing/2014/main" id="{9AC369B8-9DF8-43F1-9B3D-40D04228F14B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1" name="avatar">
          <a:extLst>
            <a:ext uri="{FF2B5EF4-FFF2-40B4-BE49-F238E27FC236}">
              <a16:creationId xmlns:a16="http://schemas.microsoft.com/office/drawing/2014/main" id="{B64E69DF-839C-4B1C-8BB0-801B46E85958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2" name="avatar">
          <a:extLst>
            <a:ext uri="{FF2B5EF4-FFF2-40B4-BE49-F238E27FC236}">
              <a16:creationId xmlns:a16="http://schemas.microsoft.com/office/drawing/2014/main" id="{83679F0C-86AB-414E-8B76-9E108B5055F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3" name="avatar">
          <a:extLst>
            <a:ext uri="{FF2B5EF4-FFF2-40B4-BE49-F238E27FC236}">
              <a16:creationId xmlns:a16="http://schemas.microsoft.com/office/drawing/2014/main" id="{4F84332E-321D-48D4-BC71-875D8CD624B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4" name="avatar">
          <a:extLst>
            <a:ext uri="{FF2B5EF4-FFF2-40B4-BE49-F238E27FC236}">
              <a16:creationId xmlns:a16="http://schemas.microsoft.com/office/drawing/2014/main" id="{00BCFDE8-BDB7-47BC-B5EE-3E48054944F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5" name="avatar">
          <a:extLst>
            <a:ext uri="{FF2B5EF4-FFF2-40B4-BE49-F238E27FC236}">
              <a16:creationId xmlns:a16="http://schemas.microsoft.com/office/drawing/2014/main" id="{25B0FD15-E179-465E-84E4-C25F1AA3FFC9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6" name="avatar">
          <a:extLst>
            <a:ext uri="{FF2B5EF4-FFF2-40B4-BE49-F238E27FC236}">
              <a16:creationId xmlns:a16="http://schemas.microsoft.com/office/drawing/2014/main" id="{9900F552-F3B6-4B0E-88FE-8786FB7247F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7" name="avatar">
          <a:extLst>
            <a:ext uri="{FF2B5EF4-FFF2-40B4-BE49-F238E27FC236}">
              <a16:creationId xmlns:a16="http://schemas.microsoft.com/office/drawing/2014/main" id="{FE993000-8FCA-4A68-ADCE-B265414DDF3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8" name="avatar">
          <a:extLst>
            <a:ext uri="{FF2B5EF4-FFF2-40B4-BE49-F238E27FC236}">
              <a16:creationId xmlns:a16="http://schemas.microsoft.com/office/drawing/2014/main" id="{18E2BD4F-85BC-4D09-8413-076F4C1A9FEB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4</xdr:row>
      <xdr:rowOff>0</xdr:rowOff>
    </xdr:from>
    <xdr:ext cx="304800" cy="304800"/>
    <xdr:sp macro="" textlink="">
      <xdr:nvSpPr>
        <xdr:cNvPr id="689" name="avatar">
          <a:extLst>
            <a:ext uri="{FF2B5EF4-FFF2-40B4-BE49-F238E27FC236}">
              <a16:creationId xmlns:a16="http://schemas.microsoft.com/office/drawing/2014/main" id="{BD149845-36A8-4358-AFEF-44A866E3432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0" name="avatar">
          <a:extLst>
            <a:ext uri="{FF2B5EF4-FFF2-40B4-BE49-F238E27FC236}">
              <a16:creationId xmlns:a16="http://schemas.microsoft.com/office/drawing/2014/main" id="{F26B7099-9028-493E-929A-078859D7AB77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1" name="avatar">
          <a:extLst>
            <a:ext uri="{FF2B5EF4-FFF2-40B4-BE49-F238E27FC236}">
              <a16:creationId xmlns:a16="http://schemas.microsoft.com/office/drawing/2014/main" id="{1968EFA8-5E02-4466-9E8A-E941FCC6DAC5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2" name="avatar">
          <a:extLst>
            <a:ext uri="{FF2B5EF4-FFF2-40B4-BE49-F238E27FC236}">
              <a16:creationId xmlns:a16="http://schemas.microsoft.com/office/drawing/2014/main" id="{F7E17E88-AC8E-47E8-A6B0-0E83925FEE7C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3" name="avatar">
          <a:extLst>
            <a:ext uri="{FF2B5EF4-FFF2-40B4-BE49-F238E27FC236}">
              <a16:creationId xmlns:a16="http://schemas.microsoft.com/office/drawing/2014/main" id="{EFCF5C03-1931-4A9F-AE7F-D681DF4C2DD4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4" name="avatar">
          <a:extLst>
            <a:ext uri="{FF2B5EF4-FFF2-40B4-BE49-F238E27FC236}">
              <a16:creationId xmlns:a16="http://schemas.microsoft.com/office/drawing/2014/main" id="{3164E13A-D163-4AF9-BB8D-B18385128997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5" name="avatar">
          <a:extLst>
            <a:ext uri="{FF2B5EF4-FFF2-40B4-BE49-F238E27FC236}">
              <a16:creationId xmlns:a16="http://schemas.microsoft.com/office/drawing/2014/main" id="{570B984D-3A24-49B3-AFD4-0DBF0E73652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6" name="avatar">
          <a:extLst>
            <a:ext uri="{FF2B5EF4-FFF2-40B4-BE49-F238E27FC236}">
              <a16:creationId xmlns:a16="http://schemas.microsoft.com/office/drawing/2014/main" id="{5C08E83E-2BA8-4B54-BDE6-138334E892C7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7" name="avatar">
          <a:extLst>
            <a:ext uri="{FF2B5EF4-FFF2-40B4-BE49-F238E27FC236}">
              <a16:creationId xmlns:a16="http://schemas.microsoft.com/office/drawing/2014/main" id="{8CDEC74E-C1B4-41B6-A274-4738E96DD735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8" name="avatar">
          <a:extLst>
            <a:ext uri="{FF2B5EF4-FFF2-40B4-BE49-F238E27FC236}">
              <a16:creationId xmlns:a16="http://schemas.microsoft.com/office/drawing/2014/main" id="{D43D0F31-7C9B-40E3-BFDD-5F451496ACD6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4</xdr:row>
      <xdr:rowOff>0</xdr:rowOff>
    </xdr:from>
    <xdr:ext cx="304800" cy="304800"/>
    <xdr:sp macro="" textlink="">
      <xdr:nvSpPr>
        <xdr:cNvPr id="699" name="avatar">
          <a:extLst>
            <a:ext uri="{FF2B5EF4-FFF2-40B4-BE49-F238E27FC236}">
              <a16:creationId xmlns:a16="http://schemas.microsoft.com/office/drawing/2014/main" id="{D29CDA6A-C49E-4801-A65B-23C9560594EB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0" name="avatar">
          <a:extLst>
            <a:ext uri="{FF2B5EF4-FFF2-40B4-BE49-F238E27FC236}">
              <a16:creationId xmlns:a16="http://schemas.microsoft.com/office/drawing/2014/main" id="{6831DD4B-AFE9-44C1-B55F-69EDC8719D11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1" name="avatar">
          <a:extLst>
            <a:ext uri="{FF2B5EF4-FFF2-40B4-BE49-F238E27FC236}">
              <a16:creationId xmlns:a16="http://schemas.microsoft.com/office/drawing/2014/main" id="{965E67AD-DD4B-4822-BCEE-918743613E1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2" name="avatar">
          <a:extLst>
            <a:ext uri="{FF2B5EF4-FFF2-40B4-BE49-F238E27FC236}">
              <a16:creationId xmlns:a16="http://schemas.microsoft.com/office/drawing/2014/main" id="{BDD6DFEB-D2F9-42E0-9241-89E0345492A8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3" name="avatar">
          <a:extLst>
            <a:ext uri="{FF2B5EF4-FFF2-40B4-BE49-F238E27FC236}">
              <a16:creationId xmlns:a16="http://schemas.microsoft.com/office/drawing/2014/main" id="{8D0C3130-FD4A-4E63-ADFA-FF8480B610A9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4" name="avatar">
          <a:extLst>
            <a:ext uri="{FF2B5EF4-FFF2-40B4-BE49-F238E27FC236}">
              <a16:creationId xmlns:a16="http://schemas.microsoft.com/office/drawing/2014/main" id="{9781204A-A216-40C5-B6EF-A6B06B86D39A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5" name="avatar">
          <a:extLst>
            <a:ext uri="{FF2B5EF4-FFF2-40B4-BE49-F238E27FC236}">
              <a16:creationId xmlns:a16="http://schemas.microsoft.com/office/drawing/2014/main" id="{A61DFBC3-DECB-45A9-9122-517BA3AF85C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6" name="avatar">
          <a:extLst>
            <a:ext uri="{FF2B5EF4-FFF2-40B4-BE49-F238E27FC236}">
              <a16:creationId xmlns:a16="http://schemas.microsoft.com/office/drawing/2014/main" id="{55D20274-5560-4676-B5E1-C68FD07433E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7" name="avatar">
          <a:extLst>
            <a:ext uri="{FF2B5EF4-FFF2-40B4-BE49-F238E27FC236}">
              <a16:creationId xmlns:a16="http://schemas.microsoft.com/office/drawing/2014/main" id="{555AED8A-9548-4096-83D6-5A8BA688AC8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8" name="avatar">
          <a:extLst>
            <a:ext uri="{FF2B5EF4-FFF2-40B4-BE49-F238E27FC236}">
              <a16:creationId xmlns:a16="http://schemas.microsoft.com/office/drawing/2014/main" id="{C760CE31-9605-4414-93A6-C5D9A1ABC52E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4</xdr:row>
      <xdr:rowOff>0</xdr:rowOff>
    </xdr:from>
    <xdr:ext cx="304800" cy="304800"/>
    <xdr:sp macro="" textlink="">
      <xdr:nvSpPr>
        <xdr:cNvPr id="709" name="avatar">
          <a:extLst>
            <a:ext uri="{FF2B5EF4-FFF2-40B4-BE49-F238E27FC236}">
              <a16:creationId xmlns:a16="http://schemas.microsoft.com/office/drawing/2014/main" id="{59492061-661E-4D6B-B0AB-DC666C646F4B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0" name="avatar">
          <a:extLst>
            <a:ext uri="{FF2B5EF4-FFF2-40B4-BE49-F238E27FC236}">
              <a16:creationId xmlns:a16="http://schemas.microsoft.com/office/drawing/2014/main" id="{3505757B-AB4D-4D49-A51D-71ED8FF31C3D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1" name="avatar">
          <a:extLst>
            <a:ext uri="{FF2B5EF4-FFF2-40B4-BE49-F238E27FC236}">
              <a16:creationId xmlns:a16="http://schemas.microsoft.com/office/drawing/2014/main" id="{2DC17DD5-A3C2-46D1-82B1-25844E54EFA2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2" name="avatar">
          <a:extLst>
            <a:ext uri="{FF2B5EF4-FFF2-40B4-BE49-F238E27FC236}">
              <a16:creationId xmlns:a16="http://schemas.microsoft.com/office/drawing/2014/main" id="{133A698A-F8EA-47F7-B284-CD4F2BC9447F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3" name="avatar">
          <a:extLst>
            <a:ext uri="{FF2B5EF4-FFF2-40B4-BE49-F238E27FC236}">
              <a16:creationId xmlns:a16="http://schemas.microsoft.com/office/drawing/2014/main" id="{70ACFEFB-62B5-46F2-B4E3-7F1B7EEBBE62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4" name="avatar">
          <a:extLst>
            <a:ext uri="{FF2B5EF4-FFF2-40B4-BE49-F238E27FC236}">
              <a16:creationId xmlns:a16="http://schemas.microsoft.com/office/drawing/2014/main" id="{63AD18A6-5D84-4238-9C79-F59909EE216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5" name="avatar">
          <a:extLst>
            <a:ext uri="{FF2B5EF4-FFF2-40B4-BE49-F238E27FC236}">
              <a16:creationId xmlns:a16="http://schemas.microsoft.com/office/drawing/2014/main" id="{9B4421FA-1821-4429-A759-C3C181E27463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6" name="avatar">
          <a:extLst>
            <a:ext uri="{FF2B5EF4-FFF2-40B4-BE49-F238E27FC236}">
              <a16:creationId xmlns:a16="http://schemas.microsoft.com/office/drawing/2014/main" id="{76753816-381F-47B7-AAB0-9A3205595141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7" name="avatar">
          <a:extLst>
            <a:ext uri="{FF2B5EF4-FFF2-40B4-BE49-F238E27FC236}">
              <a16:creationId xmlns:a16="http://schemas.microsoft.com/office/drawing/2014/main" id="{F8E68264-BD43-4221-BBCD-4BDAE4A39B85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8" name="avatar">
          <a:extLst>
            <a:ext uri="{FF2B5EF4-FFF2-40B4-BE49-F238E27FC236}">
              <a16:creationId xmlns:a16="http://schemas.microsoft.com/office/drawing/2014/main" id="{D529EAD4-9AE9-4CF6-AFCF-9A23ABB5ADCE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4</xdr:row>
      <xdr:rowOff>0</xdr:rowOff>
    </xdr:from>
    <xdr:ext cx="304800" cy="304800"/>
    <xdr:sp macro="" textlink="">
      <xdr:nvSpPr>
        <xdr:cNvPr id="719" name="avatar">
          <a:extLst>
            <a:ext uri="{FF2B5EF4-FFF2-40B4-BE49-F238E27FC236}">
              <a16:creationId xmlns:a16="http://schemas.microsoft.com/office/drawing/2014/main" id="{282BC437-4B0A-46AF-99B0-4C336D750F5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0" name="avatar">
          <a:extLst>
            <a:ext uri="{FF2B5EF4-FFF2-40B4-BE49-F238E27FC236}">
              <a16:creationId xmlns:a16="http://schemas.microsoft.com/office/drawing/2014/main" id="{BB36106E-3ED2-4447-B675-68E0F0CD303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1" name="avatar">
          <a:extLst>
            <a:ext uri="{FF2B5EF4-FFF2-40B4-BE49-F238E27FC236}">
              <a16:creationId xmlns:a16="http://schemas.microsoft.com/office/drawing/2014/main" id="{9DB9DBF4-4FB9-4B49-B9F0-A352F124E81A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2" name="avatar">
          <a:extLst>
            <a:ext uri="{FF2B5EF4-FFF2-40B4-BE49-F238E27FC236}">
              <a16:creationId xmlns:a16="http://schemas.microsoft.com/office/drawing/2014/main" id="{631CC29D-2026-4DB5-92D5-C4FC1290A85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3" name="avatar">
          <a:extLst>
            <a:ext uri="{FF2B5EF4-FFF2-40B4-BE49-F238E27FC236}">
              <a16:creationId xmlns:a16="http://schemas.microsoft.com/office/drawing/2014/main" id="{9B657C99-AB9C-40DE-A3CE-1D15E450FFF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4" name="avatar">
          <a:extLst>
            <a:ext uri="{FF2B5EF4-FFF2-40B4-BE49-F238E27FC236}">
              <a16:creationId xmlns:a16="http://schemas.microsoft.com/office/drawing/2014/main" id="{4E2A85C0-A940-4371-B478-163A02579382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5" name="avatar">
          <a:extLst>
            <a:ext uri="{FF2B5EF4-FFF2-40B4-BE49-F238E27FC236}">
              <a16:creationId xmlns:a16="http://schemas.microsoft.com/office/drawing/2014/main" id="{26F1E274-3256-4723-8265-7F34C84FF40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6" name="avatar">
          <a:extLst>
            <a:ext uri="{FF2B5EF4-FFF2-40B4-BE49-F238E27FC236}">
              <a16:creationId xmlns:a16="http://schemas.microsoft.com/office/drawing/2014/main" id="{384CB21F-E49F-4DDB-B717-B84A50946E6A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7" name="avatar">
          <a:extLst>
            <a:ext uri="{FF2B5EF4-FFF2-40B4-BE49-F238E27FC236}">
              <a16:creationId xmlns:a16="http://schemas.microsoft.com/office/drawing/2014/main" id="{5F68CF0C-4793-4731-80CE-962D9B4E0BA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8" name="avatar">
          <a:extLst>
            <a:ext uri="{FF2B5EF4-FFF2-40B4-BE49-F238E27FC236}">
              <a16:creationId xmlns:a16="http://schemas.microsoft.com/office/drawing/2014/main" id="{174C71DB-7F4B-40DA-A264-CA3C42C2F1C9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4</xdr:row>
      <xdr:rowOff>0</xdr:rowOff>
    </xdr:from>
    <xdr:ext cx="304800" cy="304800"/>
    <xdr:sp macro="" textlink="">
      <xdr:nvSpPr>
        <xdr:cNvPr id="729" name="avatar">
          <a:extLst>
            <a:ext uri="{FF2B5EF4-FFF2-40B4-BE49-F238E27FC236}">
              <a16:creationId xmlns:a16="http://schemas.microsoft.com/office/drawing/2014/main" id="{90B3AED5-84C7-4B91-AD7F-27A65DE4842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0" name="avatar">
          <a:extLst>
            <a:ext uri="{FF2B5EF4-FFF2-40B4-BE49-F238E27FC236}">
              <a16:creationId xmlns:a16="http://schemas.microsoft.com/office/drawing/2014/main" id="{E43ED116-C286-4091-A229-88EB7D9BF9B5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1" name="avatar">
          <a:extLst>
            <a:ext uri="{FF2B5EF4-FFF2-40B4-BE49-F238E27FC236}">
              <a16:creationId xmlns:a16="http://schemas.microsoft.com/office/drawing/2014/main" id="{6992151E-B7EF-4B5C-B762-06145D10F44F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2" name="avatar">
          <a:extLst>
            <a:ext uri="{FF2B5EF4-FFF2-40B4-BE49-F238E27FC236}">
              <a16:creationId xmlns:a16="http://schemas.microsoft.com/office/drawing/2014/main" id="{736CEAD4-CC06-4B68-8D14-6E2584C499B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3" name="avatar">
          <a:extLst>
            <a:ext uri="{FF2B5EF4-FFF2-40B4-BE49-F238E27FC236}">
              <a16:creationId xmlns:a16="http://schemas.microsoft.com/office/drawing/2014/main" id="{337D2EE2-A5A0-47A5-9678-7A8D7DDA077E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4" name="avatar">
          <a:extLst>
            <a:ext uri="{FF2B5EF4-FFF2-40B4-BE49-F238E27FC236}">
              <a16:creationId xmlns:a16="http://schemas.microsoft.com/office/drawing/2014/main" id="{677D3828-6A10-4763-81F4-85831F17117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5" name="avatar">
          <a:extLst>
            <a:ext uri="{FF2B5EF4-FFF2-40B4-BE49-F238E27FC236}">
              <a16:creationId xmlns:a16="http://schemas.microsoft.com/office/drawing/2014/main" id="{4D7F69AD-8C3B-490A-8761-EFBCA397313A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6" name="avatar">
          <a:extLst>
            <a:ext uri="{FF2B5EF4-FFF2-40B4-BE49-F238E27FC236}">
              <a16:creationId xmlns:a16="http://schemas.microsoft.com/office/drawing/2014/main" id="{D8EF0805-683E-47D4-B60B-E59639DEC77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7" name="avatar">
          <a:extLst>
            <a:ext uri="{FF2B5EF4-FFF2-40B4-BE49-F238E27FC236}">
              <a16:creationId xmlns:a16="http://schemas.microsoft.com/office/drawing/2014/main" id="{A53BADFD-AB16-466D-8567-315AD2807030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8" name="avatar">
          <a:extLst>
            <a:ext uri="{FF2B5EF4-FFF2-40B4-BE49-F238E27FC236}">
              <a16:creationId xmlns:a16="http://schemas.microsoft.com/office/drawing/2014/main" id="{7DFF05A6-0172-4D63-B231-6C175712140A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4</xdr:row>
      <xdr:rowOff>0</xdr:rowOff>
    </xdr:from>
    <xdr:ext cx="304800" cy="304800"/>
    <xdr:sp macro="" textlink="">
      <xdr:nvSpPr>
        <xdr:cNvPr id="739" name="avatar">
          <a:extLst>
            <a:ext uri="{FF2B5EF4-FFF2-40B4-BE49-F238E27FC236}">
              <a16:creationId xmlns:a16="http://schemas.microsoft.com/office/drawing/2014/main" id="{D89944BE-B374-4753-BB14-26B2E6B385E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0" name="avatar">
          <a:extLst>
            <a:ext uri="{FF2B5EF4-FFF2-40B4-BE49-F238E27FC236}">
              <a16:creationId xmlns:a16="http://schemas.microsoft.com/office/drawing/2014/main" id="{C7F370F4-C045-4E9F-809A-158DB1E109F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1" name="avatar">
          <a:extLst>
            <a:ext uri="{FF2B5EF4-FFF2-40B4-BE49-F238E27FC236}">
              <a16:creationId xmlns:a16="http://schemas.microsoft.com/office/drawing/2014/main" id="{2BBC9F46-E518-469A-9C9B-219DB1E4C377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2" name="avatar">
          <a:extLst>
            <a:ext uri="{FF2B5EF4-FFF2-40B4-BE49-F238E27FC236}">
              <a16:creationId xmlns:a16="http://schemas.microsoft.com/office/drawing/2014/main" id="{019D20E9-B2B4-4E4F-A22D-E6AAC8CAEC3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3" name="avatar">
          <a:extLst>
            <a:ext uri="{FF2B5EF4-FFF2-40B4-BE49-F238E27FC236}">
              <a16:creationId xmlns:a16="http://schemas.microsoft.com/office/drawing/2014/main" id="{B161AFEE-FF86-4ED5-9CB9-F320DCBC024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4" name="avatar">
          <a:extLst>
            <a:ext uri="{FF2B5EF4-FFF2-40B4-BE49-F238E27FC236}">
              <a16:creationId xmlns:a16="http://schemas.microsoft.com/office/drawing/2014/main" id="{332BDE73-3138-441A-947C-69B1E16CC2D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5" name="avatar">
          <a:extLst>
            <a:ext uri="{FF2B5EF4-FFF2-40B4-BE49-F238E27FC236}">
              <a16:creationId xmlns:a16="http://schemas.microsoft.com/office/drawing/2014/main" id="{A8ABC426-6566-4A8E-A344-F6F62A72A0C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6" name="avatar">
          <a:extLst>
            <a:ext uri="{FF2B5EF4-FFF2-40B4-BE49-F238E27FC236}">
              <a16:creationId xmlns:a16="http://schemas.microsoft.com/office/drawing/2014/main" id="{AD0BB04C-FDC9-4F04-9FE5-E215875A515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7" name="avatar">
          <a:extLst>
            <a:ext uri="{FF2B5EF4-FFF2-40B4-BE49-F238E27FC236}">
              <a16:creationId xmlns:a16="http://schemas.microsoft.com/office/drawing/2014/main" id="{61CBFB64-FD9D-4949-A5B1-1CC62302C7AE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8" name="avatar">
          <a:extLst>
            <a:ext uri="{FF2B5EF4-FFF2-40B4-BE49-F238E27FC236}">
              <a16:creationId xmlns:a16="http://schemas.microsoft.com/office/drawing/2014/main" id="{89257D29-3369-409D-8A2D-186EEDF84D9E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4</xdr:row>
      <xdr:rowOff>0</xdr:rowOff>
    </xdr:from>
    <xdr:ext cx="304800" cy="304800"/>
    <xdr:sp macro="" textlink="">
      <xdr:nvSpPr>
        <xdr:cNvPr id="749" name="avatar">
          <a:extLst>
            <a:ext uri="{FF2B5EF4-FFF2-40B4-BE49-F238E27FC236}">
              <a16:creationId xmlns:a16="http://schemas.microsoft.com/office/drawing/2014/main" id="{8DEC4BE1-1459-43EA-A4A1-92A7B8F6A5D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0" name="avatar">
          <a:extLst>
            <a:ext uri="{FF2B5EF4-FFF2-40B4-BE49-F238E27FC236}">
              <a16:creationId xmlns:a16="http://schemas.microsoft.com/office/drawing/2014/main" id="{6D44882B-E746-42F2-A079-61817242352F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1" name="avatar">
          <a:extLst>
            <a:ext uri="{FF2B5EF4-FFF2-40B4-BE49-F238E27FC236}">
              <a16:creationId xmlns:a16="http://schemas.microsoft.com/office/drawing/2014/main" id="{8A18552C-2E8A-4BB1-BE86-7CA5D89BDEA7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2" name="avatar">
          <a:extLst>
            <a:ext uri="{FF2B5EF4-FFF2-40B4-BE49-F238E27FC236}">
              <a16:creationId xmlns:a16="http://schemas.microsoft.com/office/drawing/2014/main" id="{154DE58E-AC47-4257-A929-A320CD0B1E4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3" name="avatar">
          <a:extLst>
            <a:ext uri="{FF2B5EF4-FFF2-40B4-BE49-F238E27FC236}">
              <a16:creationId xmlns:a16="http://schemas.microsoft.com/office/drawing/2014/main" id="{8CCE5840-CADB-465D-BED7-1868E2C58A28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4" name="avatar">
          <a:extLst>
            <a:ext uri="{FF2B5EF4-FFF2-40B4-BE49-F238E27FC236}">
              <a16:creationId xmlns:a16="http://schemas.microsoft.com/office/drawing/2014/main" id="{4246F0EC-8041-4633-A3E7-18CC96A9B1BA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5" name="avatar">
          <a:extLst>
            <a:ext uri="{FF2B5EF4-FFF2-40B4-BE49-F238E27FC236}">
              <a16:creationId xmlns:a16="http://schemas.microsoft.com/office/drawing/2014/main" id="{9A11FADE-16B0-4629-8F64-D49C56D5DA6F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6" name="avatar">
          <a:extLst>
            <a:ext uri="{FF2B5EF4-FFF2-40B4-BE49-F238E27FC236}">
              <a16:creationId xmlns:a16="http://schemas.microsoft.com/office/drawing/2014/main" id="{BA69396E-E28C-4023-AC9D-FED55B976ACD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7" name="avatar">
          <a:extLst>
            <a:ext uri="{FF2B5EF4-FFF2-40B4-BE49-F238E27FC236}">
              <a16:creationId xmlns:a16="http://schemas.microsoft.com/office/drawing/2014/main" id="{59AB27C5-08BB-4445-9C3A-F13B7A60219E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8" name="avatar">
          <a:extLst>
            <a:ext uri="{FF2B5EF4-FFF2-40B4-BE49-F238E27FC236}">
              <a16:creationId xmlns:a16="http://schemas.microsoft.com/office/drawing/2014/main" id="{867E98D5-F8B8-45DE-8B27-9370BA2CB288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4</xdr:row>
      <xdr:rowOff>0</xdr:rowOff>
    </xdr:from>
    <xdr:ext cx="304800" cy="304800"/>
    <xdr:sp macro="" textlink="">
      <xdr:nvSpPr>
        <xdr:cNvPr id="759" name="avatar">
          <a:extLst>
            <a:ext uri="{FF2B5EF4-FFF2-40B4-BE49-F238E27FC236}">
              <a16:creationId xmlns:a16="http://schemas.microsoft.com/office/drawing/2014/main" id="{4222CFEB-B47A-42A4-9E10-5CB926AF9C10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0" name="avatar">
          <a:extLst>
            <a:ext uri="{FF2B5EF4-FFF2-40B4-BE49-F238E27FC236}">
              <a16:creationId xmlns:a16="http://schemas.microsoft.com/office/drawing/2014/main" id="{A8FBC9C4-0D7C-49BA-96C6-99655988E743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1" name="avatar">
          <a:extLst>
            <a:ext uri="{FF2B5EF4-FFF2-40B4-BE49-F238E27FC236}">
              <a16:creationId xmlns:a16="http://schemas.microsoft.com/office/drawing/2014/main" id="{467618FE-48C0-4914-A18E-B40479D3FAFB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2" name="avatar">
          <a:extLst>
            <a:ext uri="{FF2B5EF4-FFF2-40B4-BE49-F238E27FC236}">
              <a16:creationId xmlns:a16="http://schemas.microsoft.com/office/drawing/2014/main" id="{1C34593A-40BE-4EC0-B7EB-D3A9407DC7AC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3" name="avatar">
          <a:extLst>
            <a:ext uri="{FF2B5EF4-FFF2-40B4-BE49-F238E27FC236}">
              <a16:creationId xmlns:a16="http://schemas.microsoft.com/office/drawing/2014/main" id="{E83D718B-9CE5-4B95-808E-09F5DF8BD2E5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4" name="avatar">
          <a:extLst>
            <a:ext uri="{FF2B5EF4-FFF2-40B4-BE49-F238E27FC236}">
              <a16:creationId xmlns:a16="http://schemas.microsoft.com/office/drawing/2014/main" id="{F6B6CD8F-E20B-4CCB-9942-C6FA56ECC442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5" name="avatar">
          <a:extLst>
            <a:ext uri="{FF2B5EF4-FFF2-40B4-BE49-F238E27FC236}">
              <a16:creationId xmlns:a16="http://schemas.microsoft.com/office/drawing/2014/main" id="{434567F9-EB4A-4CEC-8AC8-4B86E67B4282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6" name="avatar">
          <a:extLst>
            <a:ext uri="{FF2B5EF4-FFF2-40B4-BE49-F238E27FC236}">
              <a16:creationId xmlns:a16="http://schemas.microsoft.com/office/drawing/2014/main" id="{56660F82-8D7E-4C19-B887-AC4C3C8EC4C6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7" name="avatar">
          <a:extLst>
            <a:ext uri="{FF2B5EF4-FFF2-40B4-BE49-F238E27FC236}">
              <a16:creationId xmlns:a16="http://schemas.microsoft.com/office/drawing/2014/main" id="{F9C412F0-4280-41DC-964C-F6EFF0C5852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8" name="avatar">
          <a:extLst>
            <a:ext uri="{FF2B5EF4-FFF2-40B4-BE49-F238E27FC236}">
              <a16:creationId xmlns:a16="http://schemas.microsoft.com/office/drawing/2014/main" id="{298CEFE0-FAD8-4434-A754-1F9C424651C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69" name="avatar">
          <a:extLst>
            <a:ext uri="{FF2B5EF4-FFF2-40B4-BE49-F238E27FC236}">
              <a16:creationId xmlns:a16="http://schemas.microsoft.com/office/drawing/2014/main" id="{B4219281-2ECD-4AC5-A1E3-EBD0217FADCF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0" name="avatar">
          <a:extLst>
            <a:ext uri="{FF2B5EF4-FFF2-40B4-BE49-F238E27FC236}">
              <a16:creationId xmlns:a16="http://schemas.microsoft.com/office/drawing/2014/main" id="{83D851C3-2ECC-4DE1-94E0-5C626888C89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1" name="avatar">
          <a:extLst>
            <a:ext uri="{FF2B5EF4-FFF2-40B4-BE49-F238E27FC236}">
              <a16:creationId xmlns:a16="http://schemas.microsoft.com/office/drawing/2014/main" id="{A17EC9E9-197B-4AF9-8D54-54C61DF4E8BD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2" name="avatar">
          <a:extLst>
            <a:ext uri="{FF2B5EF4-FFF2-40B4-BE49-F238E27FC236}">
              <a16:creationId xmlns:a16="http://schemas.microsoft.com/office/drawing/2014/main" id="{500B52C4-AAC5-41EE-B6C6-13728B7D786A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3" name="avatar">
          <a:extLst>
            <a:ext uri="{FF2B5EF4-FFF2-40B4-BE49-F238E27FC236}">
              <a16:creationId xmlns:a16="http://schemas.microsoft.com/office/drawing/2014/main" id="{C19359E7-F42C-43D7-8C56-137B53B2026E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4" name="avatar">
          <a:extLst>
            <a:ext uri="{FF2B5EF4-FFF2-40B4-BE49-F238E27FC236}">
              <a16:creationId xmlns:a16="http://schemas.microsoft.com/office/drawing/2014/main" id="{22711D29-9495-41BF-BD12-870BC7D0062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5" name="avatar">
          <a:extLst>
            <a:ext uri="{FF2B5EF4-FFF2-40B4-BE49-F238E27FC236}">
              <a16:creationId xmlns:a16="http://schemas.microsoft.com/office/drawing/2014/main" id="{79DFFFCA-3327-4971-8482-DD5C332020A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6" name="avatar">
          <a:extLst>
            <a:ext uri="{FF2B5EF4-FFF2-40B4-BE49-F238E27FC236}">
              <a16:creationId xmlns:a16="http://schemas.microsoft.com/office/drawing/2014/main" id="{DAA21E87-CC06-4C2A-B6E2-E05BFCC0B919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7" name="avatar">
          <a:extLst>
            <a:ext uri="{FF2B5EF4-FFF2-40B4-BE49-F238E27FC236}">
              <a16:creationId xmlns:a16="http://schemas.microsoft.com/office/drawing/2014/main" id="{1A82B500-722A-48CA-B657-B979EC792277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8" name="avatar">
          <a:extLst>
            <a:ext uri="{FF2B5EF4-FFF2-40B4-BE49-F238E27FC236}">
              <a16:creationId xmlns:a16="http://schemas.microsoft.com/office/drawing/2014/main" id="{F1BBED9C-C9AC-4914-AA15-4B24738B1EEB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4</xdr:row>
      <xdr:rowOff>0</xdr:rowOff>
    </xdr:from>
    <xdr:ext cx="304800" cy="304800"/>
    <xdr:sp macro="" textlink="">
      <xdr:nvSpPr>
        <xdr:cNvPr id="779" name="avatar">
          <a:extLst>
            <a:ext uri="{FF2B5EF4-FFF2-40B4-BE49-F238E27FC236}">
              <a16:creationId xmlns:a16="http://schemas.microsoft.com/office/drawing/2014/main" id="{B088B150-8C75-4FAE-80AC-1C4B8ABA374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0" name="avatar">
          <a:extLst>
            <a:ext uri="{FF2B5EF4-FFF2-40B4-BE49-F238E27FC236}">
              <a16:creationId xmlns:a16="http://schemas.microsoft.com/office/drawing/2014/main" id="{86F963D7-8376-41F9-A139-9909E83704C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1" name="avatar">
          <a:extLst>
            <a:ext uri="{FF2B5EF4-FFF2-40B4-BE49-F238E27FC236}">
              <a16:creationId xmlns:a16="http://schemas.microsoft.com/office/drawing/2014/main" id="{7941103E-BFF4-4A29-8C68-CC31185552A3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2" name="avatar">
          <a:extLst>
            <a:ext uri="{FF2B5EF4-FFF2-40B4-BE49-F238E27FC236}">
              <a16:creationId xmlns:a16="http://schemas.microsoft.com/office/drawing/2014/main" id="{3B0B764C-E0A4-43A1-860F-000A6AC06C9C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3" name="avatar">
          <a:extLst>
            <a:ext uri="{FF2B5EF4-FFF2-40B4-BE49-F238E27FC236}">
              <a16:creationId xmlns:a16="http://schemas.microsoft.com/office/drawing/2014/main" id="{178EC726-866F-42A3-A546-1BFFAC221DC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4" name="avatar">
          <a:extLst>
            <a:ext uri="{FF2B5EF4-FFF2-40B4-BE49-F238E27FC236}">
              <a16:creationId xmlns:a16="http://schemas.microsoft.com/office/drawing/2014/main" id="{2BA22936-7954-4E9D-B4C2-8C755A7B86B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5" name="avatar">
          <a:extLst>
            <a:ext uri="{FF2B5EF4-FFF2-40B4-BE49-F238E27FC236}">
              <a16:creationId xmlns:a16="http://schemas.microsoft.com/office/drawing/2014/main" id="{6971493E-A6FE-4CA4-980C-076D8355956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6" name="avatar">
          <a:extLst>
            <a:ext uri="{FF2B5EF4-FFF2-40B4-BE49-F238E27FC236}">
              <a16:creationId xmlns:a16="http://schemas.microsoft.com/office/drawing/2014/main" id="{3F20E687-64E1-4145-BE55-785DFC36740D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7" name="avatar">
          <a:extLst>
            <a:ext uri="{FF2B5EF4-FFF2-40B4-BE49-F238E27FC236}">
              <a16:creationId xmlns:a16="http://schemas.microsoft.com/office/drawing/2014/main" id="{57D8B69D-61D5-4284-BF30-C3ECEEC8E2F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8" name="avatar">
          <a:extLst>
            <a:ext uri="{FF2B5EF4-FFF2-40B4-BE49-F238E27FC236}">
              <a16:creationId xmlns:a16="http://schemas.microsoft.com/office/drawing/2014/main" id="{C83ECCF2-8A03-4D1C-A965-E7594D580EC5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89" name="avatar">
          <a:extLst>
            <a:ext uri="{FF2B5EF4-FFF2-40B4-BE49-F238E27FC236}">
              <a16:creationId xmlns:a16="http://schemas.microsoft.com/office/drawing/2014/main" id="{1940C6B7-292B-4EC5-83EC-D3F6B6EBAAC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0" name="avatar">
          <a:extLst>
            <a:ext uri="{FF2B5EF4-FFF2-40B4-BE49-F238E27FC236}">
              <a16:creationId xmlns:a16="http://schemas.microsoft.com/office/drawing/2014/main" id="{B392D5DC-66F1-4334-80A2-EC6AC6C4C62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1" name="avatar">
          <a:extLst>
            <a:ext uri="{FF2B5EF4-FFF2-40B4-BE49-F238E27FC236}">
              <a16:creationId xmlns:a16="http://schemas.microsoft.com/office/drawing/2014/main" id="{3E8D76DE-0146-41C6-AFAB-E3DD132B793B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2" name="avatar">
          <a:extLst>
            <a:ext uri="{FF2B5EF4-FFF2-40B4-BE49-F238E27FC236}">
              <a16:creationId xmlns:a16="http://schemas.microsoft.com/office/drawing/2014/main" id="{5AC60870-07A6-45DA-81F5-738B41D6F5B2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3" name="avatar">
          <a:extLst>
            <a:ext uri="{FF2B5EF4-FFF2-40B4-BE49-F238E27FC236}">
              <a16:creationId xmlns:a16="http://schemas.microsoft.com/office/drawing/2014/main" id="{703AF190-FA6D-4743-B989-5993270BA39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4" name="avatar">
          <a:extLst>
            <a:ext uri="{FF2B5EF4-FFF2-40B4-BE49-F238E27FC236}">
              <a16:creationId xmlns:a16="http://schemas.microsoft.com/office/drawing/2014/main" id="{FDFF9012-C723-4B43-8F33-B712E31C403B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5" name="avatar">
          <a:extLst>
            <a:ext uri="{FF2B5EF4-FFF2-40B4-BE49-F238E27FC236}">
              <a16:creationId xmlns:a16="http://schemas.microsoft.com/office/drawing/2014/main" id="{113DBEFD-D8D0-47C8-9A81-D922F8EDD6A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6" name="avatar">
          <a:extLst>
            <a:ext uri="{FF2B5EF4-FFF2-40B4-BE49-F238E27FC236}">
              <a16:creationId xmlns:a16="http://schemas.microsoft.com/office/drawing/2014/main" id="{D5EC7B80-6C64-49B6-915E-AB57E3AE4AA9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7" name="avatar">
          <a:extLst>
            <a:ext uri="{FF2B5EF4-FFF2-40B4-BE49-F238E27FC236}">
              <a16:creationId xmlns:a16="http://schemas.microsoft.com/office/drawing/2014/main" id="{1558B09D-F383-4D3B-8C3C-9738AFB61D72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8" name="avatar">
          <a:extLst>
            <a:ext uri="{FF2B5EF4-FFF2-40B4-BE49-F238E27FC236}">
              <a16:creationId xmlns:a16="http://schemas.microsoft.com/office/drawing/2014/main" id="{A5E55761-0B46-4ED0-9ECE-1B17C798088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799" name="avatar">
          <a:extLst>
            <a:ext uri="{FF2B5EF4-FFF2-40B4-BE49-F238E27FC236}">
              <a16:creationId xmlns:a16="http://schemas.microsoft.com/office/drawing/2014/main" id="{25FA4D71-B570-41CE-AEA5-68849978000C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0" name="avatar">
          <a:extLst>
            <a:ext uri="{FF2B5EF4-FFF2-40B4-BE49-F238E27FC236}">
              <a16:creationId xmlns:a16="http://schemas.microsoft.com/office/drawing/2014/main" id="{96E94175-4BA3-4205-BB17-FCB3B39917F2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1" name="avatar">
          <a:extLst>
            <a:ext uri="{FF2B5EF4-FFF2-40B4-BE49-F238E27FC236}">
              <a16:creationId xmlns:a16="http://schemas.microsoft.com/office/drawing/2014/main" id="{8204238E-2545-4C77-9C34-982B0136FB6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2" name="avatar">
          <a:extLst>
            <a:ext uri="{FF2B5EF4-FFF2-40B4-BE49-F238E27FC236}">
              <a16:creationId xmlns:a16="http://schemas.microsoft.com/office/drawing/2014/main" id="{56EF139C-4F7D-4588-A2A3-ADB86643903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3" name="avatar">
          <a:extLst>
            <a:ext uri="{FF2B5EF4-FFF2-40B4-BE49-F238E27FC236}">
              <a16:creationId xmlns:a16="http://schemas.microsoft.com/office/drawing/2014/main" id="{9316D8AE-A5CD-4429-BF87-2F6990E6BB2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4" name="avatar">
          <a:extLst>
            <a:ext uri="{FF2B5EF4-FFF2-40B4-BE49-F238E27FC236}">
              <a16:creationId xmlns:a16="http://schemas.microsoft.com/office/drawing/2014/main" id="{EF1ABBBD-B63C-4736-AC5C-CD65ECDC014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5" name="avatar">
          <a:extLst>
            <a:ext uri="{FF2B5EF4-FFF2-40B4-BE49-F238E27FC236}">
              <a16:creationId xmlns:a16="http://schemas.microsoft.com/office/drawing/2014/main" id="{093BCB2F-8A3E-4122-85E1-325C5D23FA48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6" name="avatar">
          <a:extLst>
            <a:ext uri="{FF2B5EF4-FFF2-40B4-BE49-F238E27FC236}">
              <a16:creationId xmlns:a16="http://schemas.microsoft.com/office/drawing/2014/main" id="{0490A603-4874-43D4-9E28-81014B84183F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7" name="avatar">
          <a:extLst>
            <a:ext uri="{FF2B5EF4-FFF2-40B4-BE49-F238E27FC236}">
              <a16:creationId xmlns:a16="http://schemas.microsoft.com/office/drawing/2014/main" id="{889A32AD-441A-43D0-AA73-14310AE2926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8" name="avatar">
          <a:extLst>
            <a:ext uri="{FF2B5EF4-FFF2-40B4-BE49-F238E27FC236}">
              <a16:creationId xmlns:a16="http://schemas.microsoft.com/office/drawing/2014/main" id="{3B0B3841-D7BE-4B32-BE9D-A5FA2DB71513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09" name="avatar">
          <a:extLst>
            <a:ext uri="{FF2B5EF4-FFF2-40B4-BE49-F238E27FC236}">
              <a16:creationId xmlns:a16="http://schemas.microsoft.com/office/drawing/2014/main" id="{8D2AE9D3-61A2-4759-9CDF-FCA4AB69462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0" name="avatar">
          <a:extLst>
            <a:ext uri="{FF2B5EF4-FFF2-40B4-BE49-F238E27FC236}">
              <a16:creationId xmlns:a16="http://schemas.microsoft.com/office/drawing/2014/main" id="{57CC720A-8BC9-4B56-AEF1-0E11FE224E41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1" name="avatar">
          <a:extLst>
            <a:ext uri="{FF2B5EF4-FFF2-40B4-BE49-F238E27FC236}">
              <a16:creationId xmlns:a16="http://schemas.microsoft.com/office/drawing/2014/main" id="{738B5049-4E5A-474C-8ADC-FD1E4A76C78D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2" name="avatar">
          <a:extLst>
            <a:ext uri="{FF2B5EF4-FFF2-40B4-BE49-F238E27FC236}">
              <a16:creationId xmlns:a16="http://schemas.microsoft.com/office/drawing/2014/main" id="{B4AAA5B8-E823-4A59-9D88-E3768023234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3" name="avatar">
          <a:extLst>
            <a:ext uri="{FF2B5EF4-FFF2-40B4-BE49-F238E27FC236}">
              <a16:creationId xmlns:a16="http://schemas.microsoft.com/office/drawing/2014/main" id="{A2CFFDA4-EDD7-48BD-BE3E-87610233EB61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4" name="avatar">
          <a:extLst>
            <a:ext uri="{FF2B5EF4-FFF2-40B4-BE49-F238E27FC236}">
              <a16:creationId xmlns:a16="http://schemas.microsoft.com/office/drawing/2014/main" id="{82DE2D9E-A755-4791-8DDB-A866CC15B162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5" name="avatar">
          <a:extLst>
            <a:ext uri="{FF2B5EF4-FFF2-40B4-BE49-F238E27FC236}">
              <a16:creationId xmlns:a16="http://schemas.microsoft.com/office/drawing/2014/main" id="{F1860855-1D15-44D7-947F-B88B9096C65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6" name="avatar">
          <a:extLst>
            <a:ext uri="{FF2B5EF4-FFF2-40B4-BE49-F238E27FC236}">
              <a16:creationId xmlns:a16="http://schemas.microsoft.com/office/drawing/2014/main" id="{12DA34B4-2155-4917-A4BC-64B5F56A61D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7" name="avatar">
          <a:extLst>
            <a:ext uri="{FF2B5EF4-FFF2-40B4-BE49-F238E27FC236}">
              <a16:creationId xmlns:a16="http://schemas.microsoft.com/office/drawing/2014/main" id="{B6408543-1720-4D01-AA50-7D9528AC2A4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8" name="avatar">
          <a:extLst>
            <a:ext uri="{FF2B5EF4-FFF2-40B4-BE49-F238E27FC236}">
              <a16:creationId xmlns:a16="http://schemas.microsoft.com/office/drawing/2014/main" id="{BB0DCAC3-5971-49A6-ADCA-57A319E9407B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4</xdr:row>
      <xdr:rowOff>0</xdr:rowOff>
    </xdr:from>
    <xdr:ext cx="304800" cy="304800"/>
    <xdr:sp macro="" textlink="">
      <xdr:nvSpPr>
        <xdr:cNvPr id="819" name="avatar">
          <a:extLst>
            <a:ext uri="{FF2B5EF4-FFF2-40B4-BE49-F238E27FC236}">
              <a16:creationId xmlns:a16="http://schemas.microsoft.com/office/drawing/2014/main" id="{2C02B848-2492-4DB3-A1B5-7EE1516CB448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0" name="avatar">
          <a:extLst>
            <a:ext uri="{FF2B5EF4-FFF2-40B4-BE49-F238E27FC236}">
              <a16:creationId xmlns:a16="http://schemas.microsoft.com/office/drawing/2014/main" id="{C644E7D9-EB5F-4346-8097-716F0E1C062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1" name="avatar">
          <a:extLst>
            <a:ext uri="{FF2B5EF4-FFF2-40B4-BE49-F238E27FC236}">
              <a16:creationId xmlns:a16="http://schemas.microsoft.com/office/drawing/2014/main" id="{4F111A33-9FA2-4E0E-A2E0-51F02B69B6A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2" name="avatar">
          <a:extLst>
            <a:ext uri="{FF2B5EF4-FFF2-40B4-BE49-F238E27FC236}">
              <a16:creationId xmlns:a16="http://schemas.microsoft.com/office/drawing/2014/main" id="{AC1CDDA2-F850-42EF-8F5E-D098B496DDC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3" name="avatar">
          <a:extLst>
            <a:ext uri="{FF2B5EF4-FFF2-40B4-BE49-F238E27FC236}">
              <a16:creationId xmlns:a16="http://schemas.microsoft.com/office/drawing/2014/main" id="{77D4C0D2-20B3-4A30-AEA6-FC17BF40656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4" name="avatar">
          <a:extLst>
            <a:ext uri="{FF2B5EF4-FFF2-40B4-BE49-F238E27FC236}">
              <a16:creationId xmlns:a16="http://schemas.microsoft.com/office/drawing/2014/main" id="{A1A43B27-5B56-402C-89ED-A552E7475CA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5" name="avatar">
          <a:extLst>
            <a:ext uri="{FF2B5EF4-FFF2-40B4-BE49-F238E27FC236}">
              <a16:creationId xmlns:a16="http://schemas.microsoft.com/office/drawing/2014/main" id="{492A80E7-C3DD-44C7-8717-208E710DE23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6" name="avatar">
          <a:extLst>
            <a:ext uri="{FF2B5EF4-FFF2-40B4-BE49-F238E27FC236}">
              <a16:creationId xmlns:a16="http://schemas.microsoft.com/office/drawing/2014/main" id="{43835777-262D-4A05-A2D2-9899CA66352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7" name="avatar">
          <a:extLst>
            <a:ext uri="{FF2B5EF4-FFF2-40B4-BE49-F238E27FC236}">
              <a16:creationId xmlns:a16="http://schemas.microsoft.com/office/drawing/2014/main" id="{B5DB67D1-20FB-42E8-AC21-2DEC6CCA574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8" name="avatar">
          <a:extLst>
            <a:ext uri="{FF2B5EF4-FFF2-40B4-BE49-F238E27FC236}">
              <a16:creationId xmlns:a16="http://schemas.microsoft.com/office/drawing/2014/main" id="{6AD3FCC3-414F-48CF-AE21-B40277B5718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29" name="avatar">
          <a:extLst>
            <a:ext uri="{FF2B5EF4-FFF2-40B4-BE49-F238E27FC236}">
              <a16:creationId xmlns:a16="http://schemas.microsoft.com/office/drawing/2014/main" id="{FC96A9E2-E367-47F1-A9D7-2422C54E95B2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0" name="avatar">
          <a:extLst>
            <a:ext uri="{FF2B5EF4-FFF2-40B4-BE49-F238E27FC236}">
              <a16:creationId xmlns:a16="http://schemas.microsoft.com/office/drawing/2014/main" id="{CA124034-6614-4121-85C1-9F84B81C93F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1" name="avatar">
          <a:extLst>
            <a:ext uri="{FF2B5EF4-FFF2-40B4-BE49-F238E27FC236}">
              <a16:creationId xmlns:a16="http://schemas.microsoft.com/office/drawing/2014/main" id="{5A196C9F-1805-4B1F-B5C5-7788E20F717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2" name="avatar">
          <a:extLst>
            <a:ext uri="{FF2B5EF4-FFF2-40B4-BE49-F238E27FC236}">
              <a16:creationId xmlns:a16="http://schemas.microsoft.com/office/drawing/2014/main" id="{0FC60794-77EF-4959-9F0D-8650BC86345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3" name="avatar">
          <a:extLst>
            <a:ext uri="{FF2B5EF4-FFF2-40B4-BE49-F238E27FC236}">
              <a16:creationId xmlns:a16="http://schemas.microsoft.com/office/drawing/2014/main" id="{5E55F89C-779F-49C9-8893-E07EA60DDAF9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4" name="avatar">
          <a:extLst>
            <a:ext uri="{FF2B5EF4-FFF2-40B4-BE49-F238E27FC236}">
              <a16:creationId xmlns:a16="http://schemas.microsoft.com/office/drawing/2014/main" id="{259DCE33-FDD7-46F2-9B3C-B575A67EBAA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5" name="avatar">
          <a:extLst>
            <a:ext uri="{FF2B5EF4-FFF2-40B4-BE49-F238E27FC236}">
              <a16:creationId xmlns:a16="http://schemas.microsoft.com/office/drawing/2014/main" id="{977F67F2-F696-4663-B9EE-5DFF8CD0F17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6" name="avatar">
          <a:extLst>
            <a:ext uri="{FF2B5EF4-FFF2-40B4-BE49-F238E27FC236}">
              <a16:creationId xmlns:a16="http://schemas.microsoft.com/office/drawing/2014/main" id="{3EDAE3F0-F972-4C18-872E-D6731F982EE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7" name="avatar">
          <a:extLst>
            <a:ext uri="{FF2B5EF4-FFF2-40B4-BE49-F238E27FC236}">
              <a16:creationId xmlns:a16="http://schemas.microsoft.com/office/drawing/2014/main" id="{2527F89C-4ACF-4ADE-9AC2-C236C9ABCCD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8" name="avatar">
          <a:extLst>
            <a:ext uri="{FF2B5EF4-FFF2-40B4-BE49-F238E27FC236}">
              <a16:creationId xmlns:a16="http://schemas.microsoft.com/office/drawing/2014/main" id="{6B988146-C5D6-41C5-9F57-CBA8CACAACF8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39" name="avatar">
          <a:extLst>
            <a:ext uri="{FF2B5EF4-FFF2-40B4-BE49-F238E27FC236}">
              <a16:creationId xmlns:a16="http://schemas.microsoft.com/office/drawing/2014/main" id="{0C6FBD94-4FC4-4666-8A93-6A3E9619DB4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0" name="avatar">
          <a:extLst>
            <a:ext uri="{FF2B5EF4-FFF2-40B4-BE49-F238E27FC236}">
              <a16:creationId xmlns:a16="http://schemas.microsoft.com/office/drawing/2014/main" id="{F6B9EBEE-08B3-4CA8-A84C-51D5E45B8632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1" name="avatar">
          <a:extLst>
            <a:ext uri="{FF2B5EF4-FFF2-40B4-BE49-F238E27FC236}">
              <a16:creationId xmlns:a16="http://schemas.microsoft.com/office/drawing/2014/main" id="{D47C0BD9-B61E-4E24-8687-E201838E120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2" name="avatar">
          <a:extLst>
            <a:ext uri="{FF2B5EF4-FFF2-40B4-BE49-F238E27FC236}">
              <a16:creationId xmlns:a16="http://schemas.microsoft.com/office/drawing/2014/main" id="{3FC7188E-1CA6-4E7A-9B8D-3896EC413F6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3" name="avatar">
          <a:extLst>
            <a:ext uri="{FF2B5EF4-FFF2-40B4-BE49-F238E27FC236}">
              <a16:creationId xmlns:a16="http://schemas.microsoft.com/office/drawing/2014/main" id="{80E54A04-903D-4DEB-8D54-2B2A043189F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4" name="avatar">
          <a:extLst>
            <a:ext uri="{FF2B5EF4-FFF2-40B4-BE49-F238E27FC236}">
              <a16:creationId xmlns:a16="http://schemas.microsoft.com/office/drawing/2014/main" id="{C283D7E0-AE23-47D4-B15B-62086B229AC3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5" name="avatar">
          <a:extLst>
            <a:ext uri="{FF2B5EF4-FFF2-40B4-BE49-F238E27FC236}">
              <a16:creationId xmlns:a16="http://schemas.microsoft.com/office/drawing/2014/main" id="{ADFD3E1F-5B98-443D-909D-D4CA7E9B469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6" name="avatar">
          <a:extLst>
            <a:ext uri="{FF2B5EF4-FFF2-40B4-BE49-F238E27FC236}">
              <a16:creationId xmlns:a16="http://schemas.microsoft.com/office/drawing/2014/main" id="{A3471667-8FB0-493D-A1FB-129A1C4B1E4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7" name="avatar">
          <a:extLst>
            <a:ext uri="{FF2B5EF4-FFF2-40B4-BE49-F238E27FC236}">
              <a16:creationId xmlns:a16="http://schemas.microsoft.com/office/drawing/2014/main" id="{120A066E-5828-451A-8B33-DDF9130F01B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8" name="avatar">
          <a:extLst>
            <a:ext uri="{FF2B5EF4-FFF2-40B4-BE49-F238E27FC236}">
              <a16:creationId xmlns:a16="http://schemas.microsoft.com/office/drawing/2014/main" id="{DF8D6A1D-059B-429B-88A6-1931E3E3F70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4</xdr:row>
      <xdr:rowOff>0</xdr:rowOff>
    </xdr:from>
    <xdr:ext cx="304800" cy="304800"/>
    <xdr:sp macro="" textlink="">
      <xdr:nvSpPr>
        <xdr:cNvPr id="849" name="avatar">
          <a:extLst>
            <a:ext uri="{FF2B5EF4-FFF2-40B4-BE49-F238E27FC236}">
              <a16:creationId xmlns:a16="http://schemas.microsoft.com/office/drawing/2014/main" id="{38365C8C-12BA-45CD-BDFF-97B78DCF125D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0" name="avatar">
          <a:extLst>
            <a:ext uri="{FF2B5EF4-FFF2-40B4-BE49-F238E27FC236}">
              <a16:creationId xmlns:a16="http://schemas.microsoft.com/office/drawing/2014/main" id="{B65150E1-4485-4648-9A09-C06035D276B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1" name="avatar">
          <a:extLst>
            <a:ext uri="{FF2B5EF4-FFF2-40B4-BE49-F238E27FC236}">
              <a16:creationId xmlns:a16="http://schemas.microsoft.com/office/drawing/2014/main" id="{C9DFC135-61DF-4D2C-ADEC-6CAFC19DFF6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2" name="avatar">
          <a:extLst>
            <a:ext uri="{FF2B5EF4-FFF2-40B4-BE49-F238E27FC236}">
              <a16:creationId xmlns:a16="http://schemas.microsoft.com/office/drawing/2014/main" id="{85C54765-17B8-47C0-90E2-84AEB57F1D0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3" name="avatar">
          <a:extLst>
            <a:ext uri="{FF2B5EF4-FFF2-40B4-BE49-F238E27FC236}">
              <a16:creationId xmlns:a16="http://schemas.microsoft.com/office/drawing/2014/main" id="{D793B31C-BEF8-485A-B689-98397CA1793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4" name="avatar">
          <a:extLst>
            <a:ext uri="{FF2B5EF4-FFF2-40B4-BE49-F238E27FC236}">
              <a16:creationId xmlns:a16="http://schemas.microsoft.com/office/drawing/2014/main" id="{F616FDC6-3FDA-468A-AACF-62692BB97C4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5" name="avatar">
          <a:extLst>
            <a:ext uri="{FF2B5EF4-FFF2-40B4-BE49-F238E27FC236}">
              <a16:creationId xmlns:a16="http://schemas.microsoft.com/office/drawing/2014/main" id="{9728C0F0-25CB-4DEA-9B62-1E10718923E6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6" name="avatar">
          <a:extLst>
            <a:ext uri="{FF2B5EF4-FFF2-40B4-BE49-F238E27FC236}">
              <a16:creationId xmlns:a16="http://schemas.microsoft.com/office/drawing/2014/main" id="{1D17233B-5035-422E-92ED-8FD2A51A6B02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7" name="avatar">
          <a:extLst>
            <a:ext uri="{FF2B5EF4-FFF2-40B4-BE49-F238E27FC236}">
              <a16:creationId xmlns:a16="http://schemas.microsoft.com/office/drawing/2014/main" id="{9C4AFCA5-888A-454D-BFD5-E9F16333B26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8" name="avatar">
          <a:extLst>
            <a:ext uri="{FF2B5EF4-FFF2-40B4-BE49-F238E27FC236}">
              <a16:creationId xmlns:a16="http://schemas.microsoft.com/office/drawing/2014/main" id="{96A1E38B-F03D-4A23-ACC5-DA1D8519FD29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4</xdr:row>
      <xdr:rowOff>0</xdr:rowOff>
    </xdr:from>
    <xdr:ext cx="304800" cy="304800"/>
    <xdr:sp macro="" textlink="">
      <xdr:nvSpPr>
        <xdr:cNvPr id="859" name="avatar">
          <a:extLst>
            <a:ext uri="{FF2B5EF4-FFF2-40B4-BE49-F238E27FC236}">
              <a16:creationId xmlns:a16="http://schemas.microsoft.com/office/drawing/2014/main" id="{CD70C405-630E-4E1E-A63E-27B15321429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0" name="avatar">
          <a:extLst>
            <a:ext uri="{FF2B5EF4-FFF2-40B4-BE49-F238E27FC236}">
              <a16:creationId xmlns:a16="http://schemas.microsoft.com/office/drawing/2014/main" id="{E72836AA-DC0D-4D01-825F-4B94BDCBCDE8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1" name="avatar">
          <a:extLst>
            <a:ext uri="{FF2B5EF4-FFF2-40B4-BE49-F238E27FC236}">
              <a16:creationId xmlns:a16="http://schemas.microsoft.com/office/drawing/2014/main" id="{4A902B96-F829-4AF1-9DB5-E742BCD1A84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2" name="avatar">
          <a:extLst>
            <a:ext uri="{FF2B5EF4-FFF2-40B4-BE49-F238E27FC236}">
              <a16:creationId xmlns:a16="http://schemas.microsoft.com/office/drawing/2014/main" id="{D3FB45F8-E27E-430B-85B7-7215CFDE231C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3" name="avatar">
          <a:extLst>
            <a:ext uri="{FF2B5EF4-FFF2-40B4-BE49-F238E27FC236}">
              <a16:creationId xmlns:a16="http://schemas.microsoft.com/office/drawing/2014/main" id="{B9BBB12B-71AF-480E-B328-588A35D70AA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4" name="avatar">
          <a:extLst>
            <a:ext uri="{FF2B5EF4-FFF2-40B4-BE49-F238E27FC236}">
              <a16:creationId xmlns:a16="http://schemas.microsoft.com/office/drawing/2014/main" id="{AFB8ACEF-95EA-433C-BC3F-0B356EB2FBD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5" name="avatar">
          <a:extLst>
            <a:ext uri="{FF2B5EF4-FFF2-40B4-BE49-F238E27FC236}">
              <a16:creationId xmlns:a16="http://schemas.microsoft.com/office/drawing/2014/main" id="{F4BA59AF-42A4-4253-B4CE-03486A03573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6" name="avatar">
          <a:extLst>
            <a:ext uri="{FF2B5EF4-FFF2-40B4-BE49-F238E27FC236}">
              <a16:creationId xmlns:a16="http://schemas.microsoft.com/office/drawing/2014/main" id="{8B6F6D6C-B1F8-4C5B-9796-D73296A7AC61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7" name="avatar">
          <a:extLst>
            <a:ext uri="{FF2B5EF4-FFF2-40B4-BE49-F238E27FC236}">
              <a16:creationId xmlns:a16="http://schemas.microsoft.com/office/drawing/2014/main" id="{EBE0FB3F-7557-495F-9BFE-F3BD94794F2E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8" name="avatar">
          <a:extLst>
            <a:ext uri="{FF2B5EF4-FFF2-40B4-BE49-F238E27FC236}">
              <a16:creationId xmlns:a16="http://schemas.microsoft.com/office/drawing/2014/main" id="{6D456C55-9534-4454-8318-A5819F0E8D5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4</xdr:row>
      <xdr:rowOff>0</xdr:rowOff>
    </xdr:from>
    <xdr:ext cx="304800" cy="304800"/>
    <xdr:sp macro="" textlink="">
      <xdr:nvSpPr>
        <xdr:cNvPr id="869" name="avatar">
          <a:extLst>
            <a:ext uri="{FF2B5EF4-FFF2-40B4-BE49-F238E27FC236}">
              <a16:creationId xmlns:a16="http://schemas.microsoft.com/office/drawing/2014/main" id="{5A043788-C493-4081-ABC3-B51CEF92556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0" name="avatar">
          <a:extLst>
            <a:ext uri="{FF2B5EF4-FFF2-40B4-BE49-F238E27FC236}">
              <a16:creationId xmlns:a16="http://schemas.microsoft.com/office/drawing/2014/main" id="{A5714477-7656-4053-8AA3-A9B13B942D1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1" name="avatar">
          <a:extLst>
            <a:ext uri="{FF2B5EF4-FFF2-40B4-BE49-F238E27FC236}">
              <a16:creationId xmlns:a16="http://schemas.microsoft.com/office/drawing/2014/main" id="{AE6593CC-0E1C-444D-8C46-9A917B7B89D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2" name="avatar">
          <a:extLst>
            <a:ext uri="{FF2B5EF4-FFF2-40B4-BE49-F238E27FC236}">
              <a16:creationId xmlns:a16="http://schemas.microsoft.com/office/drawing/2014/main" id="{02587549-76A6-4486-A581-1C2830497ED7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3" name="avatar">
          <a:extLst>
            <a:ext uri="{FF2B5EF4-FFF2-40B4-BE49-F238E27FC236}">
              <a16:creationId xmlns:a16="http://schemas.microsoft.com/office/drawing/2014/main" id="{62C35AEA-21CA-4FD9-98C1-04234330709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4" name="avatar">
          <a:extLst>
            <a:ext uri="{FF2B5EF4-FFF2-40B4-BE49-F238E27FC236}">
              <a16:creationId xmlns:a16="http://schemas.microsoft.com/office/drawing/2014/main" id="{2F1F6F3A-077E-47AC-BED0-6F0627180C9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5" name="avatar">
          <a:extLst>
            <a:ext uri="{FF2B5EF4-FFF2-40B4-BE49-F238E27FC236}">
              <a16:creationId xmlns:a16="http://schemas.microsoft.com/office/drawing/2014/main" id="{EFACA017-2A3E-4C9D-96D4-661BBD832E8F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6" name="avatar">
          <a:extLst>
            <a:ext uri="{FF2B5EF4-FFF2-40B4-BE49-F238E27FC236}">
              <a16:creationId xmlns:a16="http://schemas.microsoft.com/office/drawing/2014/main" id="{B1E9C14E-481C-4F15-BBA6-A752AF5CF47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7" name="avatar">
          <a:extLst>
            <a:ext uri="{FF2B5EF4-FFF2-40B4-BE49-F238E27FC236}">
              <a16:creationId xmlns:a16="http://schemas.microsoft.com/office/drawing/2014/main" id="{F50C946C-3A26-4200-A299-5C0F84B0490A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8" name="avatar">
          <a:extLst>
            <a:ext uri="{FF2B5EF4-FFF2-40B4-BE49-F238E27FC236}">
              <a16:creationId xmlns:a16="http://schemas.microsoft.com/office/drawing/2014/main" id="{555503F2-C8F3-4A18-99BA-8D206C6E3C1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4</xdr:row>
      <xdr:rowOff>0</xdr:rowOff>
    </xdr:from>
    <xdr:ext cx="304800" cy="304800"/>
    <xdr:sp macro="" textlink="">
      <xdr:nvSpPr>
        <xdr:cNvPr id="879" name="avatar">
          <a:extLst>
            <a:ext uri="{FF2B5EF4-FFF2-40B4-BE49-F238E27FC236}">
              <a16:creationId xmlns:a16="http://schemas.microsoft.com/office/drawing/2014/main" id="{D294F946-11B6-40AE-9FBB-74B20CE2AA22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0" name="avatar">
          <a:extLst>
            <a:ext uri="{FF2B5EF4-FFF2-40B4-BE49-F238E27FC236}">
              <a16:creationId xmlns:a16="http://schemas.microsoft.com/office/drawing/2014/main" id="{0F895CBF-E2C6-4C57-AA85-AFA72E54195C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1" name="avatar">
          <a:extLst>
            <a:ext uri="{FF2B5EF4-FFF2-40B4-BE49-F238E27FC236}">
              <a16:creationId xmlns:a16="http://schemas.microsoft.com/office/drawing/2014/main" id="{CFB2D2D7-CF9D-43D8-A043-A35BF728E5D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2" name="avatar">
          <a:extLst>
            <a:ext uri="{FF2B5EF4-FFF2-40B4-BE49-F238E27FC236}">
              <a16:creationId xmlns:a16="http://schemas.microsoft.com/office/drawing/2014/main" id="{5181587A-6ECD-4622-A367-BCD5D5EA2DF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3" name="avatar">
          <a:extLst>
            <a:ext uri="{FF2B5EF4-FFF2-40B4-BE49-F238E27FC236}">
              <a16:creationId xmlns:a16="http://schemas.microsoft.com/office/drawing/2014/main" id="{15E29070-46DF-4A4D-A82E-7B5C8566F95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4" name="avatar">
          <a:extLst>
            <a:ext uri="{FF2B5EF4-FFF2-40B4-BE49-F238E27FC236}">
              <a16:creationId xmlns:a16="http://schemas.microsoft.com/office/drawing/2014/main" id="{47120EDB-A0C7-44C4-B156-0AF2FBC2993C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5" name="avatar">
          <a:extLst>
            <a:ext uri="{FF2B5EF4-FFF2-40B4-BE49-F238E27FC236}">
              <a16:creationId xmlns:a16="http://schemas.microsoft.com/office/drawing/2014/main" id="{74644A50-1B03-4A12-8FC4-5E291C3F720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6" name="avatar">
          <a:extLst>
            <a:ext uri="{FF2B5EF4-FFF2-40B4-BE49-F238E27FC236}">
              <a16:creationId xmlns:a16="http://schemas.microsoft.com/office/drawing/2014/main" id="{B4D157EC-62D2-439B-B159-F6020FBFB87B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7" name="avatar">
          <a:extLst>
            <a:ext uri="{FF2B5EF4-FFF2-40B4-BE49-F238E27FC236}">
              <a16:creationId xmlns:a16="http://schemas.microsoft.com/office/drawing/2014/main" id="{A587A229-19F6-460C-937F-0984B251271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8" name="avatar">
          <a:extLst>
            <a:ext uri="{FF2B5EF4-FFF2-40B4-BE49-F238E27FC236}">
              <a16:creationId xmlns:a16="http://schemas.microsoft.com/office/drawing/2014/main" id="{F5B377AE-619A-4B23-916E-FCC7C4699028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4</xdr:row>
      <xdr:rowOff>0</xdr:rowOff>
    </xdr:from>
    <xdr:ext cx="304800" cy="304800"/>
    <xdr:sp macro="" textlink="">
      <xdr:nvSpPr>
        <xdr:cNvPr id="889" name="avatar">
          <a:extLst>
            <a:ext uri="{FF2B5EF4-FFF2-40B4-BE49-F238E27FC236}">
              <a16:creationId xmlns:a16="http://schemas.microsoft.com/office/drawing/2014/main" id="{401C07B2-241C-4AE1-8B2D-FCE27DD8A7F4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0" name="avatar">
          <a:extLst>
            <a:ext uri="{FF2B5EF4-FFF2-40B4-BE49-F238E27FC236}">
              <a16:creationId xmlns:a16="http://schemas.microsoft.com/office/drawing/2014/main" id="{421BD5DB-3BB9-4B8A-BE36-C0F89494EEF8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1" name="avatar">
          <a:extLst>
            <a:ext uri="{FF2B5EF4-FFF2-40B4-BE49-F238E27FC236}">
              <a16:creationId xmlns:a16="http://schemas.microsoft.com/office/drawing/2014/main" id="{9A78C558-2DED-4CF5-B1B2-99F3355DED8F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2" name="avatar">
          <a:extLst>
            <a:ext uri="{FF2B5EF4-FFF2-40B4-BE49-F238E27FC236}">
              <a16:creationId xmlns:a16="http://schemas.microsoft.com/office/drawing/2014/main" id="{574D5E74-497D-4CC1-96D7-B0D7C759B695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3" name="avatar">
          <a:extLst>
            <a:ext uri="{FF2B5EF4-FFF2-40B4-BE49-F238E27FC236}">
              <a16:creationId xmlns:a16="http://schemas.microsoft.com/office/drawing/2014/main" id="{5E6D2D73-E373-4FA4-97B8-844547D7C84E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4" name="avatar">
          <a:extLst>
            <a:ext uri="{FF2B5EF4-FFF2-40B4-BE49-F238E27FC236}">
              <a16:creationId xmlns:a16="http://schemas.microsoft.com/office/drawing/2014/main" id="{833A10FB-F589-44E5-AC00-4B3915A7FF2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5" name="avatar">
          <a:extLst>
            <a:ext uri="{FF2B5EF4-FFF2-40B4-BE49-F238E27FC236}">
              <a16:creationId xmlns:a16="http://schemas.microsoft.com/office/drawing/2014/main" id="{694D6CEA-609C-49F1-B7D1-A2A04366D504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6" name="avatar">
          <a:extLst>
            <a:ext uri="{FF2B5EF4-FFF2-40B4-BE49-F238E27FC236}">
              <a16:creationId xmlns:a16="http://schemas.microsoft.com/office/drawing/2014/main" id="{557D4EA7-A561-409F-BA3E-361743AE623B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7" name="avatar">
          <a:extLst>
            <a:ext uri="{FF2B5EF4-FFF2-40B4-BE49-F238E27FC236}">
              <a16:creationId xmlns:a16="http://schemas.microsoft.com/office/drawing/2014/main" id="{AD6C4DC8-635A-4F97-85E4-3F5326B46470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8" name="avatar">
          <a:extLst>
            <a:ext uri="{FF2B5EF4-FFF2-40B4-BE49-F238E27FC236}">
              <a16:creationId xmlns:a16="http://schemas.microsoft.com/office/drawing/2014/main" id="{42C924A7-D86D-41E9-BF18-2073D41B6872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4</xdr:row>
      <xdr:rowOff>0</xdr:rowOff>
    </xdr:from>
    <xdr:ext cx="304800" cy="304800"/>
    <xdr:sp macro="" textlink="">
      <xdr:nvSpPr>
        <xdr:cNvPr id="899" name="avatar">
          <a:extLst>
            <a:ext uri="{FF2B5EF4-FFF2-40B4-BE49-F238E27FC236}">
              <a16:creationId xmlns:a16="http://schemas.microsoft.com/office/drawing/2014/main" id="{176F9162-A959-465B-B0C4-A2F418A0E55E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0" name="avatar">
          <a:extLst>
            <a:ext uri="{FF2B5EF4-FFF2-40B4-BE49-F238E27FC236}">
              <a16:creationId xmlns:a16="http://schemas.microsoft.com/office/drawing/2014/main" id="{80323417-CFBA-475D-BADF-251D570D8981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1" name="avatar">
          <a:extLst>
            <a:ext uri="{FF2B5EF4-FFF2-40B4-BE49-F238E27FC236}">
              <a16:creationId xmlns:a16="http://schemas.microsoft.com/office/drawing/2014/main" id="{B4592667-ACFB-4EEC-A1C7-358F30A37B21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2" name="avatar">
          <a:extLst>
            <a:ext uri="{FF2B5EF4-FFF2-40B4-BE49-F238E27FC236}">
              <a16:creationId xmlns:a16="http://schemas.microsoft.com/office/drawing/2014/main" id="{EA47BC1C-814F-4602-B8AA-E5D356A784A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3" name="avatar">
          <a:extLst>
            <a:ext uri="{FF2B5EF4-FFF2-40B4-BE49-F238E27FC236}">
              <a16:creationId xmlns:a16="http://schemas.microsoft.com/office/drawing/2014/main" id="{BD9D9184-6AC9-418C-B8E7-69E974763C83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4" name="avatar">
          <a:extLst>
            <a:ext uri="{FF2B5EF4-FFF2-40B4-BE49-F238E27FC236}">
              <a16:creationId xmlns:a16="http://schemas.microsoft.com/office/drawing/2014/main" id="{6254949A-8BBA-4345-9A76-37A215076A73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5" name="avatar">
          <a:extLst>
            <a:ext uri="{FF2B5EF4-FFF2-40B4-BE49-F238E27FC236}">
              <a16:creationId xmlns:a16="http://schemas.microsoft.com/office/drawing/2014/main" id="{EDDFBDC4-A3C6-4314-995C-4D2981C508D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6" name="avatar">
          <a:extLst>
            <a:ext uri="{FF2B5EF4-FFF2-40B4-BE49-F238E27FC236}">
              <a16:creationId xmlns:a16="http://schemas.microsoft.com/office/drawing/2014/main" id="{4EA63D50-1874-45D5-A3AE-9768E0CDFE1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7" name="avatar">
          <a:extLst>
            <a:ext uri="{FF2B5EF4-FFF2-40B4-BE49-F238E27FC236}">
              <a16:creationId xmlns:a16="http://schemas.microsoft.com/office/drawing/2014/main" id="{A315D337-3E4E-455D-A26B-707FDFAC3B38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8" name="avatar">
          <a:extLst>
            <a:ext uri="{FF2B5EF4-FFF2-40B4-BE49-F238E27FC236}">
              <a16:creationId xmlns:a16="http://schemas.microsoft.com/office/drawing/2014/main" id="{352B6DF5-2B2D-4F56-907D-571644F635A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4</xdr:row>
      <xdr:rowOff>0</xdr:rowOff>
    </xdr:from>
    <xdr:ext cx="304800" cy="304800"/>
    <xdr:sp macro="" textlink="">
      <xdr:nvSpPr>
        <xdr:cNvPr id="909" name="avatar">
          <a:extLst>
            <a:ext uri="{FF2B5EF4-FFF2-40B4-BE49-F238E27FC236}">
              <a16:creationId xmlns:a16="http://schemas.microsoft.com/office/drawing/2014/main" id="{B4DBB86B-252C-4E22-9922-84391FEC9E2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0" name="avatar">
          <a:extLst>
            <a:ext uri="{FF2B5EF4-FFF2-40B4-BE49-F238E27FC236}">
              <a16:creationId xmlns:a16="http://schemas.microsoft.com/office/drawing/2014/main" id="{E94C302E-9252-48C8-9761-463EB614D078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1" name="avatar">
          <a:extLst>
            <a:ext uri="{FF2B5EF4-FFF2-40B4-BE49-F238E27FC236}">
              <a16:creationId xmlns:a16="http://schemas.microsoft.com/office/drawing/2014/main" id="{57EF3BB3-FD9E-42F8-8856-9627EC471C5A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2" name="avatar">
          <a:extLst>
            <a:ext uri="{FF2B5EF4-FFF2-40B4-BE49-F238E27FC236}">
              <a16:creationId xmlns:a16="http://schemas.microsoft.com/office/drawing/2014/main" id="{E2B27C92-006F-4821-BB41-2B97F442714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3" name="avatar">
          <a:extLst>
            <a:ext uri="{FF2B5EF4-FFF2-40B4-BE49-F238E27FC236}">
              <a16:creationId xmlns:a16="http://schemas.microsoft.com/office/drawing/2014/main" id="{68280185-DC95-4931-A703-9D4A09C6B95E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4" name="avatar">
          <a:extLst>
            <a:ext uri="{FF2B5EF4-FFF2-40B4-BE49-F238E27FC236}">
              <a16:creationId xmlns:a16="http://schemas.microsoft.com/office/drawing/2014/main" id="{5204E65E-C096-46B9-B150-BE4762C5740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5" name="avatar">
          <a:extLst>
            <a:ext uri="{FF2B5EF4-FFF2-40B4-BE49-F238E27FC236}">
              <a16:creationId xmlns:a16="http://schemas.microsoft.com/office/drawing/2014/main" id="{C13C7634-541C-4DED-A1CB-F786999AD246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6" name="avatar">
          <a:extLst>
            <a:ext uri="{FF2B5EF4-FFF2-40B4-BE49-F238E27FC236}">
              <a16:creationId xmlns:a16="http://schemas.microsoft.com/office/drawing/2014/main" id="{8A85F2D3-36D0-46A0-96E5-F00227B37510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7" name="avatar">
          <a:extLst>
            <a:ext uri="{FF2B5EF4-FFF2-40B4-BE49-F238E27FC236}">
              <a16:creationId xmlns:a16="http://schemas.microsoft.com/office/drawing/2014/main" id="{CBF64E0C-9111-417F-B1C0-9EA3893028CF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8" name="avatar">
          <a:extLst>
            <a:ext uri="{FF2B5EF4-FFF2-40B4-BE49-F238E27FC236}">
              <a16:creationId xmlns:a16="http://schemas.microsoft.com/office/drawing/2014/main" id="{F14CD0B8-B956-47F4-8797-899B54901CE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4</xdr:row>
      <xdr:rowOff>0</xdr:rowOff>
    </xdr:from>
    <xdr:ext cx="304800" cy="304800"/>
    <xdr:sp macro="" textlink="">
      <xdr:nvSpPr>
        <xdr:cNvPr id="919" name="avatar">
          <a:extLst>
            <a:ext uri="{FF2B5EF4-FFF2-40B4-BE49-F238E27FC236}">
              <a16:creationId xmlns:a16="http://schemas.microsoft.com/office/drawing/2014/main" id="{A500567A-8BE1-43DB-BF42-590DAECF989C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0" name="avatar">
          <a:extLst>
            <a:ext uri="{FF2B5EF4-FFF2-40B4-BE49-F238E27FC236}">
              <a16:creationId xmlns:a16="http://schemas.microsoft.com/office/drawing/2014/main" id="{B575EB21-8159-4D53-8C07-A9C9EE1D52E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1" name="avatar">
          <a:extLst>
            <a:ext uri="{FF2B5EF4-FFF2-40B4-BE49-F238E27FC236}">
              <a16:creationId xmlns:a16="http://schemas.microsoft.com/office/drawing/2014/main" id="{7E0AD66D-DFB5-414D-9FF7-8121E250FD6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2" name="avatar">
          <a:extLst>
            <a:ext uri="{FF2B5EF4-FFF2-40B4-BE49-F238E27FC236}">
              <a16:creationId xmlns:a16="http://schemas.microsoft.com/office/drawing/2014/main" id="{7B113BF2-B821-4973-A2FF-A12BE50EEA19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3" name="avatar">
          <a:extLst>
            <a:ext uri="{FF2B5EF4-FFF2-40B4-BE49-F238E27FC236}">
              <a16:creationId xmlns:a16="http://schemas.microsoft.com/office/drawing/2014/main" id="{E31B77A4-4163-429F-BEFE-224E1D735AA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4" name="avatar">
          <a:extLst>
            <a:ext uri="{FF2B5EF4-FFF2-40B4-BE49-F238E27FC236}">
              <a16:creationId xmlns:a16="http://schemas.microsoft.com/office/drawing/2014/main" id="{FE1007F8-2466-4979-901F-7877320CA23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5" name="avatar">
          <a:extLst>
            <a:ext uri="{FF2B5EF4-FFF2-40B4-BE49-F238E27FC236}">
              <a16:creationId xmlns:a16="http://schemas.microsoft.com/office/drawing/2014/main" id="{AF54C416-0186-41B1-85AD-04D60B84FA1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6" name="avatar">
          <a:extLst>
            <a:ext uri="{FF2B5EF4-FFF2-40B4-BE49-F238E27FC236}">
              <a16:creationId xmlns:a16="http://schemas.microsoft.com/office/drawing/2014/main" id="{0B943A3B-FEF0-4B01-8484-E9A7849220AE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7" name="avatar">
          <a:extLst>
            <a:ext uri="{FF2B5EF4-FFF2-40B4-BE49-F238E27FC236}">
              <a16:creationId xmlns:a16="http://schemas.microsoft.com/office/drawing/2014/main" id="{34994A3E-8F86-4265-B6E4-2D47CFF1C050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8" name="avatar">
          <a:extLst>
            <a:ext uri="{FF2B5EF4-FFF2-40B4-BE49-F238E27FC236}">
              <a16:creationId xmlns:a16="http://schemas.microsoft.com/office/drawing/2014/main" id="{D5E82F87-ABCB-4280-82CC-F6032EFCF80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4</xdr:row>
      <xdr:rowOff>0</xdr:rowOff>
    </xdr:from>
    <xdr:ext cx="304800" cy="304800"/>
    <xdr:sp macro="" textlink="">
      <xdr:nvSpPr>
        <xdr:cNvPr id="929" name="avatar">
          <a:extLst>
            <a:ext uri="{FF2B5EF4-FFF2-40B4-BE49-F238E27FC236}">
              <a16:creationId xmlns:a16="http://schemas.microsoft.com/office/drawing/2014/main" id="{AEDEFB5F-F8D9-432B-ACB7-7E0BFCF7B069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0" name="avatar">
          <a:extLst>
            <a:ext uri="{FF2B5EF4-FFF2-40B4-BE49-F238E27FC236}">
              <a16:creationId xmlns:a16="http://schemas.microsoft.com/office/drawing/2014/main" id="{4BA657D7-7200-4A1E-A574-D679BC2A6312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1" name="avatar">
          <a:extLst>
            <a:ext uri="{FF2B5EF4-FFF2-40B4-BE49-F238E27FC236}">
              <a16:creationId xmlns:a16="http://schemas.microsoft.com/office/drawing/2014/main" id="{18374A9D-300F-41B1-AE27-657BFF968A1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2" name="avatar">
          <a:extLst>
            <a:ext uri="{FF2B5EF4-FFF2-40B4-BE49-F238E27FC236}">
              <a16:creationId xmlns:a16="http://schemas.microsoft.com/office/drawing/2014/main" id="{B6A2C5FB-6A9E-4BC0-A21F-09EFD0ACD1F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3" name="avatar">
          <a:extLst>
            <a:ext uri="{FF2B5EF4-FFF2-40B4-BE49-F238E27FC236}">
              <a16:creationId xmlns:a16="http://schemas.microsoft.com/office/drawing/2014/main" id="{A2F73353-B80C-4D1F-B175-F62A38626DD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4" name="avatar">
          <a:extLst>
            <a:ext uri="{FF2B5EF4-FFF2-40B4-BE49-F238E27FC236}">
              <a16:creationId xmlns:a16="http://schemas.microsoft.com/office/drawing/2014/main" id="{86D82F49-4BC3-4D85-9001-5C53845321A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5" name="avatar">
          <a:extLst>
            <a:ext uri="{FF2B5EF4-FFF2-40B4-BE49-F238E27FC236}">
              <a16:creationId xmlns:a16="http://schemas.microsoft.com/office/drawing/2014/main" id="{87AF59A1-A422-4B7D-8736-C9584F1504D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6" name="avatar">
          <a:extLst>
            <a:ext uri="{FF2B5EF4-FFF2-40B4-BE49-F238E27FC236}">
              <a16:creationId xmlns:a16="http://schemas.microsoft.com/office/drawing/2014/main" id="{4529E0BF-81B5-4B7A-A377-AD5D412B99A5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7" name="avatar">
          <a:extLst>
            <a:ext uri="{FF2B5EF4-FFF2-40B4-BE49-F238E27FC236}">
              <a16:creationId xmlns:a16="http://schemas.microsoft.com/office/drawing/2014/main" id="{9A7DC030-908A-4B5F-89C8-146BA1BB9DEA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8" name="avatar">
          <a:extLst>
            <a:ext uri="{FF2B5EF4-FFF2-40B4-BE49-F238E27FC236}">
              <a16:creationId xmlns:a16="http://schemas.microsoft.com/office/drawing/2014/main" id="{87CF82A0-5199-43D7-ACB3-AC4BC5EA7F1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4</xdr:row>
      <xdr:rowOff>0</xdr:rowOff>
    </xdr:from>
    <xdr:ext cx="304800" cy="304800"/>
    <xdr:sp macro="" textlink="">
      <xdr:nvSpPr>
        <xdr:cNvPr id="939" name="avatar">
          <a:extLst>
            <a:ext uri="{FF2B5EF4-FFF2-40B4-BE49-F238E27FC236}">
              <a16:creationId xmlns:a16="http://schemas.microsoft.com/office/drawing/2014/main" id="{41EA0CF7-FBEE-4F68-BDC1-5AF0E73EC66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0" name="avatar">
          <a:extLst>
            <a:ext uri="{FF2B5EF4-FFF2-40B4-BE49-F238E27FC236}">
              <a16:creationId xmlns:a16="http://schemas.microsoft.com/office/drawing/2014/main" id="{CECAC28B-FE61-4260-8CA1-3C27365B6DA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1" name="avatar">
          <a:extLst>
            <a:ext uri="{FF2B5EF4-FFF2-40B4-BE49-F238E27FC236}">
              <a16:creationId xmlns:a16="http://schemas.microsoft.com/office/drawing/2014/main" id="{1CE111EC-66EC-49FF-91B5-C2A8FDC05B1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2" name="avatar">
          <a:extLst>
            <a:ext uri="{FF2B5EF4-FFF2-40B4-BE49-F238E27FC236}">
              <a16:creationId xmlns:a16="http://schemas.microsoft.com/office/drawing/2014/main" id="{E9839284-8148-4423-992A-B82C69D86F72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3" name="avatar">
          <a:extLst>
            <a:ext uri="{FF2B5EF4-FFF2-40B4-BE49-F238E27FC236}">
              <a16:creationId xmlns:a16="http://schemas.microsoft.com/office/drawing/2014/main" id="{ECB309AC-42D0-4300-B0B9-0DBC30CCED4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4" name="avatar">
          <a:extLst>
            <a:ext uri="{FF2B5EF4-FFF2-40B4-BE49-F238E27FC236}">
              <a16:creationId xmlns:a16="http://schemas.microsoft.com/office/drawing/2014/main" id="{F12C9596-994C-47A3-86B6-FA88E24C9AA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5" name="avatar">
          <a:extLst>
            <a:ext uri="{FF2B5EF4-FFF2-40B4-BE49-F238E27FC236}">
              <a16:creationId xmlns:a16="http://schemas.microsoft.com/office/drawing/2014/main" id="{CC0DF555-1940-48D5-A9CC-FD76775F1984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6" name="avatar">
          <a:extLst>
            <a:ext uri="{FF2B5EF4-FFF2-40B4-BE49-F238E27FC236}">
              <a16:creationId xmlns:a16="http://schemas.microsoft.com/office/drawing/2014/main" id="{680863C0-1992-44EC-859D-630995B7EB3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7" name="avatar">
          <a:extLst>
            <a:ext uri="{FF2B5EF4-FFF2-40B4-BE49-F238E27FC236}">
              <a16:creationId xmlns:a16="http://schemas.microsoft.com/office/drawing/2014/main" id="{19380531-5741-4F27-B4F2-1C37B28CD544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8" name="avatar">
          <a:extLst>
            <a:ext uri="{FF2B5EF4-FFF2-40B4-BE49-F238E27FC236}">
              <a16:creationId xmlns:a16="http://schemas.microsoft.com/office/drawing/2014/main" id="{8B641E7F-87BA-47D1-B60A-B992DBF9507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4</xdr:row>
      <xdr:rowOff>0</xdr:rowOff>
    </xdr:from>
    <xdr:ext cx="304800" cy="304800"/>
    <xdr:sp macro="" textlink="">
      <xdr:nvSpPr>
        <xdr:cNvPr id="949" name="avatar">
          <a:extLst>
            <a:ext uri="{FF2B5EF4-FFF2-40B4-BE49-F238E27FC236}">
              <a16:creationId xmlns:a16="http://schemas.microsoft.com/office/drawing/2014/main" id="{342ADDE5-0126-4134-ACD9-B28BF194A17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0" name="avatar">
          <a:extLst>
            <a:ext uri="{FF2B5EF4-FFF2-40B4-BE49-F238E27FC236}">
              <a16:creationId xmlns:a16="http://schemas.microsoft.com/office/drawing/2014/main" id="{02504BF3-E723-4640-AC72-6BB6C32C5A5C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1" name="avatar">
          <a:extLst>
            <a:ext uri="{FF2B5EF4-FFF2-40B4-BE49-F238E27FC236}">
              <a16:creationId xmlns:a16="http://schemas.microsoft.com/office/drawing/2014/main" id="{347E77B3-2ECD-4806-88E0-0457F909CD94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2" name="avatar">
          <a:extLst>
            <a:ext uri="{FF2B5EF4-FFF2-40B4-BE49-F238E27FC236}">
              <a16:creationId xmlns:a16="http://schemas.microsoft.com/office/drawing/2014/main" id="{C6D611E5-C59A-40AD-9B43-77C91D4C4CC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3" name="avatar">
          <a:extLst>
            <a:ext uri="{FF2B5EF4-FFF2-40B4-BE49-F238E27FC236}">
              <a16:creationId xmlns:a16="http://schemas.microsoft.com/office/drawing/2014/main" id="{A44552CB-661C-40BF-A85B-53A9B8D49C37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4" name="avatar">
          <a:extLst>
            <a:ext uri="{FF2B5EF4-FFF2-40B4-BE49-F238E27FC236}">
              <a16:creationId xmlns:a16="http://schemas.microsoft.com/office/drawing/2014/main" id="{7246C31A-25BB-4EB8-B084-686CBF08919A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5" name="avatar">
          <a:extLst>
            <a:ext uri="{FF2B5EF4-FFF2-40B4-BE49-F238E27FC236}">
              <a16:creationId xmlns:a16="http://schemas.microsoft.com/office/drawing/2014/main" id="{09216268-07B2-40FC-8443-CD7BA31BF677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6" name="avatar">
          <a:extLst>
            <a:ext uri="{FF2B5EF4-FFF2-40B4-BE49-F238E27FC236}">
              <a16:creationId xmlns:a16="http://schemas.microsoft.com/office/drawing/2014/main" id="{367560D0-AC76-45C6-9DE6-E756F65EC8C9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7" name="avatar">
          <a:extLst>
            <a:ext uri="{FF2B5EF4-FFF2-40B4-BE49-F238E27FC236}">
              <a16:creationId xmlns:a16="http://schemas.microsoft.com/office/drawing/2014/main" id="{35217AFA-59AE-4354-90A2-E28583DB0F6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8" name="avatar">
          <a:extLst>
            <a:ext uri="{FF2B5EF4-FFF2-40B4-BE49-F238E27FC236}">
              <a16:creationId xmlns:a16="http://schemas.microsoft.com/office/drawing/2014/main" id="{50316302-931F-4739-8A33-2E35653A34A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59" name="avatar">
          <a:extLst>
            <a:ext uri="{FF2B5EF4-FFF2-40B4-BE49-F238E27FC236}">
              <a16:creationId xmlns:a16="http://schemas.microsoft.com/office/drawing/2014/main" id="{3FC20EF2-DADC-4244-96F0-1D8AB032000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0" name="avatar">
          <a:extLst>
            <a:ext uri="{FF2B5EF4-FFF2-40B4-BE49-F238E27FC236}">
              <a16:creationId xmlns:a16="http://schemas.microsoft.com/office/drawing/2014/main" id="{7971D46E-D99C-4B9E-8E27-45E37701152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1" name="avatar">
          <a:extLst>
            <a:ext uri="{FF2B5EF4-FFF2-40B4-BE49-F238E27FC236}">
              <a16:creationId xmlns:a16="http://schemas.microsoft.com/office/drawing/2014/main" id="{844B234B-5241-489B-B73A-4C5AE6C01506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2" name="avatar">
          <a:extLst>
            <a:ext uri="{FF2B5EF4-FFF2-40B4-BE49-F238E27FC236}">
              <a16:creationId xmlns:a16="http://schemas.microsoft.com/office/drawing/2014/main" id="{384FFDDB-9697-4796-9EC7-8128AD2B9D41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3" name="avatar">
          <a:extLst>
            <a:ext uri="{FF2B5EF4-FFF2-40B4-BE49-F238E27FC236}">
              <a16:creationId xmlns:a16="http://schemas.microsoft.com/office/drawing/2014/main" id="{2E410657-9125-4663-A611-C6A4C82DCEB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4" name="avatar">
          <a:extLst>
            <a:ext uri="{FF2B5EF4-FFF2-40B4-BE49-F238E27FC236}">
              <a16:creationId xmlns:a16="http://schemas.microsoft.com/office/drawing/2014/main" id="{67EBA0F4-F5D1-461A-B962-D835D685868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5" name="avatar">
          <a:extLst>
            <a:ext uri="{FF2B5EF4-FFF2-40B4-BE49-F238E27FC236}">
              <a16:creationId xmlns:a16="http://schemas.microsoft.com/office/drawing/2014/main" id="{8E4546E4-9971-4052-9F23-44200C6C182F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6" name="avatar">
          <a:extLst>
            <a:ext uri="{FF2B5EF4-FFF2-40B4-BE49-F238E27FC236}">
              <a16:creationId xmlns:a16="http://schemas.microsoft.com/office/drawing/2014/main" id="{66E0DE31-264A-4B77-83BA-8D6A3C9B752A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7" name="avatar">
          <a:extLst>
            <a:ext uri="{FF2B5EF4-FFF2-40B4-BE49-F238E27FC236}">
              <a16:creationId xmlns:a16="http://schemas.microsoft.com/office/drawing/2014/main" id="{5B024D01-BE8B-452A-AA28-EC4E0BA095BA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8" name="avatar">
          <a:extLst>
            <a:ext uri="{FF2B5EF4-FFF2-40B4-BE49-F238E27FC236}">
              <a16:creationId xmlns:a16="http://schemas.microsoft.com/office/drawing/2014/main" id="{C6952434-39A7-4D11-A74D-C15B650E19F1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4</xdr:row>
      <xdr:rowOff>0</xdr:rowOff>
    </xdr:from>
    <xdr:ext cx="304800" cy="304800"/>
    <xdr:sp macro="" textlink="">
      <xdr:nvSpPr>
        <xdr:cNvPr id="969" name="avatar">
          <a:extLst>
            <a:ext uri="{FF2B5EF4-FFF2-40B4-BE49-F238E27FC236}">
              <a16:creationId xmlns:a16="http://schemas.microsoft.com/office/drawing/2014/main" id="{DAE13EA4-D93F-460F-9CF0-D0A55CABB69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0" name="avatar">
          <a:extLst>
            <a:ext uri="{FF2B5EF4-FFF2-40B4-BE49-F238E27FC236}">
              <a16:creationId xmlns:a16="http://schemas.microsoft.com/office/drawing/2014/main" id="{86E60D61-8001-4538-9CA8-DFCE360C5D0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1" name="avatar">
          <a:extLst>
            <a:ext uri="{FF2B5EF4-FFF2-40B4-BE49-F238E27FC236}">
              <a16:creationId xmlns:a16="http://schemas.microsoft.com/office/drawing/2014/main" id="{40E7574A-4A19-48FD-8087-BE72B6739F8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2" name="avatar">
          <a:extLst>
            <a:ext uri="{FF2B5EF4-FFF2-40B4-BE49-F238E27FC236}">
              <a16:creationId xmlns:a16="http://schemas.microsoft.com/office/drawing/2014/main" id="{5FD5E8D9-C33D-4BC9-B625-3D807F33E0F5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3" name="avatar">
          <a:extLst>
            <a:ext uri="{FF2B5EF4-FFF2-40B4-BE49-F238E27FC236}">
              <a16:creationId xmlns:a16="http://schemas.microsoft.com/office/drawing/2014/main" id="{83E251CA-951C-4114-B5AB-EFF6E93D232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4" name="avatar">
          <a:extLst>
            <a:ext uri="{FF2B5EF4-FFF2-40B4-BE49-F238E27FC236}">
              <a16:creationId xmlns:a16="http://schemas.microsoft.com/office/drawing/2014/main" id="{447D3E52-9B11-4DDF-B593-19BC5595485E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5" name="avatar">
          <a:extLst>
            <a:ext uri="{FF2B5EF4-FFF2-40B4-BE49-F238E27FC236}">
              <a16:creationId xmlns:a16="http://schemas.microsoft.com/office/drawing/2014/main" id="{45AFEF79-0726-4B1D-9166-6317BBDE1056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6" name="avatar">
          <a:extLst>
            <a:ext uri="{FF2B5EF4-FFF2-40B4-BE49-F238E27FC236}">
              <a16:creationId xmlns:a16="http://schemas.microsoft.com/office/drawing/2014/main" id="{484C1986-05C6-4149-9150-B84AEDE3B67C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7" name="avatar">
          <a:extLst>
            <a:ext uri="{FF2B5EF4-FFF2-40B4-BE49-F238E27FC236}">
              <a16:creationId xmlns:a16="http://schemas.microsoft.com/office/drawing/2014/main" id="{DB06A4F4-15CB-4F89-8950-0DCCD5D2CE6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8" name="avatar">
          <a:extLst>
            <a:ext uri="{FF2B5EF4-FFF2-40B4-BE49-F238E27FC236}">
              <a16:creationId xmlns:a16="http://schemas.microsoft.com/office/drawing/2014/main" id="{D140FA17-57CE-4254-AD5E-0ECA990CF372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9" name="avatar">
          <a:extLst>
            <a:ext uri="{FF2B5EF4-FFF2-40B4-BE49-F238E27FC236}">
              <a16:creationId xmlns:a16="http://schemas.microsoft.com/office/drawing/2014/main" id="{085F21BE-74CD-4A42-A457-093555C10062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0" name="avatar">
          <a:extLst>
            <a:ext uri="{FF2B5EF4-FFF2-40B4-BE49-F238E27FC236}">
              <a16:creationId xmlns:a16="http://schemas.microsoft.com/office/drawing/2014/main" id="{82E63209-0E28-4BB8-A1C4-8E45B370E3EE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1" name="avatar">
          <a:extLst>
            <a:ext uri="{FF2B5EF4-FFF2-40B4-BE49-F238E27FC236}">
              <a16:creationId xmlns:a16="http://schemas.microsoft.com/office/drawing/2014/main" id="{89BA6304-FC83-4180-8DCE-7277ED60F618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2" name="avatar">
          <a:extLst>
            <a:ext uri="{FF2B5EF4-FFF2-40B4-BE49-F238E27FC236}">
              <a16:creationId xmlns:a16="http://schemas.microsoft.com/office/drawing/2014/main" id="{2533938D-199C-4077-82CC-740E08802F09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3" name="avatar">
          <a:extLst>
            <a:ext uri="{FF2B5EF4-FFF2-40B4-BE49-F238E27FC236}">
              <a16:creationId xmlns:a16="http://schemas.microsoft.com/office/drawing/2014/main" id="{663871D2-F4C8-482D-A2ED-662F24EEDA73}"/>
            </a:ext>
          </a:extLst>
        </xdr:cNvPr>
        <xdr:cNvSpPr>
          <a:spLocks noChangeAspect="1" noChangeArrowheads="1"/>
        </xdr:cNvSpPr>
      </xdr:nvSpPr>
      <xdr:spPr bwMode="auto">
        <a:xfrm>
          <a:off x="87706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4" name="avatar">
          <a:extLst>
            <a:ext uri="{FF2B5EF4-FFF2-40B4-BE49-F238E27FC236}">
              <a16:creationId xmlns:a16="http://schemas.microsoft.com/office/drawing/2014/main" id="{E83AEEDF-1A62-4DAA-9C50-69986A221FAF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5" name="avatar">
          <a:extLst>
            <a:ext uri="{FF2B5EF4-FFF2-40B4-BE49-F238E27FC236}">
              <a16:creationId xmlns:a16="http://schemas.microsoft.com/office/drawing/2014/main" id="{7D760ECF-62B6-4C4D-B68B-3D6DEE4C2FD7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6" name="avatar">
          <a:extLst>
            <a:ext uri="{FF2B5EF4-FFF2-40B4-BE49-F238E27FC236}">
              <a16:creationId xmlns:a16="http://schemas.microsoft.com/office/drawing/2014/main" id="{139C256C-F11E-423E-99E9-77BBFCE01C2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7" name="avatar">
          <a:extLst>
            <a:ext uri="{FF2B5EF4-FFF2-40B4-BE49-F238E27FC236}">
              <a16:creationId xmlns:a16="http://schemas.microsoft.com/office/drawing/2014/main" id="{946A75B6-ACAE-4E83-9E20-F050FEF3BAC7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8" name="avatar">
          <a:extLst>
            <a:ext uri="{FF2B5EF4-FFF2-40B4-BE49-F238E27FC236}">
              <a16:creationId xmlns:a16="http://schemas.microsoft.com/office/drawing/2014/main" id="{7C7ADA9A-C37D-4C65-965F-5634FDF731A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89" name="avatar">
          <a:extLst>
            <a:ext uri="{FF2B5EF4-FFF2-40B4-BE49-F238E27FC236}">
              <a16:creationId xmlns:a16="http://schemas.microsoft.com/office/drawing/2014/main" id="{8B30AC9F-5DB4-45D6-8955-5A4DFEC1B6D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0" name="avatar">
          <a:extLst>
            <a:ext uri="{FF2B5EF4-FFF2-40B4-BE49-F238E27FC236}">
              <a16:creationId xmlns:a16="http://schemas.microsoft.com/office/drawing/2014/main" id="{9146F579-2470-4317-ABA3-31D47C6EA0D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1" name="avatar">
          <a:extLst>
            <a:ext uri="{FF2B5EF4-FFF2-40B4-BE49-F238E27FC236}">
              <a16:creationId xmlns:a16="http://schemas.microsoft.com/office/drawing/2014/main" id="{E4D9C67F-0C51-4832-B652-D69EE29AF31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2" name="avatar">
          <a:extLst>
            <a:ext uri="{FF2B5EF4-FFF2-40B4-BE49-F238E27FC236}">
              <a16:creationId xmlns:a16="http://schemas.microsoft.com/office/drawing/2014/main" id="{47898431-BEFC-499D-A933-461246196DA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3" name="avatar">
          <a:extLst>
            <a:ext uri="{FF2B5EF4-FFF2-40B4-BE49-F238E27FC236}">
              <a16:creationId xmlns:a16="http://schemas.microsoft.com/office/drawing/2014/main" id="{55907E92-F377-423E-9EC9-D27F9702F9F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4" name="avatar">
          <a:extLst>
            <a:ext uri="{FF2B5EF4-FFF2-40B4-BE49-F238E27FC236}">
              <a16:creationId xmlns:a16="http://schemas.microsoft.com/office/drawing/2014/main" id="{BF652810-37D4-45A0-BCF3-2322BFE34FFC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5" name="avatar">
          <a:extLst>
            <a:ext uri="{FF2B5EF4-FFF2-40B4-BE49-F238E27FC236}">
              <a16:creationId xmlns:a16="http://schemas.microsoft.com/office/drawing/2014/main" id="{39D5AA10-E45F-4AAC-99A6-C942924FA878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6" name="avatar">
          <a:extLst>
            <a:ext uri="{FF2B5EF4-FFF2-40B4-BE49-F238E27FC236}">
              <a16:creationId xmlns:a16="http://schemas.microsoft.com/office/drawing/2014/main" id="{7F448FD4-E059-44F9-9577-5AA933B63BA3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7" name="avatar">
          <a:extLst>
            <a:ext uri="{FF2B5EF4-FFF2-40B4-BE49-F238E27FC236}">
              <a16:creationId xmlns:a16="http://schemas.microsoft.com/office/drawing/2014/main" id="{A63A255C-E397-4E56-8B7C-BB6F92C72A64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8" name="avatar">
          <a:extLst>
            <a:ext uri="{FF2B5EF4-FFF2-40B4-BE49-F238E27FC236}">
              <a16:creationId xmlns:a16="http://schemas.microsoft.com/office/drawing/2014/main" id="{A48A6B7C-86A5-47F5-8318-1EBCCE16108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999" name="avatar">
          <a:extLst>
            <a:ext uri="{FF2B5EF4-FFF2-40B4-BE49-F238E27FC236}">
              <a16:creationId xmlns:a16="http://schemas.microsoft.com/office/drawing/2014/main" id="{17C9022F-67EB-45E1-97C3-D4CEC33D3A0A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000" name="avatar">
          <a:extLst>
            <a:ext uri="{FF2B5EF4-FFF2-40B4-BE49-F238E27FC236}">
              <a16:creationId xmlns:a16="http://schemas.microsoft.com/office/drawing/2014/main" id="{F5DB84B4-090E-4BE1-AD37-23EB3A65E8AE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001" name="avatar">
          <a:extLst>
            <a:ext uri="{FF2B5EF4-FFF2-40B4-BE49-F238E27FC236}">
              <a16:creationId xmlns:a16="http://schemas.microsoft.com/office/drawing/2014/main" id="{CB7635CD-BCA8-4947-8ADA-BC0EE8699E8B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002" name="avatar">
          <a:extLst>
            <a:ext uri="{FF2B5EF4-FFF2-40B4-BE49-F238E27FC236}">
              <a16:creationId xmlns:a16="http://schemas.microsoft.com/office/drawing/2014/main" id="{09876B3F-B9EB-4EA6-B8A8-E299C95115E6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003" name="avatar">
          <a:extLst>
            <a:ext uri="{FF2B5EF4-FFF2-40B4-BE49-F238E27FC236}">
              <a16:creationId xmlns:a16="http://schemas.microsoft.com/office/drawing/2014/main" id="{8AEB3096-9CF8-48A8-9BC2-DF55FE716407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4" name="avatar">
          <a:extLst>
            <a:ext uri="{FF2B5EF4-FFF2-40B4-BE49-F238E27FC236}">
              <a16:creationId xmlns:a16="http://schemas.microsoft.com/office/drawing/2014/main" id="{432F1CAF-E4FE-450E-B898-99C789984FE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5" name="avatar">
          <a:extLst>
            <a:ext uri="{FF2B5EF4-FFF2-40B4-BE49-F238E27FC236}">
              <a16:creationId xmlns:a16="http://schemas.microsoft.com/office/drawing/2014/main" id="{2AFBA742-97E6-4FBF-A1BD-1C4A83883326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6" name="avatar">
          <a:extLst>
            <a:ext uri="{FF2B5EF4-FFF2-40B4-BE49-F238E27FC236}">
              <a16:creationId xmlns:a16="http://schemas.microsoft.com/office/drawing/2014/main" id="{1B85E8FC-0841-4115-9720-AA8C9F4F3347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7" name="avatar">
          <a:extLst>
            <a:ext uri="{FF2B5EF4-FFF2-40B4-BE49-F238E27FC236}">
              <a16:creationId xmlns:a16="http://schemas.microsoft.com/office/drawing/2014/main" id="{C7AD1522-AFA2-4A5C-B0B6-6D62D869DDE3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8" name="avatar">
          <a:extLst>
            <a:ext uri="{FF2B5EF4-FFF2-40B4-BE49-F238E27FC236}">
              <a16:creationId xmlns:a16="http://schemas.microsoft.com/office/drawing/2014/main" id="{A213310C-810F-4AC4-B86A-DB6F761FDEDB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09" name="avatar">
          <a:extLst>
            <a:ext uri="{FF2B5EF4-FFF2-40B4-BE49-F238E27FC236}">
              <a16:creationId xmlns:a16="http://schemas.microsoft.com/office/drawing/2014/main" id="{BFF17091-479A-4B28-82FF-EAF09E25C60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10" name="avatar">
          <a:extLst>
            <a:ext uri="{FF2B5EF4-FFF2-40B4-BE49-F238E27FC236}">
              <a16:creationId xmlns:a16="http://schemas.microsoft.com/office/drawing/2014/main" id="{A6615DD6-4EF1-44E3-A5E3-4466FAFAB8B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11" name="avatar">
          <a:extLst>
            <a:ext uri="{FF2B5EF4-FFF2-40B4-BE49-F238E27FC236}">
              <a16:creationId xmlns:a16="http://schemas.microsoft.com/office/drawing/2014/main" id="{1263ACE9-AAAB-4629-A6A4-9AE2268018D6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12" name="avatar">
          <a:extLst>
            <a:ext uri="{FF2B5EF4-FFF2-40B4-BE49-F238E27FC236}">
              <a16:creationId xmlns:a16="http://schemas.microsoft.com/office/drawing/2014/main" id="{DF684664-2AE2-4D1F-B1EF-B9B1AA777686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013" name="avatar">
          <a:extLst>
            <a:ext uri="{FF2B5EF4-FFF2-40B4-BE49-F238E27FC236}">
              <a16:creationId xmlns:a16="http://schemas.microsoft.com/office/drawing/2014/main" id="{F3B9E20A-58C7-41C4-9DBB-BAEB1D1D946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4" name="avatar">
          <a:extLst>
            <a:ext uri="{FF2B5EF4-FFF2-40B4-BE49-F238E27FC236}">
              <a16:creationId xmlns:a16="http://schemas.microsoft.com/office/drawing/2014/main" id="{BB61D4D3-8844-4E9D-9DD9-E88B44248ACC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5" name="avatar">
          <a:extLst>
            <a:ext uri="{FF2B5EF4-FFF2-40B4-BE49-F238E27FC236}">
              <a16:creationId xmlns:a16="http://schemas.microsoft.com/office/drawing/2014/main" id="{0524D9CC-2F76-4CDC-8CBD-28F30CA6B148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6" name="avatar">
          <a:extLst>
            <a:ext uri="{FF2B5EF4-FFF2-40B4-BE49-F238E27FC236}">
              <a16:creationId xmlns:a16="http://schemas.microsoft.com/office/drawing/2014/main" id="{A77DEE13-F980-4A10-87C2-5D3FAD049A20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7" name="avatar">
          <a:extLst>
            <a:ext uri="{FF2B5EF4-FFF2-40B4-BE49-F238E27FC236}">
              <a16:creationId xmlns:a16="http://schemas.microsoft.com/office/drawing/2014/main" id="{E224F671-5811-426A-A4C0-0BDDCA59D036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8" name="avatar">
          <a:extLst>
            <a:ext uri="{FF2B5EF4-FFF2-40B4-BE49-F238E27FC236}">
              <a16:creationId xmlns:a16="http://schemas.microsoft.com/office/drawing/2014/main" id="{A2B6DAC9-60FB-482C-A51B-B4074C63D412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19" name="avatar">
          <a:extLst>
            <a:ext uri="{FF2B5EF4-FFF2-40B4-BE49-F238E27FC236}">
              <a16:creationId xmlns:a16="http://schemas.microsoft.com/office/drawing/2014/main" id="{48FAE7BD-32BD-4A9A-9E15-1A4AF344DA9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20" name="avatar">
          <a:extLst>
            <a:ext uri="{FF2B5EF4-FFF2-40B4-BE49-F238E27FC236}">
              <a16:creationId xmlns:a16="http://schemas.microsoft.com/office/drawing/2014/main" id="{CB3B5281-4C10-446B-B6FD-E61D7E540221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21" name="avatar">
          <a:extLst>
            <a:ext uri="{FF2B5EF4-FFF2-40B4-BE49-F238E27FC236}">
              <a16:creationId xmlns:a16="http://schemas.microsoft.com/office/drawing/2014/main" id="{CE670A0E-6F6C-40E0-BFE9-CE487FA25BC7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22" name="avatar">
          <a:extLst>
            <a:ext uri="{FF2B5EF4-FFF2-40B4-BE49-F238E27FC236}">
              <a16:creationId xmlns:a16="http://schemas.microsoft.com/office/drawing/2014/main" id="{22D5EE25-109F-4166-80FC-FAFB3AE0A65D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023" name="avatar">
          <a:extLst>
            <a:ext uri="{FF2B5EF4-FFF2-40B4-BE49-F238E27FC236}">
              <a16:creationId xmlns:a16="http://schemas.microsoft.com/office/drawing/2014/main" id="{F9274FC2-28B3-4BF8-B728-18143E86B0C9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4" name="avatar">
          <a:extLst>
            <a:ext uri="{FF2B5EF4-FFF2-40B4-BE49-F238E27FC236}">
              <a16:creationId xmlns:a16="http://schemas.microsoft.com/office/drawing/2014/main" id="{C743D783-B31A-487B-AB7E-44A1408FAD8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5" name="avatar">
          <a:extLst>
            <a:ext uri="{FF2B5EF4-FFF2-40B4-BE49-F238E27FC236}">
              <a16:creationId xmlns:a16="http://schemas.microsoft.com/office/drawing/2014/main" id="{74A74075-FFF2-4FC3-8FDB-2720B0F97E0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6" name="avatar">
          <a:extLst>
            <a:ext uri="{FF2B5EF4-FFF2-40B4-BE49-F238E27FC236}">
              <a16:creationId xmlns:a16="http://schemas.microsoft.com/office/drawing/2014/main" id="{BA595FA6-F283-4E14-8BB6-0704AB40453A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7" name="avatar">
          <a:extLst>
            <a:ext uri="{FF2B5EF4-FFF2-40B4-BE49-F238E27FC236}">
              <a16:creationId xmlns:a16="http://schemas.microsoft.com/office/drawing/2014/main" id="{DF1FDBD4-2C43-47CA-A76A-E9DB6377EA5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8" name="avatar">
          <a:extLst>
            <a:ext uri="{FF2B5EF4-FFF2-40B4-BE49-F238E27FC236}">
              <a16:creationId xmlns:a16="http://schemas.microsoft.com/office/drawing/2014/main" id="{957C353B-D822-4588-B59B-3F4297E879F0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29" name="avatar">
          <a:extLst>
            <a:ext uri="{FF2B5EF4-FFF2-40B4-BE49-F238E27FC236}">
              <a16:creationId xmlns:a16="http://schemas.microsoft.com/office/drawing/2014/main" id="{DEFF02CB-30AF-4FAB-A367-771284EA14E7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30" name="avatar">
          <a:extLst>
            <a:ext uri="{FF2B5EF4-FFF2-40B4-BE49-F238E27FC236}">
              <a16:creationId xmlns:a16="http://schemas.microsoft.com/office/drawing/2014/main" id="{6AFE4038-ED34-4828-BB1F-B4C8C7B5E4B3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31" name="avatar">
          <a:extLst>
            <a:ext uri="{FF2B5EF4-FFF2-40B4-BE49-F238E27FC236}">
              <a16:creationId xmlns:a16="http://schemas.microsoft.com/office/drawing/2014/main" id="{919F6B10-9CCC-4F40-BC83-F6280F8FC5DB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32" name="avatar">
          <a:extLst>
            <a:ext uri="{FF2B5EF4-FFF2-40B4-BE49-F238E27FC236}">
              <a16:creationId xmlns:a16="http://schemas.microsoft.com/office/drawing/2014/main" id="{9D67B9C0-3BC6-4CF2-B6D7-9DCEB79BAA89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033" name="avatar">
          <a:extLst>
            <a:ext uri="{FF2B5EF4-FFF2-40B4-BE49-F238E27FC236}">
              <a16:creationId xmlns:a16="http://schemas.microsoft.com/office/drawing/2014/main" id="{0496C06C-2451-422E-93CF-25DE33DC5A7E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4" name="avatar">
          <a:extLst>
            <a:ext uri="{FF2B5EF4-FFF2-40B4-BE49-F238E27FC236}">
              <a16:creationId xmlns:a16="http://schemas.microsoft.com/office/drawing/2014/main" id="{493BBBC1-1B3B-4352-9086-770802A82185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5" name="avatar">
          <a:extLst>
            <a:ext uri="{FF2B5EF4-FFF2-40B4-BE49-F238E27FC236}">
              <a16:creationId xmlns:a16="http://schemas.microsoft.com/office/drawing/2014/main" id="{11257CAA-8E5C-45D5-A00A-99F85A7AB11D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6" name="avatar">
          <a:extLst>
            <a:ext uri="{FF2B5EF4-FFF2-40B4-BE49-F238E27FC236}">
              <a16:creationId xmlns:a16="http://schemas.microsoft.com/office/drawing/2014/main" id="{93D4C142-E20D-4178-862B-1341633A44F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7" name="avatar">
          <a:extLst>
            <a:ext uri="{FF2B5EF4-FFF2-40B4-BE49-F238E27FC236}">
              <a16:creationId xmlns:a16="http://schemas.microsoft.com/office/drawing/2014/main" id="{392B26D2-B8FA-4966-BBBB-199FE431C94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8" name="avatar">
          <a:extLst>
            <a:ext uri="{FF2B5EF4-FFF2-40B4-BE49-F238E27FC236}">
              <a16:creationId xmlns:a16="http://schemas.microsoft.com/office/drawing/2014/main" id="{CA58558A-5B2B-409B-88F9-5B9FD01C5F4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39" name="avatar">
          <a:extLst>
            <a:ext uri="{FF2B5EF4-FFF2-40B4-BE49-F238E27FC236}">
              <a16:creationId xmlns:a16="http://schemas.microsoft.com/office/drawing/2014/main" id="{678BD1CD-D6F7-4797-9241-64DADB03663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40" name="avatar">
          <a:extLst>
            <a:ext uri="{FF2B5EF4-FFF2-40B4-BE49-F238E27FC236}">
              <a16:creationId xmlns:a16="http://schemas.microsoft.com/office/drawing/2014/main" id="{12083985-AA61-44CB-A21E-8ABF784517F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41" name="avatar">
          <a:extLst>
            <a:ext uri="{FF2B5EF4-FFF2-40B4-BE49-F238E27FC236}">
              <a16:creationId xmlns:a16="http://schemas.microsoft.com/office/drawing/2014/main" id="{C67CCD25-5155-4439-9F4D-D77F71DF48C3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42" name="avatar">
          <a:extLst>
            <a:ext uri="{FF2B5EF4-FFF2-40B4-BE49-F238E27FC236}">
              <a16:creationId xmlns:a16="http://schemas.microsoft.com/office/drawing/2014/main" id="{37149CE4-27E0-4423-B61E-EF396CF633DB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43" name="avatar">
          <a:extLst>
            <a:ext uri="{FF2B5EF4-FFF2-40B4-BE49-F238E27FC236}">
              <a16:creationId xmlns:a16="http://schemas.microsoft.com/office/drawing/2014/main" id="{6FA2DCAF-CCB3-4BA4-B612-343E058DD66E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4" name="avatar">
          <a:extLst>
            <a:ext uri="{FF2B5EF4-FFF2-40B4-BE49-F238E27FC236}">
              <a16:creationId xmlns:a16="http://schemas.microsoft.com/office/drawing/2014/main" id="{92CC436E-32F3-45DE-830B-C28781049E4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5" name="avatar">
          <a:extLst>
            <a:ext uri="{FF2B5EF4-FFF2-40B4-BE49-F238E27FC236}">
              <a16:creationId xmlns:a16="http://schemas.microsoft.com/office/drawing/2014/main" id="{6B4FAE15-2D00-4711-9663-3D1A6DE0E21E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6" name="avatar">
          <a:extLst>
            <a:ext uri="{FF2B5EF4-FFF2-40B4-BE49-F238E27FC236}">
              <a16:creationId xmlns:a16="http://schemas.microsoft.com/office/drawing/2014/main" id="{353FA1E4-5A74-48EE-B638-B2D69F9E2B5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7" name="avatar">
          <a:extLst>
            <a:ext uri="{FF2B5EF4-FFF2-40B4-BE49-F238E27FC236}">
              <a16:creationId xmlns:a16="http://schemas.microsoft.com/office/drawing/2014/main" id="{FCBE4995-A06E-4746-80CB-39F0589A77D3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8" name="avatar">
          <a:extLst>
            <a:ext uri="{FF2B5EF4-FFF2-40B4-BE49-F238E27FC236}">
              <a16:creationId xmlns:a16="http://schemas.microsoft.com/office/drawing/2014/main" id="{7F8CB160-7EAB-42C8-A4EA-1DBCEF4C746C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49" name="avatar">
          <a:extLst>
            <a:ext uri="{FF2B5EF4-FFF2-40B4-BE49-F238E27FC236}">
              <a16:creationId xmlns:a16="http://schemas.microsoft.com/office/drawing/2014/main" id="{D3A0EE6F-14B5-4E96-B510-45E1FDBB7E18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50" name="avatar">
          <a:extLst>
            <a:ext uri="{FF2B5EF4-FFF2-40B4-BE49-F238E27FC236}">
              <a16:creationId xmlns:a16="http://schemas.microsoft.com/office/drawing/2014/main" id="{993AA4B0-9A27-43E2-A78A-37BAD6F8341A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51" name="avatar">
          <a:extLst>
            <a:ext uri="{FF2B5EF4-FFF2-40B4-BE49-F238E27FC236}">
              <a16:creationId xmlns:a16="http://schemas.microsoft.com/office/drawing/2014/main" id="{3EECC885-FEC8-4ECF-8618-16DB374CC8D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52" name="avatar">
          <a:extLst>
            <a:ext uri="{FF2B5EF4-FFF2-40B4-BE49-F238E27FC236}">
              <a16:creationId xmlns:a16="http://schemas.microsoft.com/office/drawing/2014/main" id="{B3F8DD1D-3F27-4578-8326-4E5518A85BE3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053" name="avatar">
          <a:extLst>
            <a:ext uri="{FF2B5EF4-FFF2-40B4-BE49-F238E27FC236}">
              <a16:creationId xmlns:a16="http://schemas.microsoft.com/office/drawing/2014/main" id="{508BBE47-DF88-4BB2-A824-C10C5C2ADA87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4" name="avatar">
          <a:extLst>
            <a:ext uri="{FF2B5EF4-FFF2-40B4-BE49-F238E27FC236}">
              <a16:creationId xmlns:a16="http://schemas.microsoft.com/office/drawing/2014/main" id="{9DBBCDD5-3904-49D0-A8CA-D484EADE656D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5" name="avatar">
          <a:extLst>
            <a:ext uri="{FF2B5EF4-FFF2-40B4-BE49-F238E27FC236}">
              <a16:creationId xmlns:a16="http://schemas.microsoft.com/office/drawing/2014/main" id="{FC1D464E-4EFB-4EF5-B348-3F64BBE69B90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6" name="avatar">
          <a:extLst>
            <a:ext uri="{FF2B5EF4-FFF2-40B4-BE49-F238E27FC236}">
              <a16:creationId xmlns:a16="http://schemas.microsoft.com/office/drawing/2014/main" id="{2185C56D-C898-49A6-BCED-E979122369CA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7" name="avatar">
          <a:extLst>
            <a:ext uri="{FF2B5EF4-FFF2-40B4-BE49-F238E27FC236}">
              <a16:creationId xmlns:a16="http://schemas.microsoft.com/office/drawing/2014/main" id="{423FEDF6-5422-4C82-9ADF-17A82EE8102A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8" name="avatar">
          <a:extLst>
            <a:ext uri="{FF2B5EF4-FFF2-40B4-BE49-F238E27FC236}">
              <a16:creationId xmlns:a16="http://schemas.microsoft.com/office/drawing/2014/main" id="{5A41F288-C6A2-4CE4-BD9A-80148329A4D7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59" name="avatar">
          <a:extLst>
            <a:ext uri="{FF2B5EF4-FFF2-40B4-BE49-F238E27FC236}">
              <a16:creationId xmlns:a16="http://schemas.microsoft.com/office/drawing/2014/main" id="{5C03A23A-B29B-4C99-898D-63455E89059E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60" name="avatar">
          <a:extLst>
            <a:ext uri="{FF2B5EF4-FFF2-40B4-BE49-F238E27FC236}">
              <a16:creationId xmlns:a16="http://schemas.microsoft.com/office/drawing/2014/main" id="{78C69D8F-ED61-460B-9ED5-34D33DBCF613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61" name="avatar">
          <a:extLst>
            <a:ext uri="{FF2B5EF4-FFF2-40B4-BE49-F238E27FC236}">
              <a16:creationId xmlns:a16="http://schemas.microsoft.com/office/drawing/2014/main" id="{02A8CDB0-994A-4481-B696-1F5B033D2FC7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62" name="avatar">
          <a:extLst>
            <a:ext uri="{FF2B5EF4-FFF2-40B4-BE49-F238E27FC236}">
              <a16:creationId xmlns:a16="http://schemas.microsoft.com/office/drawing/2014/main" id="{AB2048E3-F763-4210-906D-6A96A8C58B1E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063" name="avatar">
          <a:extLst>
            <a:ext uri="{FF2B5EF4-FFF2-40B4-BE49-F238E27FC236}">
              <a16:creationId xmlns:a16="http://schemas.microsoft.com/office/drawing/2014/main" id="{0C4EA4A5-B817-4BC4-8133-1FC6573D12AF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4" name="avatar">
          <a:extLst>
            <a:ext uri="{FF2B5EF4-FFF2-40B4-BE49-F238E27FC236}">
              <a16:creationId xmlns:a16="http://schemas.microsoft.com/office/drawing/2014/main" id="{AB82B8B8-5488-4B2B-9AE4-AC48AC5EE1E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5" name="avatar">
          <a:extLst>
            <a:ext uri="{FF2B5EF4-FFF2-40B4-BE49-F238E27FC236}">
              <a16:creationId xmlns:a16="http://schemas.microsoft.com/office/drawing/2014/main" id="{EFC63C23-0945-4AC5-8051-28859095FAD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6" name="avatar">
          <a:extLst>
            <a:ext uri="{FF2B5EF4-FFF2-40B4-BE49-F238E27FC236}">
              <a16:creationId xmlns:a16="http://schemas.microsoft.com/office/drawing/2014/main" id="{235152A5-0249-4375-882E-C9F94C395A8B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7" name="avatar">
          <a:extLst>
            <a:ext uri="{FF2B5EF4-FFF2-40B4-BE49-F238E27FC236}">
              <a16:creationId xmlns:a16="http://schemas.microsoft.com/office/drawing/2014/main" id="{D0C842EA-8495-426B-88F7-D3651608BA1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8" name="avatar">
          <a:extLst>
            <a:ext uri="{FF2B5EF4-FFF2-40B4-BE49-F238E27FC236}">
              <a16:creationId xmlns:a16="http://schemas.microsoft.com/office/drawing/2014/main" id="{56A882E3-E398-4319-A0B5-0522AF2B161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69" name="avatar">
          <a:extLst>
            <a:ext uri="{FF2B5EF4-FFF2-40B4-BE49-F238E27FC236}">
              <a16:creationId xmlns:a16="http://schemas.microsoft.com/office/drawing/2014/main" id="{6945AD14-9DCD-46B9-A578-051DDEF6CEEC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70" name="avatar">
          <a:extLst>
            <a:ext uri="{FF2B5EF4-FFF2-40B4-BE49-F238E27FC236}">
              <a16:creationId xmlns:a16="http://schemas.microsoft.com/office/drawing/2014/main" id="{D738AEB3-66BA-440F-8B33-E8FD4ACC94E3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71" name="avatar">
          <a:extLst>
            <a:ext uri="{FF2B5EF4-FFF2-40B4-BE49-F238E27FC236}">
              <a16:creationId xmlns:a16="http://schemas.microsoft.com/office/drawing/2014/main" id="{81D4998E-390B-4EB2-B9FB-02F2B36C9687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72" name="avatar">
          <a:extLst>
            <a:ext uri="{FF2B5EF4-FFF2-40B4-BE49-F238E27FC236}">
              <a16:creationId xmlns:a16="http://schemas.microsoft.com/office/drawing/2014/main" id="{C1028424-7886-4B64-A6E2-96E32B773D3F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073" name="avatar">
          <a:extLst>
            <a:ext uri="{FF2B5EF4-FFF2-40B4-BE49-F238E27FC236}">
              <a16:creationId xmlns:a16="http://schemas.microsoft.com/office/drawing/2014/main" id="{77B85044-F63C-42CA-AE2E-CA438AD04387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4" name="avatar">
          <a:extLst>
            <a:ext uri="{FF2B5EF4-FFF2-40B4-BE49-F238E27FC236}">
              <a16:creationId xmlns:a16="http://schemas.microsoft.com/office/drawing/2014/main" id="{43B0F70C-CFDA-4CF2-9950-4EFA01CF6E09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5" name="avatar">
          <a:extLst>
            <a:ext uri="{FF2B5EF4-FFF2-40B4-BE49-F238E27FC236}">
              <a16:creationId xmlns:a16="http://schemas.microsoft.com/office/drawing/2014/main" id="{A0542926-8B56-48BA-B91C-13EFF7CD2A7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6" name="avatar">
          <a:extLst>
            <a:ext uri="{FF2B5EF4-FFF2-40B4-BE49-F238E27FC236}">
              <a16:creationId xmlns:a16="http://schemas.microsoft.com/office/drawing/2014/main" id="{DD61BBAD-CA3B-457F-B9FC-0883A88092CB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7" name="avatar">
          <a:extLst>
            <a:ext uri="{FF2B5EF4-FFF2-40B4-BE49-F238E27FC236}">
              <a16:creationId xmlns:a16="http://schemas.microsoft.com/office/drawing/2014/main" id="{9B5CD8B0-F188-456C-89DC-F0D86388CDA8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8" name="avatar">
          <a:extLst>
            <a:ext uri="{FF2B5EF4-FFF2-40B4-BE49-F238E27FC236}">
              <a16:creationId xmlns:a16="http://schemas.microsoft.com/office/drawing/2014/main" id="{8015CA66-5075-4006-A658-7E08E424314F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79" name="avatar">
          <a:extLst>
            <a:ext uri="{FF2B5EF4-FFF2-40B4-BE49-F238E27FC236}">
              <a16:creationId xmlns:a16="http://schemas.microsoft.com/office/drawing/2014/main" id="{7053DE66-9901-47F3-9B6D-7C745F5A312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80" name="avatar">
          <a:extLst>
            <a:ext uri="{FF2B5EF4-FFF2-40B4-BE49-F238E27FC236}">
              <a16:creationId xmlns:a16="http://schemas.microsoft.com/office/drawing/2014/main" id="{EA3C6482-7CA7-4295-9592-5759680B3A9F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81" name="avatar">
          <a:extLst>
            <a:ext uri="{FF2B5EF4-FFF2-40B4-BE49-F238E27FC236}">
              <a16:creationId xmlns:a16="http://schemas.microsoft.com/office/drawing/2014/main" id="{CC38359C-3A05-4E38-9272-531A0C0573BF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82" name="avatar">
          <a:extLst>
            <a:ext uri="{FF2B5EF4-FFF2-40B4-BE49-F238E27FC236}">
              <a16:creationId xmlns:a16="http://schemas.microsoft.com/office/drawing/2014/main" id="{5C8B7DBE-E96D-42DE-9F37-DE4CC9A6DF65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083" name="avatar">
          <a:extLst>
            <a:ext uri="{FF2B5EF4-FFF2-40B4-BE49-F238E27FC236}">
              <a16:creationId xmlns:a16="http://schemas.microsoft.com/office/drawing/2014/main" id="{FB20CFB7-1330-4DC4-8C79-8863046EA51D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4" name="avatar">
          <a:extLst>
            <a:ext uri="{FF2B5EF4-FFF2-40B4-BE49-F238E27FC236}">
              <a16:creationId xmlns:a16="http://schemas.microsoft.com/office/drawing/2014/main" id="{14EC9D66-42FF-41E2-9C29-BED2964570F4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5" name="avatar">
          <a:extLst>
            <a:ext uri="{FF2B5EF4-FFF2-40B4-BE49-F238E27FC236}">
              <a16:creationId xmlns:a16="http://schemas.microsoft.com/office/drawing/2014/main" id="{2212C20A-DB7D-457B-B76C-381BCB3F61E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6" name="avatar">
          <a:extLst>
            <a:ext uri="{FF2B5EF4-FFF2-40B4-BE49-F238E27FC236}">
              <a16:creationId xmlns:a16="http://schemas.microsoft.com/office/drawing/2014/main" id="{D81E456D-A495-4228-91CD-DF44DBCA729C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7" name="avatar">
          <a:extLst>
            <a:ext uri="{FF2B5EF4-FFF2-40B4-BE49-F238E27FC236}">
              <a16:creationId xmlns:a16="http://schemas.microsoft.com/office/drawing/2014/main" id="{4A26C2D5-8320-4E8F-8735-8379CD40F58A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8" name="avatar">
          <a:extLst>
            <a:ext uri="{FF2B5EF4-FFF2-40B4-BE49-F238E27FC236}">
              <a16:creationId xmlns:a16="http://schemas.microsoft.com/office/drawing/2014/main" id="{C1CBC00C-5D74-4950-86BE-4C59A019E629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89" name="avatar">
          <a:extLst>
            <a:ext uri="{FF2B5EF4-FFF2-40B4-BE49-F238E27FC236}">
              <a16:creationId xmlns:a16="http://schemas.microsoft.com/office/drawing/2014/main" id="{C8BD3E8F-1003-411E-B371-305031D7EDD2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90" name="avatar">
          <a:extLst>
            <a:ext uri="{FF2B5EF4-FFF2-40B4-BE49-F238E27FC236}">
              <a16:creationId xmlns:a16="http://schemas.microsoft.com/office/drawing/2014/main" id="{C05F0A62-80BB-428C-BBAC-75347E640C2F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91" name="avatar">
          <a:extLst>
            <a:ext uri="{FF2B5EF4-FFF2-40B4-BE49-F238E27FC236}">
              <a16:creationId xmlns:a16="http://schemas.microsoft.com/office/drawing/2014/main" id="{D1440B7B-218A-4696-A8CA-E01D98F71EC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92" name="avatar">
          <a:extLst>
            <a:ext uri="{FF2B5EF4-FFF2-40B4-BE49-F238E27FC236}">
              <a16:creationId xmlns:a16="http://schemas.microsoft.com/office/drawing/2014/main" id="{7904FDA5-41D3-4C1C-8935-6C5A055618E9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093" name="avatar">
          <a:extLst>
            <a:ext uri="{FF2B5EF4-FFF2-40B4-BE49-F238E27FC236}">
              <a16:creationId xmlns:a16="http://schemas.microsoft.com/office/drawing/2014/main" id="{B607B6D8-EE42-4E59-A116-70117C4984D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4" name="avatar">
          <a:extLst>
            <a:ext uri="{FF2B5EF4-FFF2-40B4-BE49-F238E27FC236}">
              <a16:creationId xmlns:a16="http://schemas.microsoft.com/office/drawing/2014/main" id="{DA0C6CCF-710E-445C-A883-4E902DB0FC54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5" name="avatar">
          <a:extLst>
            <a:ext uri="{FF2B5EF4-FFF2-40B4-BE49-F238E27FC236}">
              <a16:creationId xmlns:a16="http://schemas.microsoft.com/office/drawing/2014/main" id="{D0081243-6763-49D5-B66F-0AF4C97B11C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6" name="avatar">
          <a:extLst>
            <a:ext uri="{FF2B5EF4-FFF2-40B4-BE49-F238E27FC236}">
              <a16:creationId xmlns:a16="http://schemas.microsoft.com/office/drawing/2014/main" id="{9DB88A3D-E056-4594-B1D9-9426CB965CC5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7" name="avatar">
          <a:extLst>
            <a:ext uri="{FF2B5EF4-FFF2-40B4-BE49-F238E27FC236}">
              <a16:creationId xmlns:a16="http://schemas.microsoft.com/office/drawing/2014/main" id="{8089C3AB-8B27-406A-A765-79B94F66C18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8" name="avatar">
          <a:extLst>
            <a:ext uri="{FF2B5EF4-FFF2-40B4-BE49-F238E27FC236}">
              <a16:creationId xmlns:a16="http://schemas.microsoft.com/office/drawing/2014/main" id="{742700AF-4454-4007-A23D-5CF5C3AAECB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099" name="avatar">
          <a:extLst>
            <a:ext uri="{FF2B5EF4-FFF2-40B4-BE49-F238E27FC236}">
              <a16:creationId xmlns:a16="http://schemas.microsoft.com/office/drawing/2014/main" id="{CD4832B5-43C6-4B22-BCA6-9D9B7166D8D7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100" name="avatar">
          <a:extLst>
            <a:ext uri="{FF2B5EF4-FFF2-40B4-BE49-F238E27FC236}">
              <a16:creationId xmlns:a16="http://schemas.microsoft.com/office/drawing/2014/main" id="{C4B19C59-E688-4396-A8F1-4E8BEC748B23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101" name="avatar">
          <a:extLst>
            <a:ext uri="{FF2B5EF4-FFF2-40B4-BE49-F238E27FC236}">
              <a16:creationId xmlns:a16="http://schemas.microsoft.com/office/drawing/2014/main" id="{3C449387-4E9E-4219-A2ED-E2FBB13E224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102" name="avatar">
          <a:extLst>
            <a:ext uri="{FF2B5EF4-FFF2-40B4-BE49-F238E27FC236}">
              <a16:creationId xmlns:a16="http://schemas.microsoft.com/office/drawing/2014/main" id="{8CF1A45E-3ED5-4A26-873E-6FC5D0E0396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103" name="avatar">
          <a:extLst>
            <a:ext uri="{FF2B5EF4-FFF2-40B4-BE49-F238E27FC236}">
              <a16:creationId xmlns:a16="http://schemas.microsoft.com/office/drawing/2014/main" id="{55B4F2E9-DE93-4956-9F0C-5A18C3BE94FC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4" name="avatar">
          <a:extLst>
            <a:ext uri="{FF2B5EF4-FFF2-40B4-BE49-F238E27FC236}">
              <a16:creationId xmlns:a16="http://schemas.microsoft.com/office/drawing/2014/main" id="{04DA94EF-2212-4EEF-80C2-8E5AF73D9E7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5" name="avatar">
          <a:extLst>
            <a:ext uri="{FF2B5EF4-FFF2-40B4-BE49-F238E27FC236}">
              <a16:creationId xmlns:a16="http://schemas.microsoft.com/office/drawing/2014/main" id="{AE8245C1-CB08-4C6A-88E3-010A41DC96F9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6" name="avatar">
          <a:extLst>
            <a:ext uri="{FF2B5EF4-FFF2-40B4-BE49-F238E27FC236}">
              <a16:creationId xmlns:a16="http://schemas.microsoft.com/office/drawing/2014/main" id="{1EA544D3-3B51-44E9-9195-8624A1EEE0A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7" name="avatar">
          <a:extLst>
            <a:ext uri="{FF2B5EF4-FFF2-40B4-BE49-F238E27FC236}">
              <a16:creationId xmlns:a16="http://schemas.microsoft.com/office/drawing/2014/main" id="{C30E9655-07D6-4545-8C0C-D76104166AD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8" name="avatar">
          <a:extLst>
            <a:ext uri="{FF2B5EF4-FFF2-40B4-BE49-F238E27FC236}">
              <a16:creationId xmlns:a16="http://schemas.microsoft.com/office/drawing/2014/main" id="{5A21DFCD-9E41-4B72-8556-A0CEE116EC98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09" name="avatar">
          <a:extLst>
            <a:ext uri="{FF2B5EF4-FFF2-40B4-BE49-F238E27FC236}">
              <a16:creationId xmlns:a16="http://schemas.microsoft.com/office/drawing/2014/main" id="{0078CA08-DD2F-4C6F-A5AF-3A5B18DB18CC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10" name="avatar">
          <a:extLst>
            <a:ext uri="{FF2B5EF4-FFF2-40B4-BE49-F238E27FC236}">
              <a16:creationId xmlns:a16="http://schemas.microsoft.com/office/drawing/2014/main" id="{D441DE5A-7832-4CE0-93D2-7C98485D7711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11" name="avatar">
          <a:extLst>
            <a:ext uri="{FF2B5EF4-FFF2-40B4-BE49-F238E27FC236}">
              <a16:creationId xmlns:a16="http://schemas.microsoft.com/office/drawing/2014/main" id="{12692B15-0655-4F0A-A98C-07CF5757416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12" name="avatar">
          <a:extLst>
            <a:ext uri="{FF2B5EF4-FFF2-40B4-BE49-F238E27FC236}">
              <a16:creationId xmlns:a16="http://schemas.microsoft.com/office/drawing/2014/main" id="{792E6E4C-7602-43BB-BB35-D8F06C27ECE0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113" name="avatar">
          <a:extLst>
            <a:ext uri="{FF2B5EF4-FFF2-40B4-BE49-F238E27FC236}">
              <a16:creationId xmlns:a16="http://schemas.microsoft.com/office/drawing/2014/main" id="{C72AF748-F451-4188-9F0B-ACA8386ACADC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4" name="avatar">
          <a:extLst>
            <a:ext uri="{FF2B5EF4-FFF2-40B4-BE49-F238E27FC236}">
              <a16:creationId xmlns:a16="http://schemas.microsoft.com/office/drawing/2014/main" id="{E001810D-A184-436D-9063-016244872B33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5" name="avatar">
          <a:extLst>
            <a:ext uri="{FF2B5EF4-FFF2-40B4-BE49-F238E27FC236}">
              <a16:creationId xmlns:a16="http://schemas.microsoft.com/office/drawing/2014/main" id="{CB876F76-188F-4F8D-836F-BA38617DEA89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6" name="avatar">
          <a:extLst>
            <a:ext uri="{FF2B5EF4-FFF2-40B4-BE49-F238E27FC236}">
              <a16:creationId xmlns:a16="http://schemas.microsoft.com/office/drawing/2014/main" id="{C5F01A54-59F4-4C5C-A5E0-186FBAB5510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7" name="avatar">
          <a:extLst>
            <a:ext uri="{FF2B5EF4-FFF2-40B4-BE49-F238E27FC236}">
              <a16:creationId xmlns:a16="http://schemas.microsoft.com/office/drawing/2014/main" id="{50676E19-0A33-4518-A6A4-FE64452FA8E7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8" name="avatar">
          <a:extLst>
            <a:ext uri="{FF2B5EF4-FFF2-40B4-BE49-F238E27FC236}">
              <a16:creationId xmlns:a16="http://schemas.microsoft.com/office/drawing/2014/main" id="{D8A9D6BB-1957-49B0-A5E4-C0A10F5D1DAE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19" name="avatar">
          <a:extLst>
            <a:ext uri="{FF2B5EF4-FFF2-40B4-BE49-F238E27FC236}">
              <a16:creationId xmlns:a16="http://schemas.microsoft.com/office/drawing/2014/main" id="{71F2FC6E-5233-4AB9-8779-1892661D4F25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20" name="avatar">
          <a:extLst>
            <a:ext uri="{FF2B5EF4-FFF2-40B4-BE49-F238E27FC236}">
              <a16:creationId xmlns:a16="http://schemas.microsoft.com/office/drawing/2014/main" id="{A13FF338-4CA1-4821-A735-24A229EAE3AD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21" name="avatar">
          <a:extLst>
            <a:ext uri="{FF2B5EF4-FFF2-40B4-BE49-F238E27FC236}">
              <a16:creationId xmlns:a16="http://schemas.microsoft.com/office/drawing/2014/main" id="{FB9C25A1-2062-4C95-91BB-11C7FCC6F41F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22" name="avatar">
          <a:extLst>
            <a:ext uri="{FF2B5EF4-FFF2-40B4-BE49-F238E27FC236}">
              <a16:creationId xmlns:a16="http://schemas.microsoft.com/office/drawing/2014/main" id="{9513A57F-D609-48E4-A8BC-741ACBC7E6FC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123" name="avatar">
          <a:extLst>
            <a:ext uri="{FF2B5EF4-FFF2-40B4-BE49-F238E27FC236}">
              <a16:creationId xmlns:a16="http://schemas.microsoft.com/office/drawing/2014/main" id="{6459F3B8-A559-4E14-953D-3E0B8DBEE4B5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4" name="avatar">
          <a:extLst>
            <a:ext uri="{FF2B5EF4-FFF2-40B4-BE49-F238E27FC236}">
              <a16:creationId xmlns:a16="http://schemas.microsoft.com/office/drawing/2014/main" id="{7D341531-35D5-4499-8AB3-FFFFD12F82A1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5" name="avatar">
          <a:extLst>
            <a:ext uri="{FF2B5EF4-FFF2-40B4-BE49-F238E27FC236}">
              <a16:creationId xmlns:a16="http://schemas.microsoft.com/office/drawing/2014/main" id="{68B3A69D-11DD-4324-B90E-A12FDCF48DF0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6" name="avatar">
          <a:extLst>
            <a:ext uri="{FF2B5EF4-FFF2-40B4-BE49-F238E27FC236}">
              <a16:creationId xmlns:a16="http://schemas.microsoft.com/office/drawing/2014/main" id="{F8387054-49B6-490B-B839-6CC1B5081EBD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7" name="avatar">
          <a:extLst>
            <a:ext uri="{FF2B5EF4-FFF2-40B4-BE49-F238E27FC236}">
              <a16:creationId xmlns:a16="http://schemas.microsoft.com/office/drawing/2014/main" id="{90187668-981C-49A2-BDA9-23C3C6852E63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8" name="avatar">
          <a:extLst>
            <a:ext uri="{FF2B5EF4-FFF2-40B4-BE49-F238E27FC236}">
              <a16:creationId xmlns:a16="http://schemas.microsoft.com/office/drawing/2014/main" id="{3A9A2451-04D6-48DE-925E-941CC225FD9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29" name="avatar">
          <a:extLst>
            <a:ext uri="{FF2B5EF4-FFF2-40B4-BE49-F238E27FC236}">
              <a16:creationId xmlns:a16="http://schemas.microsoft.com/office/drawing/2014/main" id="{118BDD05-A212-4B0B-8C28-6365F77FE5C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30" name="avatar">
          <a:extLst>
            <a:ext uri="{FF2B5EF4-FFF2-40B4-BE49-F238E27FC236}">
              <a16:creationId xmlns:a16="http://schemas.microsoft.com/office/drawing/2014/main" id="{8E86BB56-F984-4C19-ABE5-7BE3ABA8C18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31" name="avatar">
          <a:extLst>
            <a:ext uri="{FF2B5EF4-FFF2-40B4-BE49-F238E27FC236}">
              <a16:creationId xmlns:a16="http://schemas.microsoft.com/office/drawing/2014/main" id="{77296C3E-7445-4AAB-8DA3-336466C577B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32" name="avatar">
          <a:extLst>
            <a:ext uri="{FF2B5EF4-FFF2-40B4-BE49-F238E27FC236}">
              <a16:creationId xmlns:a16="http://schemas.microsoft.com/office/drawing/2014/main" id="{087AF03D-CF57-4D02-ABD5-C73C8846B2FB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133" name="avatar">
          <a:extLst>
            <a:ext uri="{FF2B5EF4-FFF2-40B4-BE49-F238E27FC236}">
              <a16:creationId xmlns:a16="http://schemas.microsoft.com/office/drawing/2014/main" id="{BC983AFF-A5C0-42BF-AC1B-9320E733375E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4" name="avatar">
          <a:extLst>
            <a:ext uri="{FF2B5EF4-FFF2-40B4-BE49-F238E27FC236}">
              <a16:creationId xmlns:a16="http://schemas.microsoft.com/office/drawing/2014/main" id="{E5E07B45-3DD4-4FC9-81C5-D57EA20AC203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5" name="avatar">
          <a:extLst>
            <a:ext uri="{FF2B5EF4-FFF2-40B4-BE49-F238E27FC236}">
              <a16:creationId xmlns:a16="http://schemas.microsoft.com/office/drawing/2014/main" id="{CBA5EB76-7AA1-4140-BAFF-75E801EDE83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6" name="avatar">
          <a:extLst>
            <a:ext uri="{FF2B5EF4-FFF2-40B4-BE49-F238E27FC236}">
              <a16:creationId xmlns:a16="http://schemas.microsoft.com/office/drawing/2014/main" id="{B981E094-0A7C-4D0D-96CF-BADDDADD075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7" name="avatar">
          <a:extLst>
            <a:ext uri="{FF2B5EF4-FFF2-40B4-BE49-F238E27FC236}">
              <a16:creationId xmlns:a16="http://schemas.microsoft.com/office/drawing/2014/main" id="{D5EA1CFC-39CA-4F3E-8A63-67A04582C47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8" name="avatar">
          <a:extLst>
            <a:ext uri="{FF2B5EF4-FFF2-40B4-BE49-F238E27FC236}">
              <a16:creationId xmlns:a16="http://schemas.microsoft.com/office/drawing/2014/main" id="{2885B5D8-293B-4DAE-B3CC-F8C5F03E5DFC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39" name="avatar">
          <a:extLst>
            <a:ext uri="{FF2B5EF4-FFF2-40B4-BE49-F238E27FC236}">
              <a16:creationId xmlns:a16="http://schemas.microsoft.com/office/drawing/2014/main" id="{1B664123-95F0-4B75-9073-D9AF041D0F9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40" name="avatar">
          <a:extLst>
            <a:ext uri="{FF2B5EF4-FFF2-40B4-BE49-F238E27FC236}">
              <a16:creationId xmlns:a16="http://schemas.microsoft.com/office/drawing/2014/main" id="{E128FA2A-4E8B-4A55-92FA-71C6D4525309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41" name="avatar">
          <a:extLst>
            <a:ext uri="{FF2B5EF4-FFF2-40B4-BE49-F238E27FC236}">
              <a16:creationId xmlns:a16="http://schemas.microsoft.com/office/drawing/2014/main" id="{FAF67B64-53B6-4315-88D4-89EA6DDEC3B6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42" name="avatar">
          <a:extLst>
            <a:ext uri="{FF2B5EF4-FFF2-40B4-BE49-F238E27FC236}">
              <a16:creationId xmlns:a16="http://schemas.microsoft.com/office/drawing/2014/main" id="{EABB49C8-04DE-419D-95CE-4ECF4C1F33C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143" name="avatar">
          <a:extLst>
            <a:ext uri="{FF2B5EF4-FFF2-40B4-BE49-F238E27FC236}">
              <a16:creationId xmlns:a16="http://schemas.microsoft.com/office/drawing/2014/main" id="{F9E4276C-ADB7-41A0-B203-E5181461B3B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4" name="avatar">
          <a:extLst>
            <a:ext uri="{FF2B5EF4-FFF2-40B4-BE49-F238E27FC236}">
              <a16:creationId xmlns:a16="http://schemas.microsoft.com/office/drawing/2014/main" id="{3C420D58-9159-4129-8E34-A7726580F29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5" name="avatar">
          <a:extLst>
            <a:ext uri="{FF2B5EF4-FFF2-40B4-BE49-F238E27FC236}">
              <a16:creationId xmlns:a16="http://schemas.microsoft.com/office/drawing/2014/main" id="{1F792C25-3E70-4448-8682-55AFA772631A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6" name="avatar">
          <a:extLst>
            <a:ext uri="{FF2B5EF4-FFF2-40B4-BE49-F238E27FC236}">
              <a16:creationId xmlns:a16="http://schemas.microsoft.com/office/drawing/2014/main" id="{4965C4FB-8D22-4CF4-BB56-3C35450395A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7" name="avatar">
          <a:extLst>
            <a:ext uri="{FF2B5EF4-FFF2-40B4-BE49-F238E27FC236}">
              <a16:creationId xmlns:a16="http://schemas.microsoft.com/office/drawing/2014/main" id="{5D8061E8-2B4F-4944-B26F-03BB1A0A160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8" name="avatar">
          <a:extLst>
            <a:ext uri="{FF2B5EF4-FFF2-40B4-BE49-F238E27FC236}">
              <a16:creationId xmlns:a16="http://schemas.microsoft.com/office/drawing/2014/main" id="{4F7E1F0A-041B-4133-8AD5-391206FF5982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49" name="avatar">
          <a:extLst>
            <a:ext uri="{FF2B5EF4-FFF2-40B4-BE49-F238E27FC236}">
              <a16:creationId xmlns:a16="http://schemas.microsoft.com/office/drawing/2014/main" id="{D9058AC8-CFD1-40B8-ACAE-A26EDF1BCCCF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50" name="avatar">
          <a:extLst>
            <a:ext uri="{FF2B5EF4-FFF2-40B4-BE49-F238E27FC236}">
              <a16:creationId xmlns:a16="http://schemas.microsoft.com/office/drawing/2014/main" id="{547FBCB9-3AF5-4B19-9B3C-5D9765A81F7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51" name="avatar">
          <a:extLst>
            <a:ext uri="{FF2B5EF4-FFF2-40B4-BE49-F238E27FC236}">
              <a16:creationId xmlns:a16="http://schemas.microsoft.com/office/drawing/2014/main" id="{F5FC8249-7A04-4056-AD04-2022C645041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52" name="avatar">
          <a:extLst>
            <a:ext uri="{FF2B5EF4-FFF2-40B4-BE49-F238E27FC236}">
              <a16:creationId xmlns:a16="http://schemas.microsoft.com/office/drawing/2014/main" id="{A356DF18-0B5E-48D5-9FDA-04AA19ED45A5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153" name="avatar">
          <a:extLst>
            <a:ext uri="{FF2B5EF4-FFF2-40B4-BE49-F238E27FC236}">
              <a16:creationId xmlns:a16="http://schemas.microsoft.com/office/drawing/2014/main" id="{B90E7846-A241-4148-9881-8941FA9BDE83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4" name="avatar">
          <a:extLst>
            <a:ext uri="{FF2B5EF4-FFF2-40B4-BE49-F238E27FC236}">
              <a16:creationId xmlns:a16="http://schemas.microsoft.com/office/drawing/2014/main" id="{7C7BA090-1486-4721-A2D1-14C68136AB2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5" name="avatar">
          <a:extLst>
            <a:ext uri="{FF2B5EF4-FFF2-40B4-BE49-F238E27FC236}">
              <a16:creationId xmlns:a16="http://schemas.microsoft.com/office/drawing/2014/main" id="{58FCFF6D-31AA-40BE-92BF-DC006CA1EE50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6" name="avatar">
          <a:extLst>
            <a:ext uri="{FF2B5EF4-FFF2-40B4-BE49-F238E27FC236}">
              <a16:creationId xmlns:a16="http://schemas.microsoft.com/office/drawing/2014/main" id="{A9524CAC-9D12-41A2-85B6-354DDF58F8B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7" name="avatar">
          <a:extLst>
            <a:ext uri="{FF2B5EF4-FFF2-40B4-BE49-F238E27FC236}">
              <a16:creationId xmlns:a16="http://schemas.microsoft.com/office/drawing/2014/main" id="{691D2D09-9186-4ABB-A670-A54A7B00EEB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8" name="avatar">
          <a:extLst>
            <a:ext uri="{FF2B5EF4-FFF2-40B4-BE49-F238E27FC236}">
              <a16:creationId xmlns:a16="http://schemas.microsoft.com/office/drawing/2014/main" id="{CF72A521-92F2-4FCC-AADC-E82128113B9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59" name="avatar">
          <a:extLst>
            <a:ext uri="{FF2B5EF4-FFF2-40B4-BE49-F238E27FC236}">
              <a16:creationId xmlns:a16="http://schemas.microsoft.com/office/drawing/2014/main" id="{958017F0-8129-442A-BB70-FD55C508178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0" name="avatar">
          <a:extLst>
            <a:ext uri="{FF2B5EF4-FFF2-40B4-BE49-F238E27FC236}">
              <a16:creationId xmlns:a16="http://schemas.microsoft.com/office/drawing/2014/main" id="{A12097C2-2751-47D1-9120-2AAEC917129E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1" name="avatar">
          <a:extLst>
            <a:ext uri="{FF2B5EF4-FFF2-40B4-BE49-F238E27FC236}">
              <a16:creationId xmlns:a16="http://schemas.microsoft.com/office/drawing/2014/main" id="{E6910F07-5125-4A1D-96CD-06808E0A2AB7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2" name="avatar">
          <a:extLst>
            <a:ext uri="{FF2B5EF4-FFF2-40B4-BE49-F238E27FC236}">
              <a16:creationId xmlns:a16="http://schemas.microsoft.com/office/drawing/2014/main" id="{FB25D035-5972-4773-A3C2-50D5E1DE50FB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3" name="avatar">
          <a:extLst>
            <a:ext uri="{FF2B5EF4-FFF2-40B4-BE49-F238E27FC236}">
              <a16:creationId xmlns:a16="http://schemas.microsoft.com/office/drawing/2014/main" id="{E1201FF5-AF26-4718-985E-4903D6FC3009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4" name="avatar">
          <a:extLst>
            <a:ext uri="{FF2B5EF4-FFF2-40B4-BE49-F238E27FC236}">
              <a16:creationId xmlns:a16="http://schemas.microsoft.com/office/drawing/2014/main" id="{9248A49B-4B88-4766-A165-DA3F0C0C3EC3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5" name="avatar">
          <a:extLst>
            <a:ext uri="{FF2B5EF4-FFF2-40B4-BE49-F238E27FC236}">
              <a16:creationId xmlns:a16="http://schemas.microsoft.com/office/drawing/2014/main" id="{44C12EAF-0305-4B22-88FA-480D4ABC9B1C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6" name="avatar">
          <a:extLst>
            <a:ext uri="{FF2B5EF4-FFF2-40B4-BE49-F238E27FC236}">
              <a16:creationId xmlns:a16="http://schemas.microsoft.com/office/drawing/2014/main" id="{8477777E-FC63-4BF9-B71B-1F0E104E4A0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7" name="avatar">
          <a:extLst>
            <a:ext uri="{FF2B5EF4-FFF2-40B4-BE49-F238E27FC236}">
              <a16:creationId xmlns:a16="http://schemas.microsoft.com/office/drawing/2014/main" id="{C9FDDB06-537D-42D4-8EE5-AC52605E4222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8" name="avatar">
          <a:extLst>
            <a:ext uri="{FF2B5EF4-FFF2-40B4-BE49-F238E27FC236}">
              <a16:creationId xmlns:a16="http://schemas.microsoft.com/office/drawing/2014/main" id="{D7C93BBE-F147-43AD-9AF2-1CC8B9C05C16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69" name="avatar">
          <a:extLst>
            <a:ext uri="{FF2B5EF4-FFF2-40B4-BE49-F238E27FC236}">
              <a16:creationId xmlns:a16="http://schemas.microsoft.com/office/drawing/2014/main" id="{2C52B2AB-5C6F-4E55-B97B-681EB23E163F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70" name="avatar">
          <a:extLst>
            <a:ext uri="{FF2B5EF4-FFF2-40B4-BE49-F238E27FC236}">
              <a16:creationId xmlns:a16="http://schemas.microsoft.com/office/drawing/2014/main" id="{661F76AA-4B1E-40C5-9EB8-0E2574B5FC1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71" name="avatar">
          <a:extLst>
            <a:ext uri="{FF2B5EF4-FFF2-40B4-BE49-F238E27FC236}">
              <a16:creationId xmlns:a16="http://schemas.microsoft.com/office/drawing/2014/main" id="{E968D0A0-D7E3-4756-BDDD-C91EF5B8184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72" name="avatar">
          <a:extLst>
            <a:ext uri="{FF2B5EF4-FFF2-40B4-BE49-F238E27FC236}">
              <a16:creationId xmlns:a16="http://schemas.microsoft.com/office/drawing/2014/main" id="{E4CC040E-B38E-4C6E-A7C5-91A5D903676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173" name="avatar">
          <a:extLst>
            <a:ext uri="{FF2B5EF4-FFF2-40B4-BE49-F238E27FC236}">
              <a16:creationId xmlns:a16="http://schemas.microsoft.com/office/drawing/2014/main" id="{2FBD65F3-4DC1-4FBB-A263-F68D16CE8AAE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74" name="avatar">
          <a:extLst>
            <a:ext uri="{FF2B5EF4-FFF2-40B4-BE49-F238E27FC236}">
              <a16:creationId xmlns:a16="http://schemas.microsoft.com/office/drawing/2014/main" id="{56CFC0FC-21F6-4571-8A5B-14C3D9AF4965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75" name="avatar">
          <a:extLst>
            <a:ext uri="{FF2B5EF4-FFF2-40B4-BE49-F238E27FC236}">
              <a16:creationId xmlns:a16="http://schemas.microsoft.com/office/drawing/2014/main" id="{C928EE3B-2645-4866-ADDE-8A7503D00B86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76" name="avatar">
          <a:extLst>
            <a:ext uri="{FF2B5EF4-FFF2-40B4-BE49-F238E27FC236}">
              <a16:creationId xmlns:a16="http://schemas.microsoft.com/office/drawing/2014/main" id="{59BFA6D3-C0CE-4CEB-930C-DE0B73D449F4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77" name="avatar">
          <a:extLst>
            <a:ext uri="{FF2B5EF4-FFF2-40B4-BE49-F238E27FC236}">
              <a16:creationId xmlns:a16="http://schemas.microsoft.com/office/drawing/2014/main" id="{27A46D00-265D-41EC-ADCC-73D60C90942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78" name="avatar">
          <a:extLst>
            <a:ext uri="{FF2B5EF4-FFF2-40B4-BE49-F238E27FC236}">
              <a16:creationId xmlns:a16="http://schemas.microsoft.com/office/drawing/2014/main" id="{ED4B004F-E172-4F69-81C2-BE21C2131450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79" name="avatar">
          <a:extLst>
            <a:ext uri="{FF2B5EF4-FFF2-40B4-BE49-F238E27FC236}">
              <a16:creationId xmlns:a16="http://schemas.microsoft.com/office/drawing/2014/main" id="{257058C1-BB7E-4C15-B23F-C6C28A20C84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80" name="avatar">
          <a:extLst>
            <a:ext uri="{FF2B5EF4-FFF2-40B4-BE49-F238E27FC236}">
              <a16:creationId xmlns:a16="http://schemas.microsoft.com/office/drawing/2014/main" id="{C41C2224-8F7B-4274-A5F9-AB64F02BC268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81" name="avatar">
          <a:extLst>
            <a:ext uri="{FF2B5EF4-FFF2-40B4-BE49-F238E27FC236}">
              <a16:creationId xmlns:a16="http://schemas.microsoft.com/office/drawing/2014/main" id="{06A7D19B-5ED4-485E-962D-3127ADF924BD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82" name="avatar">
          <a:extLst>
            <a:ext uri="{FF2B5EF4-FFF2-40B4-BE49-F238E27FC236}">
              <a16:creationId xmlns:a16="http://schemas.microsoft.com/office/drawing/2014/main" id="{D4804AB5-2215-4887-802F-717432C343F8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183" name="avatar">
          <a:extLst>
            <a:ext uri="{FF2B5EF4-FFF2-40B4-BE49-F238E27FC236}">
              <a16:creationId xmlns:a16="http://schemas.microsoft.com/office/drawing/2014/main" id="{A6308575-473A-486B-8E44-9D5D0A6A42C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84" name="avatar">
          <a:extLst>
            <a:ext uri="{FF2B5EF4-FFF2-40B4-BE49-F238E27FC236}">
              <a16:creationId xmlns:a16="http://schemas.microsoft.com/office/drawing/2014/main" id="{64ED9A20-B051-47CE-B3B1-E0350DA11AB5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85" name="avatar">
          <a:extLst>
            <a:ext uri="{FF2B5EF4-FFF2-40B4-BE49-F238E27FC236}">
              <a16:creationId xmlns:a16="http://schemas.microsoft.com/office/drawing/2014/main" id="{383267C1-5E59-49C4-89DE-0B5412F60222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86" name="avatar">
          <a:extLst>
            <a:ext uri="{FF2B5EF4-FFF2-40B4-BE49-F238E27FC236}">
              <a16:creationId xmlns:a16="http://schemas.microsoft.com/office/drawing/2014/main" id="{8C0B69F2-BD59-446E-8DAC-B35F91027AE1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87" name="avatar">
          <a:extLst>
            <a:ext uri="{FF2B5EF4-FFF2-40B4-BE49-F238E27FC236}">
              <a16:creationId xmlns:a16="http://schemas.microsoft.com/office/drawing/2014/main" id="{40C9F9F4-8283-4D02-B456-47095C72207C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88" name="avatar">
          <a:extLst>
            <a:ext uri="{FF2B5EF4-FFF2-40B4-BE49-F238E27FC236}">
              <a16:creationId xmlns:a16="http://schemas.microsoft.com/office/drawing/2014/main" id="{152902E7-B49C-4478-AC34-CBEAA6D8499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89" name="avatar">
          <a:extLst>
            <a:ext uri="{FF2B5EF4-FFF2-40B4-BE49-F238E27FC236}">
              <a16:creationId xmlns:a16="http://schemas.microsoft.com/office/drawing/2014/main" id="{47EDA515-A5EB-46AF-9367-EE2DA4C4BCF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90" name="avatar">
          <a:extLst>
            <a:ext uri="{FF2B5EF4-FFF2-40B4-BE49-F238E27FC236}">
              <a16:creationId xmlns:a16="http://schemas.microsoft.com/office/drawing/2014/main" id="{2A0276DE-E955-48B7-84F8-B68B05A13A7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91" name="avatar">
          <a:extLst>
            <a:ext uri="{FF2B5EF4-FFF2-40B4-BE49-F238E27FC236}">
              <a16:creationId xmlns:a16="http://schemas.microsoft.com/office/drawing/2014/main" id="{D7BB2C2C-8FFD-44A7-90C5-A10885EDCB47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92" name="avatar">
          <a:extLst>
            <a:ext uri="{FF2B5EF4-FFF2-40B4-BE49-F238E27FC236}">
              <a16:creationId xmlns:a16="http://schemas.microsoft.com/office/drawing/2014/main" id="{5B652C50-598C-4E72-BEDA-57E1DC78D7B8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193" name="avatar">
          <a:extLst>
            <a:ext uri="{FF2B5EF4-FFF2-40B4-BE49-F238E27FC236}">
              <a16:creationId xmlns:a16="http://schemas.microsoft.com/office/drawing/2014/main" id="{7D01BC7E-C822-4A18-8171-47512D63A97B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94" name="avatar">
          <a:extLst>
            <a:ext uri="{FF2B5EF4-FFF2-40B4-BE49-F238E27FC236}">
              <a16:creationId xmlns:a16="http://schemas.microsoft.com/office/drawing/2014/main" id="{84EB631C-9D2B-4BD4-9978-3D5EFEAA9B2F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95" name="avatar">
          <a:extLst>
            <a:ext uri="{FF2B5EF4-FFF2-40B4-BE49-F238E27FC236}">
              <a16:creationId xmlns:a16="http://schemas.microsoft.com/office/drawing/2014/main" id="{64D0BF92-7D24-4479-8F60-F1E04A7FC8FE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96" name="avatar">
          <a:extLst>
            <a:ext uri="{FF2B5EF4-FFF2-40B4-BE49-F238E27FC236}">
              <a16:creationId xmlns:a16="http://schemas.microsoft.com/office/drawing/2014/main" id="{A3344465-1BEF-4D0A-BD7E-36196975DD8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97" name="avatar">
          <a:extLst>
            <a:ext uri="{FF2B5EF4-FFF2-40B4-BE49-F238E27FC236}">
              <a16:creationId xmlns:a16="http://schemas.microsoft.com/office/drawing/2014/main" id="{E09B7631-030F-4D8A-B3A1-EF89079CE96F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98" name="avatar">
          <a:extLst>
            <a:ext uri="{FF2B5EF4-FFF2-40B4-BE49-F238E27FC236}">
              <a16:creationId xmlns:a16="http://schemas.microsoft.com/office/drawing/2014/main" id="{A3CEB75D-BF35-43E0-A27D-2BA12A715E4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199" name="avatar">
          <a:extLst>
            <a:ext uri="{FF2B5EF4-FFF2-40B4-BE49-F238E27FC236}">
              <a16:creationId xmlns:a16="http://schemas.microsoft.com/office/drawing/2014/main" id="{6289FE62-488D-4628-8CDA-17FDBFBB494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200" name="avatar">
          <a:extLst>
            <a:ext uri="{FF2B5EF4-FFF2-40B4-BE49-F238E27FC236}">
              <a16:creationId xmlns:a16="http://schemas.microsoft.com/office/drawing/2014/main" id="{688845B5-4C6E-4462-87BB-C49878B21AB4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201" name="avatar">
          <a:extLst>
            <a:ext uri="{FF2B5EF4-FFF2-40B4-BE49-F238E27FC236}">
              <a16:creationId xmlns:a16="http://schemas.microsoft.com/office/drawing/2014/main" id="{F8589292-BA87-4A98-AC30-F194E0F4D75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202" name="avatar">
          <a:extLst>
            <a:ext uri="{FF2B5EF4-FFF2-40B4-BE49-F238E27FC236}">
              <a16:creationId xmlns:a16="http://schemas.microsoft.com/office/drawing/2014/main" id="{D6C3BCB1-1BCF-42AC-9CB8-DE733BE06CE4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203" name="avatar">
          <a:extLst>
            <a:ext uri="{FF2B5EF4-FFF2-40B4-BE49-F238E27FC236}">
              <a16:creationId xmlns:a16="http://schemas.microsoft.com/office/drawing/2014/main" id="{BBF41F52-7FE6-406F-B428-84688AC11BD7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04" name="avatar">
          <a:extLst>
            <a:ext uri="{FF2B5EF4-FFF2-40B4-BE49-F238E27FC236}">
              <a16:creationId xmlns:a16="http://schemas.microsoft.com/office/drawing/2014/main" id="{D901263C-37FB-4787-9F36-A522BA80EA8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05" name="avatar">
          <a:extLst>
            <a:ext uri="{FF2B5EF4-FFF2-40B4-BE49-F238E27FC236}">
              <a16:creationId xmlns:a16="http://schemas.microsoft.com/office/drawing/2014/main" id="{747A9800-567A-454B-B3F9-DD0C32790B12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06" name="avatar">
          <a:extLst>
            <a:ext uri="{FF2B5EF4-FFF2-40B4-BE49-F238E27FC236}">
              <a16:creationId xmlns:a16="http://schemas.microsoft.com/office/drawing/2014/main" id="{D97D579C-718C-4A4A-8192-E363DDFF6BC6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07" name="avatar">
          <a:extLst>
            <a:ext uri="{FF2B5EF4-FFF2-40B4-BE49-F238E27FC236}">
              <a16:creationId xmlns:a16="http://schemas.microsoft.com/office/drawing/2014/main" id="{93A743E5-21D3-41DA-9BB5-B862E5C9B79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08" name="avatar">
          <a:extLst>
            <a:ext uri="{FF2B5EF4-FFF2-40B4-BE49-F238E27FC236}">
              <a16:creationId xmlns:a16="http://schemas.microsoft.com/office/drawing/2014/main" id="{6B9DB93B-7217-4027-B3AA-C8701A13AA81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09" name="avatar">
          <a:extLst>
            <a:ext uri="{FF2B5EF4-FFF2-40B4-BE49-F238E27FC236}">
              <a16:creationId xmlns:a16="http://schemas.microsoft.com/office/drawing/2014/main" id="{5B641472-8245-4B0C-89DD-3616E81181F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10" name="avatar">
          <a:extLst>
            <a:ext uri="{FF2B5EF4-FFF2-40B4-BE49-F238E27FC236}">
              <a16:creationId xmlns:a16="http://schemas.microsoft.com/office/drawing/2014/main" id="{61FEC2C7-8F75-493A-8878-CDF40A8B584D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11" name="avatar">
          <a:extLst>
            <a:ext uri="{FF2B5EF4-FFF2-40B4-BE49-F238E27FC236}">
              <a16:creationId xmlns:a16="http://schemas.microsoft.com/office/drawing/2014/main" id="{94ED8889-A84E-4361-A524-711528BAE98C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12" name="avatar">
          <a:extLst>
            <a:ext uri="{FF2B5EF4-FFF2-40B4-BE49-F238E27FC236}">
              <a16:creationId xmlns:a16="http://schemas.microsoft.com/office/drawing/2014/main" id="{966C3A10-4B9A-47F3-8166-DA3F93B2A4A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213" name="avatar">
          <a:extLst>
            <a:ext uri="{FF2B5EF4-FFF2-40B4-BE49-F238E27FC236}">
              <a16:creationId xmlns:a16="http://schemas.microsoft.com/office/drawing/2014/main" id="{9D648063-265B-4682-96D6-AE7B6321C51C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14" name="avatar">
          <a:extLst>
            <a:ext uri="{FF2B5EF4-FFF2-40B4-BE49-F238E27FC236}">
              <a16:creationId xmlns:a16="http://schemas.microsoft.com/office/drawing/2014/main" id="{468FB3DF-EEE7-4DA6-9DEC-6B96193A6AD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15" name="avatar">
          <a:extLst>
            <a:ext uri="{FF2B5EF4-FFF2-40B4-BE49-F238E27FC236}">
              <a16:creationId xmlns:a16="http://schemas.microsoft.com/office/drawing/2014/main" id="{BFC9EA5C-25ED-4832-9207-3D538F51543C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16" name="avatar">
          <a:extLst>
            <a:ext uri="{FF2B5EF4-FFF2-40B4-BE49-F238E27FC236}">
              <a16:creationId xmlns:a16="http://schemas.microsoft.com/office/drawing/2014/main" id="{8864514E-D444-45B9-8437-F6D4DC89FA9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17" name="avatar">
          <a:extLst>
            <a:ext uri="{FF2B5EF4-FFF2-40B4-BE49-F238E27FC236}">
              <a16:creationId xmlns:a16="http://schemas.microsoft.com/office/drawing/2014/main" id="{947C139F-935F-402A-A39F-3188FABA275E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18" name="avatar">
          <a:extLst>
            <a:ext uri="{FF2B5EF4-FFF2-40B4-BE49-F238E27FC236}">
              <a16:creationId xmlns:a16="http://schemas.microsoft.com/office/drawing/2014/main" id="{FDF43C71-58C8-4421-A830-B73BC39CD589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19" name="avatar">
          <a:extLst>
            <a:ext uri="{FF2B5EF4-FFF2-40B4-BE49-F238E27FC236}">
              <a16:creationId xmlns:a16="http://schemas.microsoft.com/office/drawing/2014/main" id="{C33DAC14-1EDF-4F13-A685-97F76F521181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20" name="avatar">
          <a:extLst>
            <a:ext uri="{FF2B5EF4-FFF2-40B4-BE49-F238E27FC236}">
              <a16:creationId xmlns:a16="http://schemas.microsoft.com/office/drawing/2014/main" id="{C65ACDB5-302B-4C23-A850-6B512CBA18C1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21" name="avatar">
          <a:extLst>
            <a:ext uri="{FF2B5EF4-FFF2-40B4-BE49-F238E27FC236}">
              <a16:creationId xmlns:a16="http://schemas.microsoft.com/office/drawing/2014/main" id="{27E76EA5-7F5B-48DC-84AD-595F0CBA9DF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22" name="avatar">
          <a:extLst>
            <a:ext uri="{FF2B5EF4-FFF2-40B4-BE49-F238E27FC236}">
              <a16:creationId xmlns:a16="http://schemas.microsoft.com/office/drawing/2014/main" id="{6D7077FC-7CF0-4DCF-B5D6-4050D3908500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223" name="avatar">
          <a:extLst>
            <a:ext uri="{FF2B5EF4-FFF2-40B4-BE49-F238E27FC236}">
              <a16:creationId xmlns:a16="http://schemas.microsoft.com/office/drawing/2014/main" id="{CCC8E317-2AE6-40C2-903E-619A19D8244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24" name="avatar">
          <a:extLst>
            <a:ext uri="{FF2B5EF4-FFF2-40B4-BE49-F238E27FC236}">
              <a16:creationId xmlns:a16="http://schemas.microsoft.com/office/drawing/2014/main" id="{F206E576-8F8C-4A0E-AA67-B9C65BF03C9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25" name="avatar">
          <a:extLst>
            <a:ext uri="{FF2B5EF4-FFF2-40B4-BE49-F238E27FC236}">
              <a16:creationId xmlns:a16="http://schemas.microsoft.com/office/drawing/2014/main" id="{DB7CAA21-F51D-4560-87D1-FC3978B6349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26" name="avatar">
          <a:extLst>
            <a:ext uri="{FF2B5EF4-FFF2-40B4-BE49-F238E27FC236}">
              <a16:creationId xmlns:a16="http://schemas.microsoft.com/office/drawing/2014/main" id="{B9F4A742-6931-4A37-A2DC-79AE66C1E7D5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27" name="avatar">
          <a:extLst>
            <a:ext uri="{FF2B5EF4-FFF2-40B4-BE49-F238E27FC236}">
              <a16:creationId xmlns:a16="http://schemas.microsoft.com/office/drawing/2014/main" id="{EB5D7D70-8819-4888-A1E5-205D5610E3E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28" name="avatar">
          <a:extLst>
            <a:ext uri="{FF2B5EF4-FFF2-40B4-BE49-F238E27FC236}">
              <a16:creationId xmlns:a16="http://schemas.microsoft.com/office/drawing/2014/main" id="{D4CB9B19-C014-42B4-81E4-CFF20FB006B1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29" name="avatar">
          <a:extLst>
            <a:ext uri="{FF2B5EF4-FFF2-40B4-BE49-F238E27FC236}">
              <a16:creationId xmlns:a16="http://schemas.microsoft.com/office/drawing/2014/main" id="{7549F71B-2658-4B49-BDB8-748ACE5EEB3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30" name="avatar">
          <a:extLst>
            <a:ext uri="{FF2B5EF4-FFF2-40B4-BE49-F238E27FC236}">
              <a16:creationId xmlns:a16="http://schemas.microsoft.com/office/drawing/2014/main" id="{404E511D-E806-44DC-9DEF-93C3105FC11A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31" name="avatar">
          <a:extLst>
            <a:ext uri="{FF2B5EF4-FFF2-40B4-BE49-F238E27FC236}">
              <a16:creationId xmlns:a16="http://schemas.microsoft.com/office/drawing/2014/main" id="{20F4281E-E994-4E74-A213-BEACB21B2099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32" name="avatar">
          <a:extLst>
            <a:ext uri="{FF2B5EF4-FFF2-40B4-BE49-F238E27FC236}">
              <a16:creationId xmlns:a16="http://schemas.microsoft.com/office/drawing/2014/main" id="{296F1096-2D9C-43AE-A507-0F6DF48E14E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233" name="avatar">
          <a:extLst>
            <a:ext uri="{FF2B5EF4-FFF2-40B4-BE49-F238E27FC236}">
              <a16:creationId xmlns:a16="http://schemas.microsoft.com/office/drawing/2014/main" id="{1E5D35F9-3E03-40FC-BEDD-D0B533012444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34" name="avatar">
          <a:extLst>
            <a:ext uri="{FF2B5EF4-FFF2-40B4-BE49-F238E27FC236}">
              <a16:creationId xmlns:a16="http://schemas.microsoft.com/office/drawing/2014/main" id="{158DD845-F12C-4E17-B393-4B21C794ABF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35" name="avatar">
          <a:extLst>
            <a:ext uri="{FF2B5EF4-FFF2-40B4-BE49-F238E27FC236}">
              <a16:creationId xmlns:a16="http://schemas.microsoft.com/office/drawing/2014/main" id="{3B874DD3-A9D2-4C00-8849-4DCF4C3E57E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36" name="avatar">
          <a:extLst>
            <a:ext uri="{FF2B5EF4-FFF2-40B4-BE49-F238E27FC236}">
              <a16:creationId xmlns:a16="http://schemas.microsoft.com/office/drawing/2014/main" id="{6CF4B918-5B96-47EF-B21D-CEBABD91BAC3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37" name="avatar">
          <a:extLst>
            <a:ext uri="{FF2B5EF4-FFF2-40B4-BE49-F238E27FC236}">
              <a16:creationId xmlns:a16="http://schemas.microsoft.com/office/drawing/2014/main" id="{4A0277F4-EC6A-4EA0-A25D-FC13C93CB274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38" name="avatar">
          <a:extLst>
            <a:ext uri="{FF2B5EF4-FFF2-40B4-BE49-F238E27FC236}">
              <a16:creationId xmlns:a16="http://schemas.microsoft.com/office/drawing/2014/main" id="{3F037FF6-DF57-4CAB-B4A7-452ED826AA37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39" name="avatar">
          <a:extLst>
            <a:ext uri="{FF2B5EF4-FFF2-40B4-BE49-F238E27FC236}">
              <a16:creationId xmlns:a16="http://schemas.microsoft.com/office/drawing/2014/main" id="{AB12774A-605A-45FC-908C-2553E56DC28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40" name="avatar">
          <a:extLst>
            <a:ext uri="{FF2B5EF4-FFF2-40B4-BE49-F238E27FC236}">
              <a16:creationId xmlns:a16="http://schemas.microsoft.com/office/drawing/2014/main" id="{FCF3D11A-0858-4CDC-9446-8C9CFC2B8DCA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41" name="avatar">
          <a:extLst>
            <a:ext uri="{FF2B5EF4-FFF2-40B4-BE49-F238E27FC236}">
              <a16:creationId xmlns:a16="http://schemas.microsoft.com/office/drawing/2014/main" id="{E0CF8B14-7FD3-48BF-A07C-C2105890ABA2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42" name="avatar">
          <a:extLst>
            <a:ext uri="{FF2B5EF4-FFF2-40B4-BE49-F238E27FC236}">
              <a16:creationId xmlns:a16="http://schemas.microsoft.com/office/drawing/2014/main" id="{EDC2EF66-5BE0-48D7-9D47-5A641720D26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243" name="avatar">
          <a:extLst>
            <a:ext uri="{FF2B5EF4-FFF2-40B4-BE49-F238E27FC236}">
              <a16:creationId xmlns:a16="http://schemas.microsoft.com/office/drawing/2014/main" id="{8F3A3908-EBF2-4A0F-8B11-84BFA5C79162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44" name="avatar">
          <a:extLst>
            <a:ext uri="{FF2B5EF4-FFF2-40B4-BE49-F238E27FC236}">
              <a16:creationId xmlns:a16="http://schemas.microsoft.com/office/drawing/2014/main" id="{13B01F77-1E29-4C77-AAF3-35588F3E36C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45" name="avatar">
          <a:extLst>
            <a:ext uri="{FF2B5EF4-FFF2-40B4-BE49-F238E27FC236}">
              <a16:creationId xmlns:a16="http://schemas.microsoft.com/office/drawing/2014/main" id="{445835C3-EB99-48DF-BB8A-F1ECFBD0F7D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46" name="avatar">
          <a:extLst>
            <a:ext uri="{FF2B5EF4-FFF2-40B4-BE49-F238E27FC236}">
              <a16:creationId xmlns:a16="http://schemas.microsoft.com/office/drawing/2014/main" id="{3F04DEE3-AB2F-467A-87A8-996564B95C8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47" name="avatar">
          <a:extLst>
            <a:ext uri="{FF2B5EF4-FFF2-40B4-BE49-F238E27FC236}">
              <a16:creationId xmlns:a16="http://schemas.microsoft.com/office/drawing/2014/main" id="{5C4CC344-9C67-443D-9DD6-E2C4EC39366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48" name="avatar">
          <a:extLst>
            <a:ext uri="{FF2B5EF4-FFF2-40B4-BE49-F238E27FC236}">
              <a16:creationId xmlns:a16="http://schemas.microsoft.com/office/drawing/2014/main" id="{7CB4728C-E1DC-458E-B6E5-502C5EB3344F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49" name="avatar">
          <a:extLst>
            <a:ext uri="{FF2B5EF4-FFF2-40B4-BE49-F238E27FC236}">
              <a16:creationId xmlns:a16="http://schemas.microsoft.com/office/drawing/2014/main" id="{0C32F52C-967E-46FC-B9A4-DED336DC513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0" name="avatar">
          <a:extLst>
            <a:ext uri="{FF2B5EF4-FFF2-40B4-BE49-F238E27FC236}">
              <a16:creationId xmlns:a16="http://schemas.microsoft.com/office/drawing/2014/main" id="{94CCB88E-1DDF-4F62-BEAE-45C81FBB3F4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1" name="avatar">
          <a:extLst>
            <a:ext uri="{FF2B5EF4-FFF2-40B4-BE49-F238E27FC236}">
              <a16:creationId xmlns:a16="http://schemas.microsoft.com/office/drawing/2014/main" id="{07D201B3-4FF3-402A-BE3D-B032F8063D1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2" name="avatar">
          <a:extLst>
            <a:ext uri="{FF2B5EF4-FFF2-40B4-BE49-F238E27FC236}">
              <a16:creationId xmlns:a16="http://schemas.microsoft.com/office/drawing/2014/main" id="{A2F302D6-08A7-4167-B1A7-B3CE11E915FB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3" name="avatar">
          <a:extLst>
            <a:ext uri="{FF2B5EF4-FFF2-40B4-BE49-F238E27FC236}">
              <a16:creationId xmlns:a16="http://schemas.microsoft.com/office/drawing/2014/main" id="{44F70FA2-98D3-4606-8F6E-CEF819DB4E3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4" name="avatar">
          <a:extLst>
            <a:ext uri="{FF2B5EF4-FFF2-40B4-BE49-F238E27FC236}">
              <a16:creationId xmlns:a16="http://schemas.microsoft.com/office/drawing/2014/main" id="{2F6D0A93-8CB5-4067-8CBA-A45F7D043630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5" name="avatar">
          <a:extLst>
            <a:ext uri="{FF2B5EF4-FFF2-40B4-BE49-F238E27FC236}">
              <a16:creationId xmlns:a16="http://schemas.microsoft.com/office/drawing/2014/main" id="{0E1F08DA-E9A9-40A1-B076-15F538FA31B9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6" name="avatar">
          <a:extLst>
            <a:ext uri="{FF2B5EF4-FFF2-40B4-BE49-F238E27FC236}">
              <a16:creationId xmlns:a16="http://schemas.microsoft.com/office/drawing/2014/main" id="{36A4A73A-1B81-46B1-9D39-2CE4B1E924B5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7" name="avatar">
          <a:extLst>
            <a:ext uri="{FF2B5EF4-FFF2-40B4-BE49-F238E27FC236}">
              <a16:creationId xmlns:a16="http://schemas.microsoft.com/office/drawing/2014/main" id="{205B68E7-54B9-4C56-BD83-2C8A331EEFB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8" name="avatar">
          <a:extLst>
            <a:ext uri="{FF2B5EF4-FFF2-40B4-BE49-F238E27FC236}">
              <a16:creationId xmlns:a16="http://schemas.microsoft.com/office/drawing/2014/main" id="{E0BD3B63-3D30-4569-86C6-15FBFA47E9A2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59" name="avatar">
          <a:extLst>
            <a:ext uri="{FF2B5EF4-FFF2-40B4-BE49-F238E27FC236}">
              <a16:creationId xmlns:a16="http://schemas.microsoft.com/office/drawing/2014/main" id="{7027374C-B788-4C97-92D4-958E0E2E3E0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60" name="avatar">
          <a:extLst>
            <a:ext uri="{FF2B5EF4-FFF2-40B4-BE49-F238E27FC236}">
              <a16:creationId xmlns:a16="http://schemas.microsoft.com/office/drawing/2014/main" id="{A60A85BF-A0C2-41BC-80F1-FA360066A946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61" name="avatar">
          <a:extLst>
            <a:ext uri="{FF2B5EF4-FFF2-40B4-BE49-F238E27FC236}">
              <a16:creationId xmlns:a16="http://schemas.microsoft.com/office/drawing/2014/main" id="{D631CEFD-2584-475B-A75B-6CDB51DC5F6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62" name="avatar">
          <a:extLst>
            <a:ext uri="{FF2B5EF4-FFF2-40B4-BE49-F238E27FC236}">
              <a16:creationId xmlns:a16="http://schemas.microsoft.com/office/drawing/2014/main" id="{5C6872FD-31AA-4289-86F7-973AD4F3732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263" name="avatar">
          <a:extLst>
            <a:ext uri="{FF2B5EF4-FFF2-40B4-BE49-F238E27FC236}">
              <a16:creationId xmlns:a16="http://schemas.microsoft.com/office/drawing/2014/main" id="{94F90583-D5D7-4DDD-9FCC-A0E9A8BFFC57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64" name="avatar">
          <a:extLst>
            <a:ext uri="{FF2B5EF4-FFF2-40B4-BE49-F238E27FC236}">
              <a16:creationId xmlns:a16="http://schemas.microsoft.com/office/drawing/2014/main" id="{4B592EE5-AF6E-4D39-BBC1-B61F160DD830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65" name="avatar">
          <a:extLst>
            <a:ext uri="{FF2B5EF4-FFF2-40B4-BE49-F238E27FC236}">
              <a16:creationId xmlns:a16="http://schemas.microsoft.com/office/drawing/2014/main" id="{8F1DFEE1-00FF-4266-96C5-2E6D797C113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66" name="avatar">
          <a:extLst>
            <a:ext uri="{FF2B5EF4-FFF2-40B4-BE49-F238E27FC236}">
              <a16:creationId xmlns:a16="http://schemas.microsoft.com/office/drawing/2014/main" id="{FE6DDEA7-53F7-4756-97E3-F16A76B17F3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67" name="avatar">
          <a:extLst>
            <a:ext uri="{FF2B5EF4-FFF2-40B4-BE49-F238E27FC236}">
              <a16:creationId xmlns:a16="http://schemas.microsoft.com/office/drawing/2014/main" id="{AE06C5A8-F892-40D4-846D-EDE467B94F4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68" name="avatar">
          <a:extLst>
            <a:ext uri="{FF2B5EF4-FFF2-40B4-BE49-F238E27FC236}">
              <a16:creationId xmlns:a16="http://schemas.microsoft.com/office/drawing/2014/main" id="{F4715868-583B-4670-9741-58446328FB75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69" name="avatar">
          <a:extLst>
            <a:ext uri="{FF2B5EF4-FFF2-40B4-BE49-F238E27FC236}">
              <a16:creationId xmlns:a16="http://schemas.microsoft.com/office/drawing/2014/main" id="{F9A12BD7-4C56-4575-A09B-FEA6830EC98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0" name="avatar">
          <a:extLst>
            <a:ext uri="{FF2B5EF4-FFF2-40B4-BE49-F238E27FC236}">
              <a16:creationId xmlns:a16="http://schemas.microsoft.com/office/drawing/2014/main" id="{30945841-6ADC-41BB-A2AB-F28612DC18D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1" name="avatar">
          <a:extLst>
            <a:ext uri="{FF2B5EF4-FFF2-40B4-BE49-F238E27FC236}">
              <a16:creationId xmlns:a16="http://schemas.microsoft.com/office/drawing/2014/main" id="{4413938E-6FF0-44BF-9FFC-9B267AB131DA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2" name="avatar">
          <a:extLst>
            <a:ext uri="{FF2B5EF4-FFF2-40B4-BE49-F238E27FC236}">
              <a16:creationId xmlns:a16="http://schemas.microsoft.com/office/drawing/2014/main" id="{A5918201-20A0-40FE-BD61-8A03E1372DF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3" name="avatar">
          <a:extLst>
            <a:ext uri="{FF2B5EF4-FFF2-40B4-BE49-F238E27FC236}">
              <a16:creationId xmlns:a16="http://schemas.microsoft.com/office/drawing/2014/main" id="{C84AACA0-206E-469D-A568-37AB3B2F1F5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4" name="avatar">
          <a:extLst>
            <a:ext uri="{FF2B5EF4-FFF2-40B4-BE49-F238E27FC236}">
              <a16:creationId xmlns:a16="http://schemas.microsoft.com/office/drawing/2014/main" id="{E438684B-8674-4DAE-B92E-AAED07DF861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5" name="avatar">
          <a:extLst>
            <a:ext uri="{FF2B5EF4-FFF2-40B4-BE49-F238E27FC236}">
              <a16:creationId xmlns:a16="http://schemas.microsoft.com/office/drawing/2014/main" id="{9F9B7D94-9966-491C-A601-7E253E62F23A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6" name="avatar">
          <a:extLst>
            <a:ext uri="{FF2B5EF4-FFF2-40B4-BE49-F238E27FC236}">
              <a16:creationId xmlns:a16="http://schemas.microsoft.com/office/drawing/2014/main" id="{EE995026-0992-470E-A762-DB9C5B64059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7" name="avatar">
          <a:extLst>
            <a:ext uri="{FF2B5EF4-FFF2-40B4-BE49-F238E27FC236}">
              <a16:creationId xmlns:a16="http://schemas.microsoft.com/office/drawing/2014/main" id="{CFA7FE0E-6D45-41D8-ADD3-60B1D5325925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8" name="avatar">
          <a:extLst>
            <a:ext uri="{FF2B5EF4-FFF2-40B4-BE49-F238E27FC236}">
              <a16:creationId xmlns:a16="http://schemas.microsoft.com/office/drawing/2014/main" id="{FBC4F0F3-254B-487D-B59C-84839E1D3AA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79" name="avatar">
          <a:extLst>
            <a:ext uri="{FF2B5EF4-FFF2-40B4-BE49-F238E27FC236}">
              <a16:creationId xmlns:a16="http://schemas.microsoft.com/office/drawing/2014/main" id="{56641B34-A8AA-412E-BA68-D3AF814AED40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0" name="avatar">
          <a:extLst>
            <a:ext uri="{FF2B5EF4-FFF2-40B4-BE49-F238E27FC236}">
              <a16:creationId xmlns:a16="http://schemas.microsoft.com/office/drawing/2014/main" id="{42E93385-B1F6-47D6-9FA4-69D8F63BA28F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1" name="avatar">
          <a:extLst>
            <a:ext uri="{FF2B5EF4-FFF2-40B4-BE49-F238E27FC236}">
              <a16:creationId xmlns:a16="http://schemas.microsoft.com/office/drawing/2014/main" id="{4DE79FEE-3966-4B0C-9916-9EBF3E5B769C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2" name="avatar">
          <a:extLst>
            <a:ext uri="{FF2B5EF4-FFF2-40B4-BE49-F238E27FC236}">
              <a16:creationId xmlns:a16="http://schemas.microsoft.com/office/drawing/2014/main" id="{E6CF37C9-F670-477C-9101-4CFBFDC12C54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3" name="avatar">
          <a:extLst>
            <a:ext uri="{FF2B5EF4-FFF2-40B4-BE49-F238E27FC236}">
              <a16:creationId xmlns:a16="http://schemas.microsoft.com/office/drawing/2014/main" id="{A9056CE0-5EC9-4873-92B3-838B76E55FF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4" name="avatar">
          <a:extLst>
            <a:ext uri="{FF2B5EF4-FFF2-40B4-BE49-F238E27FC236}">
              <a16:creationId xmlns:a16="http://schemas.microsoft.com/office/drawing/2014/main" id="{C39F1083-C568-4C86-B978-5F8FF699370A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5" name="avatar">
          <a:extLst>
            <a:ext uri="{FF2B5EF4-FFF2-40B4-BE49-F238E27FC236}">
              <a16:creationId xmlns:a16="http://schemas.microsoft.com/office/drawing/2014/main" id="{DDED995D-BF73-4DC0-9189-321A039A553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6" name="avatar">
          <a:extLst>
            <a:ext uri="{FF2B5EF4-FFF2-40B4-BE49-F238E27FC236}">
              <a16:creationId xmlns:a16="http://schemas.microsoft.com/office/drawing/2014/main" id="{382FB607-9612-460B-AE66-A07533C96640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7" name="avatar">
          <a:extLst>
            <a:ext uri="{FF2B5EF4-FFF2-40B4-BE49-F238E27FC236}">
              <a16:creationId xmlns:a16="http://schemas.microsoft.com/office/drawing/2014/main" id="{22D32C9E-EE63-4460-9597-D9312EE35888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8" name="avatar">
          <a:extLst>
            <a:ext uri="{FF2B5EF4-FFF2-40B4-BE49-F238E27FC236}">
              <a16:creationId xmlns:a16="http://schemas.microsoft.com/office/drawing/2014/main" id="{61442C5E-232F-4F45-BB6D-C70655103365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89" name="avatar">
          <a:extLst>
            <a:ext uri="{FF2B5EF4-FFF2-40B4-BE49-F238E27FC236}">
              <a16:creationId xmlns:a16="http://schemas.microsoft.com/office/drawing/2014/main" id="{C4647FCA-6061-4003-95F1-89526A4E96D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0" name="avatar">
          <a:extLst>
            <a:ext uri="{FF2B5EF4-FFF2-40B4-BE49-F238E27FC236}">
              <a16:creationId xmlns:a16="http://schemas.microsoft.com/office/drawing/2014/main" id="{047E1225-6C35-41BF-8C4D-7728820BCB47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1" name="avatar">
          <a:extLst>
            <a:ext uri="{FF2B5EF4-FFF2-40B4-BE49-F238E27FC236}">
              <a16:creationId xmlns:a16="http://schemas.microsoft.com/office/drawing/2014/main" id="{F353437C-DE25-4E48-A604-9DB1E95DCDB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2" name="avatar">
          <a:extLst>
            <a:ext uri="{FF2B5EF4-FFF2-40B4-BE49-F238E27FC236}">
              <a16:creationId xmlns:a16="http://schemas.microsoft.com/office/drawing/2014/main" id="{990651C8-09C5-4D01-B028-065A4CC1A765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3" name="avatar">
          <a:extLst>
            <a:ext uri="{FF2B5EF4-FFF2-40B4-BE49-F238E27FC236}">
              <a16:creationId xmlns:a16="http://schemas.microsoft.com/office/drawing/2014/main" id="{C0EC154A-DB09-47AD-A4E0-6DBE02C2342D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4" name="avatar">
          <a:extLst>
            <a:ext uri="{FF2B5EF4-FFF2-40B4-BE49-F238E27FC236}">
              <a16:creationId xmlns:a16="http://schemas.microsoft.com/office/drawing/2014/main" id="{3C644A73-A9BF-43C2-BE56-DE5708B91EA6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5" name="avatar">
          <a:extLst>
            <a:ext uri="{FF2B5EF4-FFF2-40B4-BE49-F238E27FC236}">
              <a16:creationId xmlns:a16="http://schemas.microsoft.com/office/drawing/2014/main" id="{7852F4B5-FCCA-4572-A7AC-F09831AA6430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6" name="avatar">
          <a:extLst>
            <a:ext uri="{FF2B5EF4-FFF2-40B4-BE49-F238E27FC236}">
              <a16:creationId xmlns:a16="http://schemas.microsoft.com/office/drawing/2014/main" id="{A886DE8C-F241-4CBE-AFFC-C80AEF1AFB9D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7" name="avatar">
          <a:extLst>
            <a:ext uri="{FF2B5EF4-FFF2-40B4-BE49-F238E27FC236}">
              <a16:creationId xmlns:a16="http://schemas.microsoft.com/office/drawing/2014/main" id="{AA095C76-8568-4E0C-85FA-B3C0E033E53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8" name="avatar">
          <a:extLst>
            <a:ext uri="{FF2B5EF4-FFF2-40B4-BE49-F238E27FC236}">
              <a16:creationId xmlns:a16="http://schemas.microsoft.com/office/drawing/2014/main" id="{662EB86B-199B-4584-A408-C7ADA7E84211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299" name="avatar">
          <a:extLst>
            <a:ext uri="{FF2B5EF4-FFF2-40B4-BE49-F238E27FC236}">
              <a16:creationId xmlns:a16="http://schemas.microsoft.com/office/drawing/2014/main" id="{82299424-F6C3-4AE0-89E8-1B0AC0FC42F9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300" name="avatar">
          <a:extLst>
            <a:ext uri="{FF2B5EF4-FFF2-40B4-BE49-F238E27FC236}">
              <a16:creationId xmlns:a16="http://schemas.microsoft.com/office/drawing/2014/main" id="{730F736F-63E4-42B8-B3A0-683DDCDB05B4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301" name="avatar">
          <a:extLst>
            <a:ext uri="{FF2B5EF4-FFF2-40B4-BE49-F238E27FC236}">
              <a16:creationId xmlns:a16="http://schemas.microsoft.com/office/drawing/2014/main" id="{FA65AF54-DD72-4751-92EA-4B407BA8E6E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302" name="avatar">
          <a:extLst>
            <a:ext uri="{FF2B5EF4-FFF2-40B4-BE49-F238E27FC236}">
              <a16:creationId xmlns:a16="http://schemas.microsoft.com/office/drawing/2014/main" id="{FD65366C-39D7-46AE-93C7-9AC92A3D4C8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303" name="avatar">
          <a:extLst>
            <a:ext uri="{FF2B5EF4-FFF2-40B4-BE49-F238E27FC236}">
              <a16:creationId xmlns:a16="http://schemas.microsoft.com/office/drawing/2014/main" id="{E0FAA593-AF92-430B-B402-E2328DD0B25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04" name="avatar">
          <a:extLst>
            <a:ext uri="{FF2B5EF4-FFF2-40B4-BE49-F238E27FC236}">
              <a16:creationId xmlns:a16="http://schemas.microsoft.com/office/drawing/2014/main" id="{FE0BBE62-26EF-4C5D-A87F-FA0532E9C92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05" name="avatar">
          <a:extLst>
            <a:ext uri="{FF2B5EF4-FFF2-40B4-BE49-F238E27FC236}">
              <a16:creationId xmlns:a16="http://schemas.microsoft.com/office/drawing/2014/main" id="{B66AD1E3-8894-4995-98E2-B0759324B946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06" name="avatar">
          <a:extLst>
            <a:ext uri="{FF2B5EF4-FFF2-40B4-BE49-F238E27FC236}">
              <a16:creationId xmlns:a16="http://schemas.microsoft.com/office/drawing/2014/main" id="{CCAC8D69-1B63-4E26-8C11-0FBFD3A2F718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07" name="avatar">
          <a:extLst>
            <a:ext uri="{FF2B5EF4-FFF2-40B4-BE49-F238E27FC236}">
              <a16:creationId xmlns:a16="http://schemas.microsoft.com/office/drawing/2014/main" id="{F631D29C-323B-4C67-B062-DA17902FB12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08" name="avatar">
          <a:extLst>
            <a:ext uri="{FF2B5EF4-FFF2-40B4-BE49-F238E27FC236}">
              <a16:creationId xmlns:a16="http://schemas.microsoft.com/office/drawing/2014/main" id="{6AC44235-73CA-41C9-84BA-DB482BE3DAC8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09" name="avatar">
          <a:extLst>
            <a:ext uri="{FF2B5EF4-FFF2-40B4-BE49-F238E27FC236}">
              <a16:creationId xmlns:a16="http://schemas.microsoft.com/office/drawing/2014/main" id="{A9E023FB-576D-41D1-8AEB-113C7A6B36A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10" name="avatar">
          <a:extLst>
            <a:ext uri="{FF2B5EF4-FFF2-40B4-BE49-F238E27FC236}">
              <a16:creationId xmlns:a16="http://schemas.microsoft.com/office/drawing/2014/main" id="{37EEDB1E-DADE-41A0-ABDC-C45D8BB368C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11" name="avatar">
          <a:extLst>
            <a:ext uri="{FF2B5EF4-FFF2-40B4-BE49-F238E27FC236}">
              <a16:creationId xmlns:a16="http://schemas.microsoft.com/office/drawing/2014/main" id="{CC2457AB-59FF-47E3-A4D5-0F7809DE992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12" name="avatar">
          <a:extLst>
            <a:ext uri="{FF2B5EF4-FFF2-40B4-BE49-F238E27FC236}">
              <a16:creationId xmlns:a16="http://schemas.microsoft.com/office/drawing/2014/main" id="{827EDA21-C2E8-483D-9037-D46E85298C1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313" name="avatar">
          <a:extLst>
            <a:ext uri="{FF2B5EF4-FFF2-40B4-BE49-F238E27FC236}">
              <a16:creationId xmlns:a16="http://schemas.microsoft.com/office/drawing/2014/main" id="{4F5683B6-F654-4F02-94C3-4DC20BC6B86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14" name="avatar">
          <a:extLst>
            <a:ext uri="{FF2B5EF4-FFF2-40B4-BE49-F238E27FC236}">
              <a16:creationId xmlns:a16="http://schemas.microsoft.com/office/drawing/2014/main" id="{9305B066-2CA3-4D65-8939-5A2089638C3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15" name="avatar">
          <a:extLst>
            <a:ext uri="{FF2B5EF4-FFF2-40B4-BE49-F238E27FC236}">
              <a16:creationId xmlns:a16="http://schemas.microsoft.com/office/drawing/2014/main" id="{F4E7BA39-79A9-4015-BD56-4A6B2DF10A5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16" name="avatar">
          <a:extLst>
            <a:ext uri="{FF2B5EF4-FFF2-40B4-BE49-F238E27FC236}">
              <a16:creationId xmlns:a16="http://schemas.microsoft.com/office/drawing/2014/main" id="{94324606-BAA7-4DE9-96A1-BE7DC98491BA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17" name="avatar">
          <a:extLst>
            <a:ext uri="{FF2B5EF4-FFF2-40B4-BE49-F238E27FC236}">
              <a16:creationId xmlns:a16="http://schemas.microsoft.com/office/drawing/2014/main" id="{17730C5A-3CAD-446E-9D98-0CBAC2FC5F24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18" name="avatar">
          <a:extLst>
            <a:ext uri="{FF2B5EF4-FFF2-40B4-BE49-F238E27FC236}">
              <a16:creationId xmlns:a16="http://schemas.microsoft.com/office/drawing/2014/main" id="{41F22AB5-7DB0-4192-AC87-05603A842DF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19" name="avatar">
          <a:extLst>
            <a:ext uri="{FF2B5EF4-FFF2-40B4-BE49-F238E27FC236}">
              <a16:creationId xmlns:a16="http://schemas.microsoft.com/office/drawing/2014/main" id="{8AD5F074-B225-467F-BFBF-EEA055B5BE59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20" name="avatar">
          <a:extLst>
            <a:ext uri="{FF2B5EF4-FFF2-40B4-BE49-F238E27FC236}">
              <a16:creationId xmlns:a16="http://schemas.microsoft.com/office/drawing/2014/main" id="{E5738182-AF2E-4235-BF37-3368F7F8A09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21" name="avatar">
          <a:extLst>
            <a:ext uri="{FF2B5EF4-FFF2-40B4-BE49-F238E27FC236}">
              <a16:creationId xmlns:a16="http://schemas.microsoft.com/office/drawing/2014/main" id="{137BFF2A-8456-4308-AF2F-3F7F2098446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22" name="avatar">
          <a:extLst>
            <a:ext uri="{FF2B5EF4-FFF2-40B4-BE49-F238E27FC236}">
              <a16:creationId xmlns:a16="http://schemas.microsoft.com/office/drawing/2014/main" id="{1EEC96D7-FDC2-46C2-8786-E84F63AEECBE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323" name="avatar">
          <a:extLst>
            <a:ext uri="{FF2B5EF4-FFF2-40B4-BE49-F238E27FC236}">
              <a16:creationId xmlns:a16="http://schemas.microsoft.com/office/drawing/2014/main" id="{8A4BFB66-D505-41B4-92B8-6DA96C56496E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24" name="avatar">
          <a:extLst>
            <a:ext uri="{FF2B5EF4-FFF2-40B4-BE49-F238E27FC236}">
              <a16:creationId xmlns:a16="http://schemas.microsoft.com/office/drawing/2014/main" id="{FEE97A29-729B-43E2-863E-7C7F04BDF28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25" name="avatar">
          <a:extLst>
            <a:ext uri="{FF2B5EF4-FFF2-40B4-BE49-F238E27FC236}">
              <a16:creationId xmlns:a16="http://schemas.microsoft.com/office/drawing/2014/main" id="{D567672B-A21E-4E4C-AE8B-4F862570287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26" name="avatar">
          <a:extLst>
            <a:ext uri="{FF2B5EF4-FFF2-40B4-BE49-F238E27FC236}">
              <a16:creationId xmlns:a16="http://schemas.microsoft.com/office/drawing/2014/main" id="{E80A5E8D-BE21-434D-91EB-DA0ABCBE156D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27" name="avatar">
          <a:extLst>
            <a:ext uri="{FF2B5EF4-FFF2-40B4-BE49-F238E27FC236}">
              <a16:creationId xmlns:a16="http://schemas.microsoft.com/office/drawing/2014/main" id="{111A08B6-5517-49FA-A9B9-86D2AEC71A67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28" name="avatar">
          <a:extLst>
            <a:ext uri="{FF2B5EF4-FFF2-40B4-BE49-F238E27FC236}">
              <a16:creationId xmlns:a16="http://schemas.microsoft.com/office/drawing/2014/main" id="{8DDBB875-7F00-4F27-A130-83027B8D48EE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29" name="avatar">
          <a:extLst>
            <a:ext uri="{FF2B5EF4-FFF2-40B4-BE49-F238E27FC236}">
              <a16:creationId xmlns:a16="http://schemas.microsoft.com/office/drawing/2014/main" id="{110C51D0-678D-4884-8B49-3E250490BD27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30" name="avatar">
          <a:extLst>
            <a:ext uri="{FF2B5EF4-FFF2-40B4-BE49-F238E27FC236}">
              <a16:creationId xmlns:a16="http://schemas.microsoft.com/office/drawing/2014/main" id="{534A4FB9-4B81-45BB-BA98-61B8E71AAFB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31" name="avatar">
          <a:extLst>
            <a:ext uri="{FF2B5EF4-FFF2-40B4-BE49-F238E27FC236}">
              <a16:creationId xmlns:a16="http://schemas.microsoft.com/office/drawing/2014/main" id="{F2998B32-E5FB-4510-B0AA-834F68ED3623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32" name="avatar">
          <a:extLst>
            <a:ext uri="{FF2B5EF4-FFF2-40B4-BE49-F238E27FC236}">
              <a16:creationId xmlns:a16="http://schemas.microsoft.com/office/drawing/2014/main" id="{010A599E-1999-4388-B01E-B245D4CF8DB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333" name="avatar">
          <a:extLst>
            <a:ext uri="{FF2B5EF4-FFF2-40B4-BE49-F238E27FC236}">
              <a16:creationId xmlns:a16="http://schemas.microsoft.com/office/drawing/2014/main" id="{47EACDFE-9F5D-4319-9D27-3E8FF9725D6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34" name="avatar">
          <a:extLst>
            <a:ext uri="{FF2B5EF4-FFF2-40B4-BE49-F238E27FC236}">
              <a16:creationId xmlns:a16="http://schemas.microsoft.com/office/drawing/2014/main" id="{431FE544-959F-4EFD-9678-587F0A3284C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35" name="avatar">
          <a:extLst>
            <a:ext uri="{FF2B5EF4-FFF2-40B4-BE49-F238E27FC236}">
              <a16:creationId xmlns:a16="http://schemas.microsoft.com/office/drawing/2014/main" id="{03652707-351C-4C45-8650-D68DE5EF936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36" name="avatar">
          <a:extLst>
            <a:ext uri="{FF2B5EF4-FFF2-40B4-BE49-F238E27FC236}">
              <a16:creationId xmlns:a16="http://schemas.microsoft.com/office/drawing/2014/main" id="{6599EE9C-1A91-4677-AE55-760A0741E637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37" name="avatar">
          <a:extLst>
            <a:ext uri="{FF2B5EF4-FFF2-40B4-BE49-F238E27FC236}">
              <a16:creationId xmlns:a16="http://schemas.microsoft.com/office/drawing/2014/main" id="{EE76FAE0-2A87-4184-8633-87A64F6B14AA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38" name="avatar">
          <a:extLst>
            <a:ext uri="{FF2B5EF4-FFF2-40B4-BE49-F238E27FC236}">
              <a16:creationId xmlns:a16="http://schemas.microsoft.com/office/drawing/2014/main" id="{48B1DA8B-CAD1-4B01-8A2A-A6DE63B01282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39" name="avatar">
          <a:extLst>
            <a:ext uri="{FF2B5EF4-FFF2-40B4-BE49-F238E27FC236}">
              <a16:creationId xmlns:a16="http://schemas.microsoft.com/office/drawing/2014/main" id="{31D8C6C8-C146-4DCB-B0ED-EF272A8B0FDC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40" name="avatar">
          <a:extLst>
            <a:ext uri="{FF2B5EF4-FFF2-40B4-BE49-F238E27FC236}">
              <a16:creationId xmlns:a16="http://schemas.microsoft.com/office/drawing/2014/main" id="{BADF8EB5-6C8A-4761-A9C9-DCB6336A5A9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41" name="avatar">
          <a:extLst>
            <a:ext uri="{FF2B5EF4-FFF2-40B4-BE49-F238E27FC236}">
              <a16:creationId xmlns:a16="http://schemas.microsoft.com/office/drawing/2014/main" id="{B7CC4935-2BE3-4271-89B0-37E08CE4C01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42" name="avatar">
          <a:extLst>
            <a:ext uri="{FF2B5EF4-FFF2-40B4-BE49-F238E27FC236}">
              <a16:creationId xmlns:a16="http://schemas.microsoft.com/office/drawing/2014/main" id="{244E712F-7738-4D6A-BDC4-E7746D30E905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343" name="avatar">
          <a:extLst>
            <a:ext uri="{FF2B5EF4-FFF2-40B4-BE49-F238E27FC236}">
              <a16:creationId xmlns:a16="http://schemas.microsoft.com/office/drawing/2014/main" id="{C6144A89-7D8D-488B-A2C7-B70A90203C39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44" name="avatar">
          <a:extLst>
            <a:ext uri="{FF2B5EF4-FFF2-40B4-BE49-F238E27FC236}">
              <a16:creationId xmlns:a16="http://schemas.microsoft.com/office/drawing/2014/main" id="{B49378E1-815E-47BC-B67B-D125E22061B8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45" name="avatar">
          <a:extLst>
            <a:ext uri="{FF2B5EF4-FFF2-40B4-BE49-F238E27FC236}">
              <a16:creationId xmlns:a16="http://schemas.microsoft.com/office/drawing/2014/main" id="{EDB06644-4FCE-4B52-B95A-12D32DE17B0F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46" name="avatar">
          <a:extLst>
            <a:ext uri="{FF2B5EF4-FFF2-40B4-BE49-F238E27FC236}">
              <a16:creationId xmlns:a16="http://schemas.microsoft.com/office/drawing/2014/main" id="{DBB988A1-B871-4054-B9B6-D570EC541B93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47" name="avatar">
          <a:extLst>
            <a:ext uri="{FF2B5EF4-FFF2-40B4-BE49-F238E27FC236}">
              <a16:creationId xmlns:a16="http://schemas.microsoft.com/office/drawing/2014/main" id="{15BF5AF2-3030-475D-91B9-F3E5681F7629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48" name="avatar">
          <a:extLst>
            <a:ext uri="{FF2B5EF4-FFF2-40B4-BE49-F238E27FC236}">
              <a16:creationId xmlns:a16="http://schemas.microsoft.com/office/drawing/2014/main" id="{657C6B15-BBFC-4186-BCA6-674FD60F8C9E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49" name="avatar">
          <a:extLst>
            <a:ext uri="{FF2B5EF4-FFF2-40B4-BE49-F238E27FC236}">
              <a16:creationId xmlns:a16="http://schemas.microsoft.com/office/drawing/2014/main" id="{555F09F5-34A8-43A2-A9FC-8C28110CCA8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50" name="avatar">
          <a:extLst>
            <a:ext uri="{FF2B5EF4-FFF2-40B4-BE49-F238E27FC236}">
              <a16:creationId xmlns:a16="http://schemas.microsoft.com/office/drawing/2014/main" id="{C7C2715A-2CB9-467E-B90B-33EE370762AD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51" name="avatar">
          <a:extLst>
            <a:ext uri="{FF2B5EF4-FFF2-40B4-BE49-F238E27FC236}">
              <a16:creationId xmlns:a16="http://schemas.microsoft.com/office/drawing/2014/main" id="{CFD9347B-E7DB-4EB3-BA91-86D10607D9DA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52" name="avatar">
          <a:extLst>
            <a:ext uri="{FF2B5EF4-FFF2-40B4-BE49-F238E27FC236}">
              <a16:creationId xmlns:a16="http://schemas.microsoft.com/office/drawing/2014/main" id="{51FD4B6C-A47A-44C3-8E9B-DB5E73FBDE56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353" name="avatar">
          <a:extLst>
            <a:ext uri="{FF2B5EF4-FFF2-40B4-BE49-F238E27FC236}">
              <a16:creationId xmlns:a16="http://schemas.microsoft.com/office/drawing/2014/main" id="{2EF373A7-0B2B-41E3-9858-F5592C7630A2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54" name="avatar">
          <a:extLst>
            <a:ext uri="{FF2B5EF4-FFF2-40B4-BE49-F238E27FC236}">
              <a16:creationId xmlns:a16="http://schemas.microsoft.com/office/drawing/2014/main" id="{1F190508-8611-4AA6-8F15-209C49D1105A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55" name="avatar">
          <a:extLst>
            <a:ext uri="{FF2B5EF4-FFF2-40B4-BE49-F238E27FC236}">
              <a16:creationId xmlns:a16="http://schemas.microsoft.com/office/drawing/2014/main" id="{1B3F9C8A-5B06-4864-9279-AC95BC675510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56" name="avatar">
          <a:extLst>
            <a:ext uri="{FF2B5EF4-FFF2-40B4-BE49-F238E27FC236}">
              <a16:creationId xmlns:a16="http://schemas.microsoft.com/office/drawing/2014/main" id="{D3ED732F-6FD1-4A74-BBB0-CE03E24F24ED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57" name="avatar">
          <a:extLst>
            <a:ext uri="{FF2B5EF4-FFF2-40B4-BE49-F238E27FC236}">
              <a16:creationId xmlns:a16="http://schemas.microsoft.com/office/drawing/2014/main" id="{D5D0B139-E384-453F-98A9-6E199E57DEA2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58" name="avatar">
          <a:extLst>
            <a:ext uri="{FF2B5EF4-FFF2-40B4-BE49-F238E27FC236}">
              <a16:creationId xmlns:a16="http://schemas.microsoft.com/office/drawing/2014/main" id="{15B83CC6-71D8-4331-B463-7AB89D52D473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59" name="avatar">
          <a:extLst>
            <a:ext uri="{FF2B5EF4-FFF2-40B4-BE49-F238E27FC236}">
              <a16:creationId xmlns:a16="http://schemas.microsoft.com/office/drawing/2014/main" id="{F408962F-4678-492C-8D12-31C860B8B1F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60" name="avatar">
          <a:extLst>
            <a:ext uri="{FF2B5EF4-FFF2-40B4-BE49-F238E27FC236}">
              <a16:creationId xmlns:a16="http://schemas.microsoft.com/office/drawing/2014/main" id="{A3E6731A-796B-4DB4-9197-EDA207557349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61" name="avatar">
          <a:extLst>
            <a:ext uri="{FF2B5EF4-FFF2-40B4-BE49-F238E27FC236}">
              <a16:creationId xmlns:a16="http://schemas.microsoft.com/office/drawing/2014/main" id="{257C69A0-AA3E-427B-92BB-777B0C6CAD9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62" name="avatar">
          <a:extLst>
            <a:ext uri="{FF2B5EF4-FFF2-40B4-BE49-F238E27FC236}">
              <a16:creationId xmlns:a16="http://schemas.microsoft.com/office/drawing/2014/main" id="{2923B2F6-9CFA-4563-8856-83232D160472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363" name="avatar">
          <a:extLst>
            <a:ext uri="{FF2B5EF4-FFF2-40B4-BE49-F238E27FC236}">
              <a16:creationId xmlns:a16="http://schemas.microsoft.com/office/drawing/2014/main" id="{A2F37B39-522C-4EE2-B078-63F6B79AB36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64" name="avatar">
          <a:extLst>
            <a:ext uri="{FF2B5EF4-FFF2-40B4-BE49-F238E27FC236}">
              <a16:creationId xmlns:a16="http://schemas.microsoft.com/office/drawing/2014/main" id="{4B9A4437-3CAD-4C45-9CEF-2837D6DA3020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65" name="avatar">
          <a:extLst>
            <a:ext uri="{FF2B5EF4-FFF2-40B4-BE49-F238E27FC236}">
              <a16:creationId xmlns:a16="http://schemas.microsoft.com/office/drawing/2014/main" id="{93DD9EFF-3527-40C7-8F64-B7D7CA82A32A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66" name="avatar">
          <a:extLst>
            <a:ext uri="{FF2B5EF4-FFF2-40B4-BE49-F238E27FC236}">
              <a16:creationId xmlns:a16="http://schemas.microsoft.com/office/drawing/2014/main" id="{999559A2-026D-4914-9937-AD435B6F396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67" name="avatar">
          <a:extLst>
            <a:ext uri="{FF2B5EF4-FFF2-40B4-BE49-F238E27FC236}">
              <a16:creationId xmlns:a16="http://schemas.microsoft.com/office/drawing/2014/main" id="{1130A9C4-C9CC-44C3-BAF7-819053F3EA8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68" name="avatar">
          <a:extLst>
            <a:ext uri="{FF2B5EF4-FFF2-40B4-BE49-F238E27FC236}">
              <a16:creationId xmlns:a16="http://schemas.microsoft.com/office/drawing/2014/main" id="{BAB20B83-359F-414F-8E7D-E58C32C43CA7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69" name="avatar">
          <a:extLst>
            <a:ext uri="{FF2B5EF4-FFF2-40B4-BE49-F238E27FC236}">
              <a16:creationId xmlns:a16="http://schemas.microsoft.com/office/drawing/2014/main" id="{EFF3F4E2-05E6-4DC5-97DD-6920D2708B9C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70" name="avatar">
          <a:extLst>
            <a:ext uri="{FF2B5EF4-FFF2-40B4-BE49-F238E27FC236}">
              <a16:creationId xmlns:a16="http://schemas.microsoft.com/office/drawing/2014/main" id="{3C65CFDD-64DD-4DB0-B342-2F05A984195B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71" name="avatar">
          <a:extLst>
            <a:ext uri="{FF2B5EF4-FFF2-40B4-BE49-F238E27FC236}">
              <a16:creationId xmlns:a16="http://schemas.microsoft.com/office/drawing/2014/main" id="{25523648-4102-4FA8-A327-1D36E00B5F68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72" name="avatar">
          <a:extLst>
            <a:ext uri="{FF2B5EF4-FFF2-40B4-BE49-F238E27FC236}">
              <a16:creationId xmlns:a16="http://schemas.microsoft.com/office/drawing/2014/main" id="{17784705-B71C-4AA6-9B40-6C93505909E5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373" name="avatar">
          <a:extLst>
            <a:ext uri="{FF2B5EF4-FFF2-40B4-BE49-F238E27FC236}">
              <a16:creationId xmlns:a16="http://schemas.microsoft.com/office/drawing/2014/main" id="{4D6887B7-D584-49DB-BDA3-798822DC7D7C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74" name="avatar">
          <a:extLst>
            <a:ext uri="{FF2B5EF4-FFF2-40B4-BE49-F238E27FC236}">
              <a16:creationId xmlns:a16="http://schemas.microsoft.com/office/drawing/2014/main" id="{1F34CD06-C08E-4B16-BC99-8F8DE97E6F1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75" name="avatar">
          <a:extLst>
            <a:ext uri="{FF2B5EF4-FFF2-40B4-BE49-F238E27FC236}">
              <a16:creationId xmlns:a16="http://schemas.microsoft.com/office/drawing/2014/main" id="{F0828539-4BBE-4F7C-AD8B-08B4ED6E15C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76" name="avatar">
          <a:extLst>
            <a:ext uri="{FF2B5EF4-FFF2-40B4-BE49-F238E27FC236}">
              <a16:creationId xmlns:a16="http://schemas.microsoft.com/office/drawing/2014/main" id="{7431D9B9-E529-4AE2-846F-5045A973546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77" name="avatar">
          <a:extLst>
            <a:ext uri="{FF2B5EF4-FFF2-40B4-BE49-F238E27FC236}">
              <a16:creationId xmlns:a16="http://schemas.microsoft.com/office/drawing/2014/main" id="{C606D132-809C-460D-995B-F9126173908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78" name="avatar">
          <a:extLst>
            <a:ext uri="{FF2B5EF4-FFF2-40B4-BE49-F238E27FC236}">
              <a16:creationId xmlns:a16="http://schemas.microsoft.com/office/drawing/2014/main" id="{3F1BFC46-4882-47AF-964E-07269744E077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79" name="avatar">
          <a:extLst>
            <a:ext uri="{FF2B5EF4-FFF2-40B4-BE49-F238E27FC236}">
              <a16:creationId xmlns:a16="http://schemas.microsoft.com/office/drawing/2014/main" id="{FB2DAFBC-4AAA-4723-B03F-6B64692E380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80" name="avatar">
          <a:extLst>
            <a:ext uri="{FF2B5EF4-FFF2-40B4-BE49-F238E27FC236}">
              <a16:creationId xmlns:a16="http://schemas.microsoft.com/office/drawing/2014/main" id="{EE551919-6672-40E6-A8F9-E03AFD07A58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81" name="avatar">
          <a:extLst>
            <a:ext uri="{FF2B5EF4-FFF2-40B4-BE49-F238E27FC236}">
              <a16:creationId xmlns:a16="http://schemas.microsoft.com/office/drawing/2014/main" id="{51F999EC-87F9-4C77-9D77-3BF860CDC6A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82" name="avatar">
          <a:extLst>
            <a:ext uri="{FF2B5EF4-FFF2-40B4-BE49-F238E27FC236}">
              <a16:creationId xmlns:a16="http://schemas.microsoft.com/office/drawing/2014/main" id="{F7FA7112-676C-4761-9E32-06273516377D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383" name="avatar">
          <a:extLst>
            <a:ext uri="{FF2B5EF4-FFF2-40B4-BE49-F238E27FC236}">
              <a16:creationId xmlns:a16="http://schemas.microsoft.com/office/drawing/2014/main" id="{9700CEB3-46DE-47E6-A635-F67C938ADB32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84" name="avatar">
          <a:extLst>
            <a:ext uri="{FF2B5EF4-FFF2-40B4-BE49-F238E27FC236}">
              <a16:creationId xmlns:a16="http://schemas.microsoft.com/office/drawing/2014/main" id="{4BB877B0-D831-4F28-8641-7F3EA9528E7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85" name="avatar">
          <a:extLst>
            <a:ext uri="{FF2B5EF4-FFF2-40B4-BE49-F238E27FC236}">
              <a16:creationId xmlns:a16="http://schemas.microsoft.com/office/drawing/2014/main" id="{BCF489E7-1EEE-473D-989D-9569CC1BA22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86" name="avatar">
          <a:extLst>
            <a:ext uri="{FF2B5EF4-FFF2-40B4-BE49-F238E27FC236}">
              <a16:creationId xmlns:a16="http://schemas.microsoft.com/office/drawing/2014/main" id="{B0E0667F-58F1-41FB-B7BC-DBFAEA348DC0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87" name="avatar">
          <a:extLst>
            <a:ext uri="{FF2B5EF4-FFF2-40B4-BE49-F238E27FC236}">
              <a16:creationId xmlns:a16="http://schemas.microsoft.com/office/drawing/2014/main" id="{74B9B8C0-1306-449D-8E05-D3A07B60EC0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88" name="avatar">
          <a:extLst>
            <a:ext uri="{FF2B5EF4-FFF2-40B4-BE49-F238E27FC236}">
              <a16:creationId xmlns:a16="http://schemas.microsoft.com/office/drawing/2014/main" id="{5207E6E3-2A62-4709-A0C0-652F66C79AE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89" name="avatar">
          <a:extLst>
            <a:ext uri="{FF2B5EF4-FFF2-40B4-BE49-F238E27FC236}">
              <a16:creationId xmlns:a16="http://schemas.microsoft.com/office/drawing/2014/main" id="{774B4F30-82CB-4B69-8CBA-09FB6B782496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90" name="avatar">
          <a:extLst>
            <a:ext uri="{FF2B5EF4-FFF2-40B4-BE49-F238E27FC236}">
              <a16:creationId xmlns:a16="http://schemas.microsoft.com/office/drawing/2014/main" id="{E45098A7-C2D8-4608-AE86-A52F765A23A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91" name="avatar">
          <a:extLst>
            <a:ext uri="{FF2B5EF4-FFF2-40B4-BE49-F238E27FC236}">
              <a16:creationId xmlns:a16="http://schemas.microsoft.com/office/drawing/2014/main" id="{26A5A772-8C6D-467F-B3F2-EAF50B3213EA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92" name="avatar">
          <a:extLst>
            <a:ext uri="{FF2B5EF4-FFF2-40B4-BE49-F238E27FC236}">
              <a16:creationId xmlns:a16="http://schemas.microsoft.com/office/drawing/2014/main" id="{613375A5-E5BA-4694-AEA9-3AA81B5AFD50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393" name="avatar">
          <a:extLst>
            <a:ext uri="{FF2B5EF4-FFF2-40B4-BE49-F238E27FC236}">
              <a16:creationId xmlns:a16="http://schemas.microsoft.com/office/drawing/2014/main" id="{674DC776-8514-49F6-9B00-5DF61716A15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94" name="avatar">
          <a:extLst>
            <a:ext uri="{FF2B5EF4-FFF2-40B4-BE49-F238E27FC236}">
              <a16:creationId xmlns:a16="http://schemas.microsoft.com/office/drawing/2014/main" id="{DA6A1DAA-D39B-4D83-9E45-7191BCE74E7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95" name="avatar">
          <a:extLst>
            <a:ext uri="{FF2B5EF4-FFF2-40B4-BE49-F238E27FC236}">
              <a16:creationId xmlns:a16="http://schemas.microsoft.com/office/drawing/2014/main" id="{1C00504C-CA5F-45AE-857B-DAF18E94712A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96" name="avatar">
          <a:extLst>
            <a:ext uri="{FF2B5EF4-FFF2-40B4-BE49-F238E27FC236}">
              <a16:creationId xmlns:a16="http://schemas.microsoft.com/office/drawing/2014/main" id="{99A1964C-1178-425F-8738-91F1EA10E14C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97" name="avatar">
          <a:extLst>
            <a:ext uri="{FF2B5EF4-FFF2-40B4-BE49-F238E27FC236}">
              <a16:creationId xmlns:a16="http://schemas.microsoft.com/office/drawing/2014/main" id="{82920F41-9F77-4E78-BA5E-5114F00B3BD7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98" name="avatar">
          <a:extLst>
            <a:ext uri="{FF2B5EF4-FFF2-40B4-BE49-F238E27FC236}">
              <a16:creationId xmlns:a16="http://schemas.microsoft.com/office/drawing/2014/main" id="{0FC0DB1E-F7FC-43D0-A438-9A4C6D8E599E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399" name="avatar">
          <a:extLst>
            <a:ext uri="{FF2B5EF4-FFF2-40B4-BE49-F238E27FC236}">
              <a16:creationId xmlns:a16="http://schemas.microsoft.com/office/drawing/2014/main" id="{0364C733-B041-425E-B2E1-86F67D76C103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400" name="avatar">
          <a:extLst>
            <a:ext uri="{FF2B5EF4-FFF2-40B4-BE49-F238E27FC236}">
              <a16:creationId xmlns:a16="http://schemas.microsoft.com/office/drawing/2014/main" id="{37CBC317-1E87-426C-9CF4-AF6D1CE9B5A8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401" name="avatar">
          <a:extLst>
            <a:ext uri="{FF2B5EF4-FFF2-40B4-BE49-F238E27FC236}">
              <a16:creationId xmlns:a16="http://schemas.microsoft.com/office/drawing/2014/main" id="{8D488147-F107-4234-976C-FD010927E9F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402" name="avatar">
          <a:extLst>
            <a:ext uri="{FF2B5EF4-FFF2-40B4-BE49-F238E27FC236}">
              <a16:creationId xmlns:a16="http://schemas.microsoft.com/office/drawing/2014/main" id="{D5EA75E6-B1AF-4AA6-9CCA-5E58B120223D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403" name="avatar">
          <a:extLst>
            <a:ext uri="{FF2B5EF4-FFF2-40B4-BE49-F238E27FC236}">
              <a16:creationId xmlns:a16="http://schemas.microsoft.com/office/drawing/2014/main" id="{E0111FEA-7DB8-448D-83F0-6B8F08757670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04" name="avatar">
          <a:extLst>
            <a:ext uri="{FF2B5EF4-FFF2-40B4-BE49-F238E27FC236}">
              <a16:creationId xmlns:a16="http://schemas.microsoft.com/office/drawing/2014/main" id="{9BA40E8F-DAF8-4C93-809F-ED3A6015C002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05" name="avatar">
          <a:extLst>
            <a:ext uri="{FF2B5EF4-FFF2-40B4-BE49-F238E27FC236}">
              <a16:creationId xmlns:a16="http://schemas.microsoft.com/office/drawing/2014/main" id="{156A0EFF-DC9E-4E3F-8AD7-F108EB25CE5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06" name="avatar">
          <a:extLst>
            <a:ext uri="{FF2B5EF4-FFF2-40B4-BE49-F238E27FC236}">
              <a16:creationId xmlns:a16="http://schemas.microsoft.com/office/drawing/2014/main" id="{6CD4B5CF-CA37-4D2A-9ECA-698D5478C846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07" name="avatar">
          <a:extLst>
            <a:ext uri="{FF2B5EF4-FFF2-40B4-BE49-F238E27FC236}">
              <a16:creationId xmlns:a16="http://schemas.microsoft.com/office/drawing/2014/main" id="{BF627F3D-464F-4A88-A7AE-625894B11F97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08" name="avatar">
          <a:extLst>
            <a:ext uri="{FF2B5EF4-FFF2-40B4-BE49-F238E27FC236}">
              <a16:creationId xmlns:a16="http://schemas.microsoft.com/office/drawing/2014/main" id="{681F92CA-B809-40AD-AA77-1DF5D9D1DBD0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09" name="avatar">
          <a:extLst>
            <a:ext uri="{FF2B5EF4-FFF2-40B4-BE49-F238E27FC236}">
              <a16:creationId xmlns:a16="http://schemas.microsoft.com/office/drawing/2014/main" id="{5C2CB31A-64AF-4E8F-B64F-CF67239F82B9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10" name="avatar">
          <a:extLst>
            <a:ext uri="{FF2B5EF4-FFF2-40B4-BE49-F238E27FC236}">
              <a16:creationId xmlns:a16="http://schemas.microsoft.com/office/drawing/2014/main" id="{CDD9B845-588D-41D0-8167-A16CCBD26A0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11" name="avatar">
          <a:extLst>
            <a:ext uri="{FF2B5EF4-FFF2-40B4-BE49-F238E27FC236}">
              <a16:creationId xmlns:a16="http://schemas.microsoft.com/office/drawing/2014/main" id="{54859719-B064-4EE9-8F38-914F876818F4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12" name="avatar">
          <a:extLst>
            <a:ext uri="{FF2B5EF4-FFF2-40B4-BE49-F238E27FC236}">
              <a16:creationId xmlns:a16="http://schemas.microsoft.com/office/drawing/2014/main" id="{D72AC3C2-C36C-4224-9877-ED1FE1172429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413" name="avatar">
          <a:extLst>
            <a:ext uri="{FF2B5EF4-FFF2-40B4-BE49-F238E27FC236}">
              <a16:creationId xmlns:a16="http://schemas.microsoft.com/office/drawing/2014/main" id="{BF2FC9B3-FB82-443F-A707-276DF47CC13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14" name="avatar">
          <a:extLst>
            <a:ext uri="{FF2B5EF4-FFF2-40B4-BE49-F238E27FC236}">
              <a16:creationId xmlns:a16="http://schemas.microsoft.com/office/drawing/2014/main" id="{06AAE128-D8EE-4A5E-B05C-BEEBCB7F730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15" name="avatar">
          <a:extLst>
            <a:ext uri="{FF2B5EF4-FFF2-40B4-BE49-F238E27FC236}">
              <a16:creationId xmlns:a16="http://schemas.microsoft.com/office/drawing/2014/main" id="{C44F1549-C4C4-4E5A-A316-93CDC828B741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16" name="avatar">
          <a:extLst>
            <a:ext uri="{FF2B5EF4-FFF2-40B4-BE49-F238E27FC236}">
              <a16:creationId xmlns:a16="http://schemas.microsoft.com/office/drawing/2014/main" id="{E25A2019-576E-4A64-9F3F-3E68B73B930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17" name="avatar">
          <a:extLst>
            <a:ext uri="{FF2B5EF4-FFF2-40B4-BE49-F238E27FC236}">
              <a16:creationId xmlns:a16="http://schemas.microsoft.com/office/drawing/2014/main" id="{EEEFA9D4-6FED-4A4C-9014-573D6089966C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18" name="avatar">
          <a:extLst>
            <a:ext uri="{FF2B5EF4-FFF2-40B4-BE49-F238E27FC236}">
              <a16:creationId xmlns:a16="http://schemas.microsoft.com/office/drawing/2014/main" id="{D9E03B50-BCDD-4C31-8E64-46DF0690D4C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19" name="avatar">
          <a:extLst>
            <a:ext uri="{FF2B5EF4-FFF2-40B4-BE49-F238E27FC236}">
              <a16:creationId xmlns:a16="http://schemas.microsoft.com/office/drawing/2014/main" id="{4812D1AF-6C04-49E3-9DEB-DB056EE26B79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0" name="avatar">
          <a:extLst>
            <a:ext uri="{FF2B5EF4-FFF2-40B4-BE49-F238E27FC236}">
              <a16:creationId xmlns:a16="http://schemas.microsoft.com/office/drawing/2014/main" id="{2CFCF24C-4A54-4097-B2AF-A6888FA1704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1" name="avatar">
          <a:extLst>
            <a:ext uri="{FF2B5EF4-FFF2-40B4-BE49-F238E27FC236}">
              <a16:creationId xmlns:a16="http://schemas.microsoft.com/office/drawing/2014/main" id="{7948415A-6E27-455C-9A78-0067DCD6543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2" name="avatar">
          <a:extLst>
            <a:ext uri="{FF2B5EF4-FFF2-40B4-BE49-F238E27FC236}">
              <a16:creationId xmlns:a16="http://schemas.microsoft.com/office/drawing/2014/main" id="{9786766D-BCC0-4722-8A92-B0AE2D2347D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3" name="avatar">
          <a:extLst>
            <a:ext uri="{FF2B5EF4-FFF2-40B4-BE49-F238E27FC236}">
              <a16:creationId xmlns:a16="http://schemas.microsoft.com/office/drawing/2014/main" id="{A4A1564A-EFDC-48D0-856B-28C7C0EADB16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4" name="avatar">
          <a:extLst>
            <a:ext uri="{FF2B5EF4-FFF2-40B4-BE49-F238E27FC236}">
              <a16:creationId xmlns:a16="http://schemas.microsoft.com/office/drawing/2014/main" id="{687C26F6-C2B9-4BD7-BDEB-019E4E063B0E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5" name="avatar">
          <a:extLst>
            <a:ext uri="{FF2B5EF4-FFF2-40B4-BE49-F238E27FC236}">
              <a16:creationId xmlns:a16="http://schemas.microsoft.com/office/drawing/2014/main" id="{6232CEDD-C763-4EE8-A115-A0E70B3547D7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6" name="avatar">
          <a:extLst>
            <a:ext uri="{FF2B5EF4-FFF2-40B4-BE49-F238E27FC236}">
              <a16:creationId xmlns:a16="http://schemas.microsoft.com/office/drawing/2014/main" id="{0EA728E0-CCC4-4D78-B907-567E6F5D999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7" name="avatar">
          <a:extLst>
            <a:ext uri="{FF2B5EF4-FFF2-40B4-BE49-F238E27FC236}">
              <a16:creationId xmlns:a16="http://schemas.microsoft.com/office/drawing/2014/main" id="{67E47C12-7A51-4565-88BE-E5D07AA45880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8" name="avatar">
          <a:extLst>
            <a:ext uri="{FF2B5EF4-FFF2-40B4-BE49-F238E27FC236}">
              <a16:creationId xmlns:a16="http://schemas.microsoft.com/office/drawing/2014/main" id="{DF28D95C-FA39-45B6-ABC6-FE918A8E6EA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29" name="avatar">
          <a:extLst>
            <a:ext uri="{FF2B5EF4-FFF2-40B4-BE49-F238E27FC236}">
              <a16:creationId xmlns:a16="http://schemas.microsoft.com/office/drawing/2014/main" id="{B676225A-2DCD-45D5-BE5E-B8DC843CD8A4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30" name="avatar">
          <a:extLst>
            <a:ext uri="{FF2B5EF4-FFF2-40B4-BE49-F238E27FC236}">
              <a16:creationId xmlns:a16="http://schemas.microsoft.com/office/drawing/2014/main" id="{8422F47E-B571-40EB-BCD3-2D2018951375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31" name="avatar">
          <a:extLst>
            <a:ext uri="{FF2B5EF4-FFF2-40B4-BE49-F238E27FC236}">
              <a16:creationId xmlns:a16="http://schemas.microsoft.com/office/drawing/2014/main" id="{F9141E7B-FF9C-4598-A696-C816057EA7CB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32" name="avatar">
          <a:extLst>
            <a:ext uri="{FF2B5EF4-FFF2-40B4-BE49-F238E27FC236}">
              <a16:creationId xmlns:a16="http://schemas.microsoft.com/office/drawing/2014/main" id="{5BA7BCB6-2AD5-46AC-B9A2-798FA83416A2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433" name="avatar">
          <a:extLst>
            <a:ext uri="{FF2B5EF4-FFF2-40B4-BE49-F238E27FC236}">
              <a16:creationId xmlns:a16="http://schemas.microsoft.com/office/drawing/2014/main" id="{BCF342F9-231A-4A9D-BD54-44DE4DCAAAE2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4" name="avatar">
          <a:extLst>
            <a:ext uri="{FF2B5EF4-FFF2-40B4-BE49-F238E27FC236}">
              <a16:creationId xmlns:a16="http://schemas.microsoft.com/office/drawing/2014/main" id="{BBAABF8B-C055-4A17-9DDA-8008A909D1AD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5" name="avatar">
          <a:extLst>
            <a:ext uri="{FF2B5EF4-FFF2-40B4-BE49-F238E27FC236}">
              <a16:creationId xmlns:a16="http://schemas.microsoft.com/office/drawing/2014/main" id="{4C6A0DCD-E0A9-4D54-A261-0B0859FFAC9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6" name="avatar">
          <a:extLst>
            <a:ext uri="{FF2B5EF4-FFF2-40B4-BE49-F238E27FC236}">
              <a16:creationId xmlns:a16="http://schemas.microsoft.com/office/drawing/2014/main" id="{8E3B8588-E2BB-4C86-B325-57E158AA1F35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7" name="avatar">
          <a:extLst>
            <a:ext uri="{FF2B5EF4-FFF2-40B4-BE49-F238E27FC236}">
              <a16:creationId xmlns:a16="http://schemas.microsoft.com/office/drawing/2014/main" id="{E469E1D3-106C-45E1-B3DD-85A4CE5762E4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8" name="avatar">
          <a:extLst>
            <a:ext uri="{FF2B5EF4-FFF2-40B4-BE49-F238E27FC236}">
              <a16:creationId xmlns:a16="http://schemas.microsoft.com/office/drawing/2014/main" id="{FF1A8897-EF24-4918-8CA1-F2270535E6B6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39" name="avatar">
          <a:extLst>
            <a:ext uri="{FF2B5EF4-FFF2-40B4-BE49-F238E27FC236}">
              <a16:creationId xmlns:a16="http://schemas.microsoft.com/office/drawing/2014/main" id="{056FC374-EB57-4553-A637-A2283F847A4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0" name="avatar">
          <a:extLst>
            <a:ext uri="{FF2B5EF4-FFF2-40B4-BE49-F238E27FC236}">
              <a16:creationId xmlns:a16="http://schemas.microsoft.com/office/drawing/2014/main" id="{E0511E4C-D59E-41A6-9331-DD2AF9A5325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1" name="avatar">
          <a:extLst>
            <a:ext uri="{FF2B5EF4-FFF2-40B4-BE49-F238E27FC236}">
              <a16:creationId xmlns:a16="http://schemas.microsoft.com/office/drawing/2014/main" id="{D377D551-0548-42BD-AF35-2EDC6C791BA2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2" name="avatar">
          <a:extLst>
            <a:ext uri="{FF2B5EF4-FFF2-40B4-BE49-F238E27FC236}">
              <a16:creationId xmlns:a16="http://schemas.microsoft.com/office/drawing/2014/main" id="{84AB4411-7D1A-47A3-8F1D-0ED8AF278D5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3" name="avatar">
          <a:extLst>
            <a:ext uri="{FF2B5EF4-FFF2-40B4-BE49-F238E27FC236}">
              <a16:creationId xmlns:a16="http://schemas.microsoft.com/office/drawing/2014/main" id="{15071DD5-FD0A-45ED-AF70-5F5D064A45F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4" name="avatar">
          <a:extLst>
            <a:ext uri="{FF2B5EF4-FFF2-40B4-BE49-F238E27FC236}">
              <a16:creationId xmlns:a16="http://schemas.microsoft.com/office/drawing/2014/main" id="{45E49197-9DCC-4E50-A68D-F3290CC3115E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5" name="avatar">
          <a:extLst>
            <a:ext uri="{FF2B5EF4-FFF2-40B4-BE49-F238E27FC236}">
              <a16:creationId xmlns:a16="http://schemas.microsoft.com/office/drawing/2014/main" id="{E06C1CFD-4AAE-48CE-A189-C2F13DE3A458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6" name="avatar">
          <a:extLst>
            <a:ext uri="{FF2B5EF4-FFF2-40B4-BE49-F238E27FC236}">
              <a16:creationId xmlns:a16="http://schemas.microsoft.com/office/drawing/2014/main" id="{33B9BD6A-A824-422C-A5B7-BCC1720DBE16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7" name="avatar">
          <a:extLst>
            <a:ext uri="{FF2B5EF4-FFF2-40B4-BE49-F238E27FC236}">
              <a16:creationId xmlns:a16="http://schemas.microsoft.com/office/drawing/2014/main" id="{1DBF5505-3C24-400D-A476-A0E4127377FB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8" name="avatar">
          <a:extLst>
            <a:ext uri="{FF2B5EF4-FFF2-40B4-BE49-F238E27FC236}">
              <a16:creationId xmlns:a16="http://schemas.microsoft.com/office/drawing/2014/main" id="{445C89A6-1CC0-42A8-A5CA-6BB7A2AC3F9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49" name="avatar">
          <a:extLst>
            <a:ext uri="{FF2B5EF4-FFF2-40B4-BE49-F238E27FC236}">
              <a16:creationId xmlns:a16="http://schemas.microsoft.com/office/drawing/2014/main" id="{1B16FBC9-F313-4DD0-A834-A15C8B73B9E3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0" name="avatar">
          <a:extLst>
            <a:ext uri="{FF2B5EF4-FFF2-40B4-BE49-F238E27FC236}">
              <a16:creationId xmlns:a16="http://schemas.microsoft.com/office/drawing/2014/main" id="{EF4ECC22-93CA-44AE-B8C0-9A11AC0E48F9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1" name="avatar">
          <a:extLst>
            <a:ext uri="{FF2B5EF4-FFF2-40B4-BE49-F238E27FC236}">
              <a16:creationId xmlns:a16="http://schemas.microsoft.com/office/drawing/2014/main" id="{4A7D0F18-7B0B-4A60-82E0-82E732099C68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2" name="avatar">
          <a:extLst>
            <a:ext uri="{FF2B5EF4-FFF2-40B4-BE49-F238E27FC236}">
              <a16:creationId xmlns:a16="http://schemas.microsoft.com/office/drawing/2014/main" id="{85418A94-8051-4F22-9846-AF1566630521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3" name="avatar">
          <a:extLst>
            <a:ext uri="{FF2B5EF4-FFF2-40B4-BE49-F238E27FC236}">
              <a16:creationId xmlns:a16="http://schemas.microsoft.com/office/drawing/2014/main" id="{64220205-99A7-4272-B556-C3CA3C4E2748}"/>
            </a:ext>
          </a:extLst>
        </xdr:cNvPr>
        <xdr:cNvSpPr>
          <a:spLocks noChangeAspect="1" noChangeArrowheads="1"/>
        </xdr:cNvSpPr>
      </xdr:nvSpPr>
      <xdr:spPr bwMode="auto">
        <a:xfrm>
          <a:off x="114452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4" name="avatar">
          <a:extLst>
            <a:ext uri="{FF2B5EF4-FFF2-40B4-BE49-F238E27FC236}">
              <a16:creationId xmlns:a16="http://schemas.microsoft.com/office/drawing/2014/main" id="{9B032146-2747-40A6-9EF0-3094FB44091D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5" name="avatar">
          <a:extLst>
            <a:ext uri="{FF2B5EF4-FFF2-40B4-BE49-F238E27FC236}">
              <a16:creationId xmlns:a16="http://schemas.microsoft.com/office/drawing/2014/main" id="{7B9B59B3-44FC-4C79-B4C9-76F3C9345D30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6" name="avatar">
          <a:extLst>
            <a:ext uri="{FF2B5EF4-FFF2-40B4-BE49-F238E27FC236}">
              <a16:creationId xmlns:a16="http://schemas.microsoft.com/office/drawing/2014/main" id="{8BB325B9-B84D-426C-943F-62567EBE2744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7" name="avatar">
          <a:extLst>
            <a:ext uri="{FF2B5EF4-FFF2-40B4-BE49-F238E27FC236}">
              <a16:creationId xmlns:a16="http://schemas.microsoft.com/office/drawing/2014/main" id="{39D51171-1EB6-40A6-B36D-2AF55854175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8" name="avatar">
          <a:extLst>
            <a:ext uri="{FF2B5EF4-FFF2-40B4-BE49-F238E27FC236}">
              <a16:creationId xmlns:a16="http://schemas.microsoft.com/office/drawing/2014/main" id="{70B4B68D-67D9-4C26-A966-8205804A70B7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59" name="avatar">
          <a:extLst>
            <a:ext uri="{FF2B5EF4-FFF2-40B4-BE49-F238E27FC236}">
              <a16:creationId xmlns:a16="http://schemas.microsoft.com/office/drawing/2014/main" id="{52E5C89B-B6E1-45D5-A0F1-997FCC701469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60" name="avatar">
          <a:extLst>
            <a:ext uri="{FF2B5EF4-FFF2-40B4-BE49-F238E27FC236}">
              <a16:creationId xmlns:a16="http://schemas.microsoft.com/office/drawing/2014/main" id="{6857829F-F145-47EA-A1E9-A050C2E7F2DD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61" name="avatar">
          <a:extLst>
            <a:ext uri="{FF2B5EF4-FFF2-40B4-BE49-F238E27FC236}">
              <a16:creationId xmlns:a16="http://schemas.microsoft.com/office/drawing/2014/main" id="{5935F729-4BE8-4973-B93F-0991417BCBD4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62" name="avatar">
          <a:extLst>
            <a:ext uri="{FF2B5EF4-FFF2-40B4-BE49-F238E27FC236}">
              <a16:creationId xmlns:a16="http://schemas.microsoft.com/office/drawing/2014/main" id="{F7AC22B6-1E59-402D-9C5A-2C37CFF85F3F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463" name="avatar">
          <a:extLst>
            <a:ext uri="{FF2B5EF4-FFF2-40B4-BE49-F238E27FC236}">
              <a16:creationId xmlns:a16="http://schemas.microsoft.com/office/drawing/2014/main" id="{04610C18-987B-46EA-8976-65683206062B}"/>
            </a:ext>
          </a:extLst>
        </xdr:cNvPr>
        <xdr:cNvSpPr>
          <a:spLocks noChangeAspect="1" noChangeArrowheads="1"/>
        </xdr:cNvSpPr>
      </xdr:nvSpPr>
      <xdr:spPr bwMode="auto">
        <a:xfrm>
          <a:off x="141198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4" name="avatar">
          <a:extLst>
            <a:ext uri="{FF2B5EF4-FFF2-40B4-BE49-F238E27FC236}">
              <a16:creationId xmlns:a16="http://schemas.microsoft.com/office/drawing/2014/main" id="{0CA2A63E-A22C-4FE5-B0D7-FD971C0EDEC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5" name="avatar">
          <a:extLst>
            <a:ext uri="{FF2B5EF4-FFF2-40B4-BE49-F238E27FC236}">
              <a16:creationId xmlns:a16="http://schemas.microsoft.com/office/drawing/2014/main" id="{E2F0ABA5-DF18-4269-97D0-3FA9084945AC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6" name="avatar">
          <a:extLst>
            <a:ext uri="{FF2B5EF4-FFF2-40B4-BE49-F238E27FC236}">
              <a16:creationId xmlns:a16="http://schemas.microsoft.com/office/drawing/2014/main" id="{B448BB8F-9591-497D-A005-9A39B33C3CDA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7" name="avatar">
          <a:extLst>
            <a:ext uri="{FF2B5EF4-FFF2-40B4-BE49-F238E27FC236}">
              <a16:creationId xmlns:a16="http://schemas.microsoft.com/office/drawing/2014/main" id="{AED17181-537B-488F-A268-191FB11F5E6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8" name="avatar">
          <a:extLst>
            <a:ext uri="{FF2B5EF4-FFF2-40B4-BE49-F238E27FC236}">
              <a16:creationId xmlns:a16="http://schemas.microsoft.com/office/drawing/2014/main" id="{28DECA22-C853-4091-A630-4CB505465094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69" name="avatar">
          <a:extLst>
            <a:ext uri="{FF2B5EF4-FFF2-40B4-BE49-F238E27FC236}">
              <a16:creationId xmlns:a16="http://schemas.microsoft.com/office/drawing/2014/main" id="{1781DF16-5AF9-4E68-8AEA-AE168A1C2720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70" name="avatar">
          <a:extLst>
            <a:ext uri="{FF2B5EF4-FFF2-40B4-BE49-F238E27FC236}">
              <a16:creationId xmlns:a16="http://schemas.microsoft.com/office/drawing/2014/main" id="{5E11C39B-7FD7-48C0-BBC7-B85BE6497CF0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71" name="avatar">
          <a:extLst>
            <a:ext uri="{FF2B5EF4-FFF2-40B4-BE49-F238E27FC236}">
              <a16:creationId xmlns:a16="http://schemas.microsoft.com/office/drawing/2014/main" id="{E57A6F02-83A8-4E07-A4FA-D7731BDAB169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72" name="avatar">
          <a:extLst>
            <a:ext uri="{FF2B5EF4-FFF2-40B4-BE49-F238E27FC236}">
              <a16:creationId xmlns:a16="http://schemas.microsoft.com/office/drawing/2014/main" id="{3930F24B-9405-4BB4-B2E4-362497D96F31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1473" name="avatar">
          <a:extLst>
            <a:ext uri="{FF2B5EF4-FFF2-40B4-BE49-F238E27FC236}">
              <a16:creationId xmlns:a16="http://schemas.microsoft.com/office/drawing/2014/main" id="{CD6C755C-995D-469C-A4EB-2085814A875F}"/>
            </a:ext>
          </a:extLst>
        </xdr:cNvPr>
        <xdr:cNvSpPr>
          <a:spLocks noChangeAspect="1" noChangeArrowheads="1"/>
        </xdr:cNvSpPr>
      </xdr:nvSpPr>
      <xdr:spPr bwMode="auto">
        <a:xfrm>
          <a:off x="167944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4" name="avatar">
          <a:extLst>
            <a:ext uri="{FF2B5EF4-FFF2-40B4-BE49-F238E27FC236}">
              <a16:creationId xmlns:a16="http://schemas.microsoft.com/office/drawing/2014/main" id="{E3E0CA5E-6E0B-423B-A9EF-A9436024151F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5" name="avatar">
          <a:extLst>
            <a:ext uri="{FF2B5EF4-FFF2-40B4-BE49-F238E27FC236}">
              <a16:creationId xmlns:a16="http://schemas.microsoft.com/office/drawing/2014/main" id="{A20B5B2F-CF8F-42DA-B60E-2E222619F3E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6" name="avatar">
          <a:extLst>
            <a:ext uri="{FF2B5EF4-FFF2-40B4-BE49-F238E27FC236}">
              <a16:creationId xmlns:a16="http://schemas.microsoft.com/office/drawing/2014/main" id="{3AB43CA4-5F1B-4E2E-AEE8-4634EC4E94C2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7" name="avatar">
          <a:extLst>
            <a:ext uri="{FF2B5EF4-FFF2-40B4-BE49-F238E27FC236}">
              <a16:creationId xmlns:a16="http://schemas.microsoft.com/office/drawing/2014/main" id="{41630B10-2C2A-446B-9F95-9E1DD7EF1889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8" name="avatar">
          <a:extLst>
            <a:ext uri="{FF2B5EF4-FFF2-40B4-BE49-F238E27FC236}">
              <a16:creationId xmlns:a16="http://schemas.microsoft.com/office/drawing/2014/main" id="{32658BB3-31CA-4D03-A9F7-67201024D113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79" name="avatar">
          <a:extLst>
            <a:ext uri="{FF2B5EF4-FFF2-40B4-BE49-F238E27FC236}">
              <a16:creationId xmlns:a16="http://schemas.microsoft.com/office/drawing/2014/main" id="{F15E912D-6D4E-4396-8753-63CAC7864AF6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80" name="avatar">
          <a:extLst>
            <a:ext uri="{FF2B5EF4-FFF2-40B4-BE49-F238E27FC236}">
              <a16:creationId xmlns:a16="http://schemas.microsoft.com/office/drawing/2014/main" id="{5763CA3C-8FA1-4502-8D25-632827E5F3D7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81" name="avatar">
          <a:extLst>
            <a:ext uri="{FF2B5EF4-FFF2-40B4-BE49-F238E27FC236}">
              <a16:creationId xmlns:a16="http://schemas.microsoft.com/office/drawing/2014/main" id="{B9E48015-D549-4377-8DBF-A564EBBB83FE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82" name="avatar">
          <a:extLst>
            <a:ext uri="{FF2B5EF4-FFF2-40B4-BE49-F238E27FC236}">
              <a16:creationId xmlns:a16="http://schemas.microsoft.com/office/drawing/2014/main" id="{7FFA53B4-782C-497A-AC88-FE1EBDED7D54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4800"/>
    <xdr:sp macro="" textlink="">
      <xdr:nvSpPr>
        <xdr:cNvPr id="1483" name="avatar">
          <a:extLst>
            <a:ext uri="{FF2B5EF4-FFF2-40B4-BE49-F238E27FC236}">
              <a16:creationId xmlns:a16="http://schemas.microsoft.com/office/drawing/2014/main" id="{FE24042A-EE9F-4FC2-880A-6935BBEABD0A}"/>
            </a:ext>
          </a:extLst>
        </xdr:cNvPr>
        <xdr:cNvSpPr>
          <a:spLocks noChangeAspect="1" noChangeArrowheads="1"/>
        </xdr:cNvSpPr>
      </xdr:nvSpPr>
      <xdr:spPr bwMode="auto">
        <a:xfrm>
          <a:off x="194691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4" name="avatar">
          <a:extLst>
            <a:ext uri="{FF2B5EF4-FFF2-40B4-BE49-F238E27FC236}">
              <a16:creationId xmlns:a16="http://schemas.microsoft.com/office/drawing/2014/main" id="{29981ECB-72F1-4A00-8436-CACDFBE2E8BF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5" name="avatar">
          <a:extLst>
            <a:ext uri="{FF2B5EF4-FFF2-40B4-BE49-F238E27FC236}">
              <a16:creationId xmlns:a16="http://schemas.microsoft.com/office/drawing/2014/main" id="{4B13B806-935D-43A2-84DA-7F7D1D5FC698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6" name="avatar">
          <a:extLst>
            <a:ext uri="{FF2B5EF4-FFF2-40B4-BE49-F238E27FC236}">
              <a16:creationId xmlns:a16="http://schemas.microsoft.com/office/drawing/2014/main" id="{362BB6B7-7318-4260-B391-F8AF9B46F4C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7" name="avatar">
          <a:extLst>
            <a:ext uri="{FF2B5EF4-FFF2-40B4-BE49-F238E27FC236}">
              <a16:creationId xmlns:a16="http://schemas.microsoft.com/office/drawing/2014/main" id="{8BB13521-F96D-454F-97C6-9D934CCF66C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8" name="avatar">
          <a:extLst>
            <a:ext uri="{FF2B5EF4-FFF2-40B4-BE49-F238E27FC236}">
              <a16:creationId xmlns:a16="http://schemas.microsoft.com/office/drawing/2014/main" id="{DA1E5B4F-058D-4913-B4F2-DD665CB1A58C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89" name="avatar">
          <a:extLst>
            <a:ext uri="{FF2B5EF4-FFF2-40B4-BE49-F238E27FC236}">
              <a16:creationId xmlns:a16="http://schemas.microsoft.com/office/drawing/2014/main" id="{7BA9B7E1-08F2-4A61-8B5C-E545DE404339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90" name="avatar">
          <a:extLst>
            <a:ext uri="{FF2B5EF4-FFF2-40B4-BE49-F238E27FC236}">
              <a16:creationId xmlns:a16="http://schemas.microsoft.com/office/drawing/2014/main" id="{27A06924-2696-417F-A45B-ACCDF2094FDD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91" name="avatar">
          <a:extLst>
            <a:ext uri="{FF2B5EF4-FFF2-40B4-BE49-F238E27FC236}">
              <a16:creationId xmlns:a16="http://schemas.microsoft.com/office/drawing/2014/main" id="{F61B0CBF-FCC3-47A2-BF51-7BB4FDE49FD4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92" name="avatar">
          <a:extLst>
            <a:ext uri="{FF2B5EF4-FFF2-40B4-BE49-F238E27FC236}">
              <a16:creationId xmlns:a16="http://schemas.microsoft.com/office/drawing/2014/main" id="{8E1DFB1C-9C9E-4446-8AE4-A3A1C318D019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</xdr:row>
      <xdr:rowOff>0</xdr:rowOff>
    </xdr:from>
    <xdr:ext cx="304800" cy="304800"/>
    <xdr:sp macro="" textlink="">
      <xdr:nvSpPr>
        <xdr:cNvPr id="1493" name="avatar">
          <a:extLst>
            <a:ext uri="{FF2B5EF4-FFF2-40B4-BE49-F238E27FC236}">
              <a16:creationId xmlns:a16="http://schemas.microsoft.com/office/drawing/2014/main" id="{43D25B3D-E9D8-4D8F-9757-329460554D41}"/>
            </a:ext>
          </a:extLst>
        </xdr:cNvPr>
        <xdr:cNvSpPr>
          <a:spLocks noChangeAspect="1" noChangeArrowheads="1"/>
        </xdr:cNvSpPr>
      </xdr:nvSpPr>
      <xdr:spPr bwMode="auto">
        <a:xfrm>
          <a:off x="221437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4" name="avatar">
          <a:extLst>
            <a:ext uri="{FF2B5EF4-FFF2-40B4-BE49-F238E27FC236}">
              <a16:creationId xmlns:a16="http://schemas.microsoft.com/office/drawing/2014/main" id="{027FF28E-3C58-496E-890F-CDCBF8736390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5" name="avatar">
          <a:extLst>
            <a:ext uri="{FF2B5EF4-FFF2-40B4-BE49-F238E27FC236}">
              <a16:creationId xmlns:a16="http://schemas.microsoft.com/office/drawing/2014/main" id="{7D680F6A-FFC4-4C87-89BB-9C7A4594705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6" name="avatar">
          <a:extLst>
            <a:ext uri="{FF2B5EF4-FFF2-40B4-BE49-F238E27FC236}">
              <a16:creationId xmlns:a16="http://schemas.microsoft.com/office/drawing/2014/main" id="{B77E75EF-414F-4254-9107-CB4AFBE41A85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7" name="avatar">
          <a:extLst>
            <a:ext uri="{FF2B5EF4-FFF2-40B4-BE49-F238E27FC236}">
              <a16:creationId xmlns:a16="http://schemas.microsoft.com/office/drawing/2014/main" id="{8C23B53C-0D02-495C-837A-C8AF46E3C86C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8" name="avatar">
          <a:extLst>
            <a:ext uri="{FF2B5EF4-FFF2-40B4-BE49-F238E27FC236}">
              <a16:creationId xmlns:a16="http://schemas.microsoft.com/office/drawing/2014/main" id="{1D85297E-305C-4AD7-9FE4-80936F0A3A99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499" name="avatar">
          <a:extLst>
            <a:ext uri="{FF2B5EF4-FFF2-40B4-BE49-F238E27FC236}">
              <a16:creationId xmlns:a16="http://schemas.microsoft.com/office/drawing/2014/main" id="{88A8CD52-B171-4DCF-BA5E-63F4A392121D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500" name="avatar">
          <a:extLst>
            <a:ext uri="{FF2B5EF4-FFF2-40B4-BE49-F238E27FC236}">
              <a16:creationId xmlns:a16="http://schemas.microsoft.com/office/drawing/2014/main" id="{442E6618-C2EB-44BD-98E2-36FDCCAD0407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501" name="avatar">
          <a:extLst>
            <a:ext uri="{FF2B5EF4-FFF2-40B4-BE49-F238E27FC236}">
              <a16:creationId xmlns:a16="http://schemas.microsoft.com/office/drawing/2014/main" id="{32F33BC4-460B-46C8-940D-34287CEEC3BA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502" name="avatar">
          <a:extLst>
            <a:ext uri="{FF2B5EF4-FFF2-40B4-BE49-F238E27FC236}">
              <a16:creationId xmlns:a16="http://schemas.microsoft.com/office/drawing/2014/main" id="{6078DE77-B64F-4B19-923A-190CE733C8D9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503" name="avatar">
          <a:extLst>
            <a:ext uri="{FF2B5EF4-FFF2-40B4-BE49-F238E27FC236}">
              <a16:creationId xmlns:a16="http://schemas.microsoft.com/office/drawing/2014/main" id="{26895090-9F3C-4293-9EB2-0B409B77E553}"/>
            </a:ext>
          </a:extLst>
        </xdr:cNvPr>
        <xdr:cNvSpPr>
          <a:spLocks noChangeAspect="1" noChangeArrowheads="1"/>
        </xdr:cNvSpPr>
      </xdr:nvSpPr>
      <xdr:spPr bwMode="auto">
        <a:xfrm>
          <a:off x="248183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4" name="avatar">
          <a:extLst>
            <a:ext uri="{FF2B5EF4-FFF2-40B4-BE49-F238E27FC236}">
              <a16:creationId xmlns:a16="http://schemas.microsoft.com/office/drawing/2014/main" id="{351DDC94-61BF-40DA-8ED7-0BAAF55BABED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5" name="avatar">
          <a:extLst>
            <a:ext uri="{FF2B5EF4-FFF2-40B4-BE49-F238E27FC236}">
              <a16:creationId xmlns:a16="http://schemas.microsoft.com/office/drawing/2014/main" id="{F1D41AE4-73A7-4336-83F2-F457F461D079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6" name="avatar">
          <a:extLst>
            <a:ext uri="{FF2B5EF4-FFF2-40B4-BE49-F238E27FC236}">
              <a16:creationId xmlns:a16="http://schemas.microsoft.com/office/drawing/2014/main" id="{1FD84777-8C62-4C8E-A63E-7A2EA4FF7D7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7" name="avatar">
          <a:extLst>
            <a:ext uri="{FF2B5EF4-FFF2-40B4-BE49-F238E27FC236}">
              <a16:creationId xmlns:a16="http://schemas.microsoft.com/office/drawing/2014/main" id="{C2B036A6-943C-4B6C-B5E1-08126570DCFB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8" name="avatar">
          <a:extLst>
            <a:ext uri="{FF2B5EF4-FFF2-40B4-BE49-F238E27FC236}">
              <a16:creationId xmlns:a16="http://schemas.microsoft.com/office/drawing/2014/main" id="{433DB200-49E1-4423-B1C6-5B95DC74448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09" name="avatar">
          <a:extLst>
            <a:ext uri="{FF2B5EF4-FFF2-40B4-BE49-F238E27FC236}">
              <a16:creationId xmlns:a16="http://schemas.microsoft.com/office/drawing/2014/main" id="{C20D7560-F8CA-46F7-AE64-307549229A24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1510" name="avatar">
          <a:extLst>
            <a:ext uri="{FF2B5EF4-FFF2-40B4-BE49-F238E27FC236}">
              <a16:creationId xmlns:a16="http://schemas.microsoft.com/office/drawing/2014/main" id="{D77E2556-4EED-4D9D-AC69-6789968B8306}"/>
            </a:ext>
          </a:extLst>
        </xdr:cNvPr>
        <xdr:cNvSpPr>
          <a:spLocks noChangeAspect="1" noChangeArrowheads="1"/>
        </xdr:cNvSpPr>
      </xdr:nvSpPr>
      <xdr:spPr bwMode="auto">
        <a:xfrm>
          <a:off x="274929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14" name="avatar">
          <a:extLst>
            <a:ext uri="{FF2B5EF4-FFF2-40B4-BE49-F238E27FC236}">
              <a16:creationId xmlns:a16="http://schemas.microsoft.com/office/drawing/2014/main" id="{65333520-DFEE-4C68-B9AA-ED7F63E4ADF5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15" name="avatar">
          <a:extLst>
            <a:ext uri="{FF2B5EF4-FFF2-40B4-BE49-F238E27FC236}">
              <a16:creationId xmlns:a16="http://schemas.microsoft.com/office/drawing/2014/main" id="{B5AB983A-F1F3-48EC-953C-B8FF4F0F226B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16" name="avatar">
          <a:extLst>
            <a:ext uri="{FF2B5EF4-FFF2-40B4-BE49-F238E27FC236}">
              <a16:creationId xmlns:a16="http://schemas.microsoft.com/office/drawing/2014/main" id="{B997EB0A-868C-4D41-9615-C0CFA23B2AE9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17" name="avatar">
          <a:extLst>
            <a:ext uri="{FF2B5EF4-FFF2-40B4-BE49-F238E27FC236}">
              <a16:creationId xmlns:a16="http://schemas.microsoft.com/office/drawing/2014/main" id="{6625347D-8B2B-4C72-A4B3-28D405A0B8DC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18" name="avatar">
          <a:extLst>
            <a:ext uri="{FF2B5EF4-FFF2-40B4-BE49-F238E27FC236}">
              <a16:creationId xmlns:a16="http://schemas.microsoft.com/office/drawing/2014/main" id="{A4C155DF-5385-4035-A1F9-E523F6E18BD6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19" name="avatar">
          <a:extLst>
            <a:ext uri="{FF2B5EF4-FFF2-40B4-BE49-F238E27FC236}">
              <a16:creationId xmlns:a16="http://schemas.microsoft.com/office/drawing/2014/main" id="{6C5DF40C-85B4-4FA5-B279-36604D1207F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20" name="avatar">
          <a:extLst>
            <a:ext uri="{FF2B5EF4-FFF2-40B4-BE49-F238E27FC236}">
              <a16:creationId xmlns:a16="http://schemas.microsoft.com/office/drawing/2014/main" id="{C93F3020-43A2-41AA-BDB6-E03802E514C2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21" name="avatar">
          <a:extLst>
            <a:ext uri="{FF2B5EF4-FFF2-40B4-BE49-F238E27FC236}">
              <a16:creationId xmlns:a16="http://schemas.microsoft.com/office/drawing/2014/main" id="{47EF57A6-3F66-47DD-B2D2-FAAA0BD56AD0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22" name="avatar">
          <a:extLst>
            <a:ext uri="{FF2B5EF4-FFF2-40B4-BE49-F238E27FC236}">
              <a16:creationId xmlns:a16="http://schemas.microsoft.com/office/drawing/2014/main" id="{EF5DDDCC-4FA1-4EEF-904C-28D2850E0C74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1523" name="avatar">
          <a:extLst>
            <a:ext uri="{FF2B5EF4-FFF2-40B4-BE49-F238E27FC236}">
              <a16:creationId xmlns:a16="http://schemas.microsoft.com/office/drawing/2014/main" id="{41D7BFE5-5D1C-422B-8281-CC855CCBDE9E}"/>
            </a:ext>
          </a:extLst>
        </xdr:cNvPr>
        <xdr:cNvSpPr>
          <a:spLocks noChangeAspect="1" noChangeArrowheads="1"/>
        </xdr:cNvSpPr>
      </xdr:nvSpPr>
      <xdr:spPr bwMode="auto">
        <a:xfrm>
          <a:off x="301675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4" name="avatar">
          <a:extLst>
            <a:ext uri="{FF2B5EF4-FFF2-40B4-BE49-F238E27FC236}">
              <a16:creationId xmlns:a16="http://schemas.microsoft.com/office/drawing/2014/main" id="{B3FCCAAE-15D4-43C4-8E9D-7C053E6692C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5" name="avatar">
          <a:extLst>
            <a:ext uri="{FF2B5EF4-FFF2-40B4-BE49-F238E27FC236}">
              <a16:creationId xmlns:a16="http://schemas.microsoft.com/office/drawing/2014/main" id="{DB759DCB-CD4C-445F-B4D4-C81EF56AF409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6" name="avatar">
          <a:extLst>
            <a:ext uri="{FF2B5EF4-FFF2-40B4-BE49-F238E27FC236}">
              <a16:creationId xmlns:a16="http://schemas.microsoft.com/office/drawing/2014/main" id="{36AE1853-2212-4F4E-A7F5-7B9E80B9B605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7" name="avatar">
          <a:extLst>
            <a:ext uri="{FF2B5EF4-FFF2-40B4-BE49-F238E27FC236}">
              <a16:creationId xmlns:a16="http://schemas.microsoft.com/office/drawing/2014/main" id="{0CF08BCC-6EDC-422B-9A02-548BD0D80F8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8" name="avatar">
          <a:extLst>
            <a:ext uri="{FF2B5EF4-FFF2-40B4-BE49-F238E27FC236}">
              <a16:creationId xmlns:a16="http://schemas.microsoft.com/office/drawing/2014/main" id="{29619982-DBEB-4642-AAC8-F367ECD9C478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29" name="avatar">
          <a:extLst>
            <a:ext uri="{FF2B5EF4-FFF2-40B4-BE49-F238E27FC236}">
              <a16:creationId xmlns:a16="http://schemas.microsoft.com/office/drawing/2014/main" id="{67A1CD02-CA36-4C17-9310-45139AB63B3A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30" name="avatar">
          <a:extLst>
            <a:ext uri="{FF2B5EF4-FFF2-40B4-BE49-F238E27FC236}">
              <a16:creationId xmlns:a16="http://schemas.microsoft.com/office/drawing/2014/main" id="{E1B56C65-2F48-415E-8950-E3478273C5E8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31" name="avatar">
          <a:extLst>
            <a:ext uri="{FF2B5EF4-FFF2-40B4-BE49-F238E27FC236}">
              <a16:creationId xmlns:a16="http://schemas.microsoft.com/office/drawing/2014/main" id="{FBE8DA61-9047-4735-A164-27A8DD7D1D17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32" name="avatar">
          <a:extLst>
            <a:ext uri="{FF2B5EF4-FFF2-40B4-BE49-F238E27FC236}">
              <a16:creationId xmlns:a16="http://schemas.microsoft.com/office/drawing/2014/main" id="{4048ED27-C4CA-4C95-A024-1D20E3A10532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1533" name="avatar">
          <a:extLst>
            <a:ext uri="{FF2B5EF4-FFF2-40B4-BE49-F238E27FC236}">
              <a16:creationId xmlns:a16="http://schemas.microsoft.com/office/drawing/2014/main" id="{A2CA6D67-A7FB-4177-AF5F-7C5C67BD652B}"/>
            </a:ext>
          </a:extLst>
        </xdr:cNvPr>
        <xdr:cNvSpPr>
          <a:spLocks noChangeAspect="1" noChangeArrowheads="1"/>
        </xdr:cNvSpPr>
      </xdr:nvSpPr>
      <xdr:spPr bwMode="auto">
        <a:xfrm>
          <a:off x="328422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4" name="avatar">
          <a:extLst>
            <a:ext uri="{FF2B5EF4-FFF2-40B4-BE49-F238E27FC236}">
              <a16:creationId xmlns:a16="http://schemas.microsoft.com/office/drawing/2014/main" id="{4723223A-C077-4822-AC3C-27EA96CCD7B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5" name="avatar">
          <a:extLst>
            <a:ext uri="{FF2B5EF4-FFF2-40B4-BE49-F238E27FC236}">
              <a16:creationId xmlns:a16="http://schemas.microsoft.com/office/drawing/2014/main" id="{FD479618-B267-4C6B-9657-8721BAF4ECC0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6" name="avatar">
          <a:extLst>
            <a:ext uri="{FF2B5EF4-FFF2-40B4-BE49-F238E27FC236}">
              <a16:creationId xmlns:a16="http://schemas.microsoft.com/office/drawing/2014/main" id="{D750C0FD-ED37-4B1D-A74A-56B5ACC521B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7" name="avatar">
          <a:extLst>
            <a:ext uri="{FF2B5EF4-FFF2-40B4-BE49-F238E27FC236}">
              <a16:creationId xmlns:a16="http://schemas.microsoft.com/office/drawing/2014/main" id="{D76D3B18-A847-43E2-A29E-8BA263DBA4C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8" name="avatar">
          <a:extLst>
            <a:ext uri="{FF2B5EF4-FFF2-40B4-BE49-F238E27FC236}">
              <a16:creationId xmlns:a16="http://schemas.microsoft.com/office/drawing/2014/main" id="{A2967B15-3913-4A6A-AD5F-3EFB38948107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39" name="avatar">
          <a:extLst>
            <a:ext uri="{FF2B5EF4-FFF2-40B4-BE49-F238E27FC236}">
              <a16:creationId xmlns:a16="http://schemas.microsoft.com/office/drawing/2014/main" id="{1F4A7053-0D6D-4F49-B52C-7D01B9585061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40" name="avatar">
          <a:extLst>
            <a:ext uri="{FF2B5EF4-FFF2-40B4-BE49-F238E27FC236}">
              <a16:creationId xmlns:a16="http://schemas.microsoft.com/office/drawing/2014/main" id="{B383AAC9-A440-45FF-9359-10515029B04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41" name="avatar">
          <a:extLst>
            <a:ext uri="{FF2B5EF4-FFF2-40B4-BE49-F238E27FC236}">
              <a16:creationId xmlns:a16="http://schemas.microsoft.com/office/drawing/2014/main" id="{5655D763-5086-4A5F-81C1-1197EA142C44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42" name="avatar">
          <a:extLst>
            <a:ext uri="{FF2B5EF4-FFF2-40B4-BE49-F238E27FC236}">
              <a16:creationId xmlns:a16="http://schemas.microsoft.com/office/drawing/2014/main" id="{374D3887-6721-46A5-81F9-3F56181B78BA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5</xdr:row>
      <xdr:rowOff>0</xdr:rowOff>
    </xdr:from>
    <xdr:ext cx="304800" cy="304800"/>
    <xdr:sp macro="" textlink="">
      <xdr:nvSpPr>
        <xdr:cNvPr id="1543" name="avatar">
          <a:extLst>
            <a:ext uri="{FF2B5EF4-FFF2-40B4-BE49-F238E27FC236}">
              <a16:creationId xmlns:a16="http://schemas.microsoft.com/office/drawing/2014/main" id="{4350A42B-BF34-45E3-B6E2-FB3D9B3F8806}"/>
            </a:ext>
          </a:extLst>
        </xdr:cNvPr>
        <xdr:cNvSpPr>
          <a:spLocks noChangeAspect="1" noChangeArrowheads="1"/>
        </xdr:cNvSpPr>
      </xdr:nvSpPr>
      <xdr:spPr bwMode="auto">
        <a:xfrm>
          <a:off x="355168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4" name="avatar">
          <a:extLst>
            <a:ext uri="{FF2B5EF4-FFF2-40B4-BE49-F238E27FC236}">
              <a16:creationId xmlns:a16="http://schemas.microsoft.com/office/drawing/2014/main" id="{CDD99296-D390-4DEA-81D7-44396509CFF9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5" name="avatar">
          <a:extLst>
            <a:ext uri="{FF2B5EF4-FFF2-40B4-BE49-F238E27FC236}">
              <a16:creationId xmlns:a16="http://schemas.microsoft.com/office/drawing/2014/main" id="{5FF8C525-687D-4D4C-9C70-95F3C988CFE3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6" name="avatar">
          <a:extLst>
            <a:ext uri="{FF2B5EF4-FFF2-40B4-BE49-F238E27FC236}">
              <a16:creationId xmlns:a16="http://schemas.microsoft.com/office/drawing/2014/main" id="{C53F3D21-0546-4A40-AFF8-788DFE3DA620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7" name="avatar">
          <a:extLst>
            <a:ext uri="{FF2B5EF4-FFF2-40B4-BE49-F238E27FC236}">
              <a16:creationId xmlns:a16="http://schemas.microsoft.com/office/drawing/2014/main" id="{93F2A994-3360-426E-9C5C-79EA12890FC2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8" name="avatar">
          <a:extLst>
            <a:ext uri="{FF2B5EF4-FFF2-40B4-BE49-F238E27FC236}">
              <a16:creationId xmlns:a16="http://schemas.microsoft.com/office/drawing/2014/main" id="{A5325912-2A10-46FF-B97A-E8DA0F3F937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49" name="avatar">
          <a:extLst>
            <a:ext uri="{FF2B5EF4-FFF2-40B4-BE49-F238E27FC236}">
              <a16:creationId xmlns:a16="http://schemas.microsoft.com/office/drawing/2014/main" id="{F534DB54-4CB2-47A9-BFA7-CDF468052B28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50" name="avatar">
          <a:extLst>
            <a:ext uri="{FF2B5EF4-FFF2-40B4-BE49-F238E27FC236}">
              <a16:creationId xmlns:a16="http://schemas.microsoft.com/office/drawing/2014/main" id="{AD5CB623-3E62-4D3E-8B55-7C0EC6C4EE27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51" name="avatar">
          <a:extLst>
            <a:ext uri="{FF2B5EF4-FFF2-40B4-BE49-F238E27FC236}">
              <a16:creationId xmlns:a16="http://schemas.microsoft.com/office/drawing/2014/main" id="{0BC829D3-34E4-49A7-91DC-583AAD814AD1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52" name="avatar">
          <a:extLst>
            <a:ext uri="{FF2B5EF4-FFF2-40B4-BE49-F238E27FC236}">
              <a16:creationId xmlns:a16="http://schemas.microsoft.com/office/drawing/2014/main" id="{EF4E94A9-B869-49A1-BF29-1D0BF233603E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</xdr:row>
      <xdr:rowOff>0</xdr:rowOff>
    </xdr:from>
    <xdr:ext cx="304800" cy="304800"/>
    <xdr:sp macro="" textlink="">
      <xdr:nvSpPr>
        <xdr:cNvPr id="1553" name="avatar">
          <a:extLst>
            <a:ext uri="{FF2B5EF4-FFF2-40B4-BE49-F238E27FC236}">
              <a16:creationId xmlns:a16="http://schemas.microsoft.com/office/drawing/2014/main" id="{69073A11-20BC-48A6-A42C-499EC023196C}"/>
            </a:ext>
          </a:extLst>
        </xdr:cNvPr>
        <xdr:cNvSpPr>
          <a:spLocks noChangeAspect="1" noChangeArrowheads="1"/>
        </xdr:cNvSpPr>
      </xdr:nvSpPr>
      <xdr:spPr bwMode="auto">
        <a:xfrm>
          <a:off x="381914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4" name="avatar">
          <a:extLst>
            <a:ext uri="{FF2B5EF4-FFF2-40B4-BE49-F238E27FC236}">
              <a16:creationId xmlns:a16="http://schemas.microsoft.com/office/drawing/2014/main" id="{345013ED-D979-41B3-A05A-6CAD994AEF6F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5" name="avatar">
          <a:extLst>
            <a:ext uri="{FF2B5EF4-FFF2-40B4-BE49-F238E27FC236}">
              <a16:creationId xmlns:a16="http://schemas.microsoft.com/office/drawing/2014/main" id="{0B441B25-9572-4095-BD4C-7781FAD248AD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6" name="avatar">
          <a:extLst>
            <a:ext uri="{FF2B5EF4-FFF2-40B4-BE49-F238E27FC236}">
              <a16:creationId xmlns:a16="http://schemas.microsoft.com/office/drawing/2014/main" id="{CA85CDD1-69EC-43A2-8022-31BBCA1D7E1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7" name="avatar">
          <a:extLst>
            <a:ext uri="{FF2B5EF4-FFF2-40B4-BE49-F238E27FC236}">
              <a16:creationId xmlns:a16="http://schemas.microsoft.com/office/drawing/2014/main" id="{71D46582-1716-43D3-8C54-6E6FE2FA09E6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8" name="avatar">
          <a:extLst>
            <a:ext uri="{FF2B5EF4-FFF2-40B4-BE49-F238E27FC236}">
              <a16:creationId xmlns:a16="http://schemas.microsoft.com/office/drawing/2014/main" id="{30D236BC-A37F-40AE-A9DA-CB2984D2D9B1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59" name="avatar">
          <a:extLst>
            <a:ext uri="{FF2B5EF4-FFF2-40B4-BE49-F238E27FC236}">
              <a16:creationId xmlns:a16="http://schemas.microsoft.com/office/drawing/2014/main" id="{70A0DCD3-CF33-4DCD-B4C7-ADEDB8D812A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60" name="avatar">
          <a:extLst>
            <a:ext uri="{FF2B5EF4-FFF2-40B4-BE49-F238E27FC236}">
              <a16:creationId xmlns:a16="http://schemas.microsoft.com/office/drawing/2014/main" id="{A52A6386-9544-45DB-BC53-669A348EC559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61" name="avatar">
          <a:extLst>
            <a:ext uri="{FF2B5EF4-FFF2-40B4-BE49-F238E27FC236}">
              <a16:creationId xmlns:a16="http://schemas.microsoft.com/office/drawing/2014/main" id="{F95CA63D-B57F-49ED-8373-07A695CEAC31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62" name="avatar">
          <a:extLst>
            <a:ext uri="{FF2B5EF4-FFF2-40B4-BE49-F238E27FC236}">
              <a16:creationId xmlns:a16="http://schemas.microsoft.com/office/drawing/2014/main" id="{43F96BCD-49BB-4FEF-B5F3-70EF48A0BD5A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5</xdr:row>
      <xdr:rowOff>0</xdr:rowOff>
    </xdr:from>
    <xdr:ext cx="304800" cy="304800"/>
    <xdr:sp macro="" textlink="">
      <xdr:nvSpPr>
        <xdr:cNvPr id="1563" name="avatar">
          <a:extLst>
            <a:ext uri="{FF2B5EF4-FFF2-40B4-BE49-F238E27FC236}">
              <a16:creationId xmlns:a16="http://schemas.microsoft.com/office/drawing/2014/main" id="{20F32EC9-729C-4553-87F1-C13F70046304}"/>
            </a:ext>
          </a:extLst>
        </xdr:cNvPr>
        <xdr:cNvSpPr>
          <a:spLocks noChangeAspect="1" noChangeArrowheads="1"/>
        </xdr:cNvSpPr>
      </xdr:nvSpPr>
      <xdr:spPr bwMode="auto">
        <a:xfrm>
          <a:off x="408660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4" name="avatar">
          <a:extLst>
            <a:ext uri="{FF2B5EF4-FFF2-40B4-BE49-F238E27FC236}">
              <a16:creationId xmlns:a16="http://schemas.microsoft.com/office/drawing/2014/main" id="{8590AF5B-8B5E-4608-A3C9-665576D392F8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5" name="avatar">
          <a:extLst>
            <a:ext uri="{FF2B5EF4-FFF2-40B4-BE49-F238E27FC236}">
              <a16:creationId xmlns:a16="http://schemas.microsoft.com/office/drawing/2014/main" id="{DEDD84EB-771E-4021-ADA0-0BD33A926F2A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6" name="avatar">
          <a:extLst>
            <a:ext uri="{FF2B5EF4-FFF2-40B4-BE49-F238E27FC236}">
              <a16:creationId xmlns:a16="http://schemas.microsoft.com/office/drawing/2014/main" id="{7F87D2DA-4C9E-4036-9920-28A6CA7284D5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7" name="avatar">
          <a:extLst>
            <a:ext uri="{FF2B5EF4-FFF2-40B4-BE49-F238E27FC236}">
              <a16:creationId xmlns:a16="http://schemas.microsoft.com/office/drawing/2014/main" id="{4EF304DD-5514-4F7B-8142-AC77C3E16B5D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8" name="avatar">
          <a:extLst>
            <a:ext uri="{FF2B5EF4-FFF2-40B4-BE49-F238E27FC236}">
              <a16:creationId xmlns:a16="http://schemas.microsoft.com/office/drawing/2014/main" id="{EE61FB10-A7DC-435F-8E19-863A7400712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69" name="avatar">
          <a:extLst>
            <a:ext uri="{FF2B5EF4-FFF2-40B4-BE49-F238E27FC236}">
              <a16:creationId xmlns:a16="http://schemas.microsoft.com/office/drawing/2014/main" id="{4FF8D60E-E071-4AC3-94DA-CF96EE340515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70" name="avatar">
          <a:extLst>
            <a:ext uri="{FF2B5EF4-FFF2-40B4-BE49-F238E27FC236}">
              <a16:creationId xmlns:a16="http://schemas.microsoft.com/office/drawing/2014/main" id="{3D2CED05-F513-4B4B-A67F-F12FE9D26F37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71" name="avatar">
          <a:extLst>
            <a:ext uri="{FF2B5EF4-FFF2-40B4-BE49-F238E27FC236}">
              <a16:creationId xmlns:a16="http://schemas.microsoft.com/office/drawing/2014/main" id="{CB47AF0F-8662-47C4-BB48-5C70D9752DFB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72" name="avatar">
          <a:extLst>
            <a:ext uri="{FF2B5EF4-FFF2-40B4-BE49-F238E27FC236}">
              <a16:creationId xmlns:a16="http://schemas.microsoft.com/office/drawing/2014/main" id="{1B0A877C-32B8-4902-A052-A4C5A946A3B1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5</xdr:row>
      <xdr:rowOff>0</xdr:rowOff>
    </xdr:from>
    <xdr:ext cx="304800" cy="304800"/>
    <xdr:sp macro="" textlink="">
      <xdr:nvSpPr>
        <xdr:cNvPr id="1573" name="avatar">
          <a:extLst>
            <a:ext uri="{FF2B5EF4-FFF2-40B4-BE49-F238E27FC236}">
              <a16:creationId xmlns:a16="http://schemas.microsoft.com/office/drawing/2014/main" id="{911BBB59-5547-48C6-A8B6-3B5F0EE196E6}"/>
            </a:ext>
          </a:extLst>
        </xdr:cNvPr>
        <xdr:cNvSpPr>
          <a:spLocks noChangeAspect="1" noChangeArrowheads="1"/>
        </xdr:cNvSpPr>
      </xdr:nvSpPr>
      <xdr:spPr bwMode="auto">
        <a:xfrm>
          <a:off x="435406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4" name="avatar">
          <a:extLst>
            <a:ext uri="{FF2B5EF4-FFF2-40B4-BE49-F238E27FC236}">
              <a16:creationId xmlns:a16="http://schemas.microsoft.com/office/drawing/2014/main" id="{591A955C-3A77-4146-880D-BCE179416E44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5" name="avatar">
          <a:extLst>
            <a:ext uri="{FF2B5EF4-FFF2-40B4-BE49-F238E27FC236}">
              <a16:creationId xmlns:a16="http://schemas.microsoft.com/office/drawing/2014/main" id="{EBDF9BD4-E330-42F2-BDCD-29E2A996AB00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6" name="avatar">
          <a:extLst>
            <a:ext uri="{FF2B5EF4-FFF2-40B4-BE49-F238E27FC236}">
              <a16:creationId xmlns:a16="http://schemas.microsoft.com/office/drawing/2014/main" id="{600EF577-2F91-4FC7-9A99-F39DA05BE92B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7" name="avatar">
          <a:extLst>
            <a:ext uri="{FF2B5EF4-FFF2-40B4-BE49-F238E27FC236}">
              <a16:creationId xmlns:a16="http://schemas.microsoft.com/office/drawing/2014/main" id="{6CC9979A-9574-4AFC-9008-362D0F14EE6B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8" name="avatar">
          <a:extLst>
            <a:ext uri="{FF2B5EF4-FFF2-40B4-BE49-F238E27FC236}">
              <a16:creationId xmlns:a16="http://schemas.microsoft.com/office/drawing/2014/main" id="{BE79C705-3919-4603-9ACF-64D623ED3B40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79" name="avatar">
          <a:extLst>
            <a:ext uri="{FF2B5EF4-FFF2-40B4-BE49-F238E27FC236}">
              <a16:creationId xmlns:a16="http://schemas.microsoft.com/office/drawing/2014/main" id="{FAA4F86C-1444-4027-AF19-A90F15945A9F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80" name="avatar">
          <a:extLst>
            <a:ext uri="{FF2B5EF4-FFF2-40B4-BE49-F238E27FC236}">
              <a16:creationId xmlns:a16="http://schemas.microsoft.com/office/drawing/2014/main" id="{47B983AA-FB09-4AF9-991D-C3CE6EF0C617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81" name="avatar">
          <a:extLst>
            <a:ext uri="{FF2B5EF4-FFF2-40B4-BE49-F238E27FC236}">
              <a16:creationId xmlns:a16="http://schemas.microsoft.com/office/drawing/2014/main" id="{5FAA47E3-2E7B-4A3A-B8B5-3C45F76BC097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82" name="avatar">
          <a:extLst>
            <a:ext uri="{FF2B5EF4-FFF2-40B4-BE49-F238E27FC236}">
              <a16:creationId xmlns:a16="http://schemas.microsoft.com/office/drawing/2014/main" id="{E18C3FE1-5A77-4D82-896C-ACB017BC9993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5</xdr:row>
      <xdr:rowOff>0</xdr:rowOff>
    </xdr:from>
    <xdr:ext cx="304800" cy="304800"/>
    <xdr:sp macro="" textlink="">
      <xdr:nvSpPr>
        <xdr:cNvPr id="1583" name="avatar">
          <a:extLst>
            <a:ext uri="{FF2B5EF4-FFF2-40B4-BE49-F238E27FC236}">
              <a16:creationId xmlns:a16="http://schemas.microsoft.com/office/drawing/2014/main" id="{FF90BFA0-64D8-49C3-AEA8-F5DD0E540239}"/>
            </a:ext>
          </a:extLst>
        </xdr:cNvPr>
        <xdr:cNvSpPr>
          <a:spLocks noChangeAspect="1" noChangeArrowheads="1"/>
        </xdr:cNvSpPr>
      </xdr:nvSpPr>
      <xdr:spPr bwMode="auto">
        <a:xfrm>
          <a:off x="462153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4" name="avatar">
          <a:extLst>
            <a:ext uri="{FF2B5EF4-FFF2-40B4-BE49-F238E27FC236}">
              <a16:creationId xmlns:a16="http://schemas.microsoft.com/office/drawing/2014/main" id="{DA95FEE4-AC81-45E8-9CB0-E7174B535DE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5" name="avatar">
          <a:extLst>
            <a:ext uri="{FF2B5EF4-FFF2-40B4-BE49-F238E27FC236}">
              <a16:creationId xmlns:a16="http://schemas.microsoft.com/office/drawing/2014/main" id="{2F14831E-35B7-4568-87F8-733119C9D919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6" name="avatar">
          <a:extLst>
            <a:ext uri="{FF2B5EF4-FFF2-40B4-BE49-F238E27FC236}">
              <a16:creationId xmlns:a16="http://schemas.microsoft.com/office/drawing/2014/main" id="{2868AAFC-D594-4EE0-8ABC-E910B84CB4D6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7" name="avatar">
          <a:extLst>
            <a:ext uri="{FF2B5EF4-FFF2-40B4-BE49-F238E27FC236}">
              <a16:creationId xmlns:a16="http://schemas.microsoft.com/office/drawing/2014/main" id="{E229B558-5412-46CE-B68F-12E3A3509593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8" name="avatar">
          <a:extLst>
            <a:ext uri="{FF2B5EF4-FFF2-40B4-BE49-F238E27FC236}">
              <a16:creationId xmlns:a16="http://schemas.microsoft.com/office/drawing/2014/main" id="{29A2975D-D7A7-42D3-958D-D955E4AB241C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89" name="avatar">
          <a:extLst>
            <a:ext uri="{FF2B5EF4-FFF2-40B4-BE49-F238E27FC236}">
              <a16:creationId xmlns:a16="http://schemas.microsoft.com/office/drawing/2014/main" id="{6120A640-6ED8-40DA-B2BE-816F1F2AACE7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90" name="avatar">
          <a:extLst>
            <a:ext uri="{FF2B5EF4-FFF2-40B4-BE49-F238E27FC236}">
              <a16:creationId xmlns:a16="http://schemas.microsoft.com/office/drawing/2014/main" id="{BFAF0352-4E02-474A-9026-AB5D605DAAEC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91" name="avatar">
          <a:extLst>
            <a:ext uri="{FF2B5EF4-FFF2-40B4-BE49-F238E27FC236}">
              <a16:creationId xmlns:a16="http://schemas.microsoft.com/office/drawing/2014/main" id="{BBBD10A7-9D6F-4190-8282-DBC0C810B004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92" name="avatar">
          <a:extLst>
            <a:ext uri="{FF2B5EF4-FFF2-40B4-BE49-F238E27FC236}">
              <a16:creationId xmlns:a16="http://schemas.microsoft.com/office/drawing/2014/main" id="{04AE7728-79A5-47C1-B3A0-1CED9433D3BE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5</xdr:row>
      <xdr:rowOff>0</xdr:rowOff>
    </xdr:from>
    <xdr:ext cx="304800" cy="304800"/>
    <xdr:sp macro="" textlink="">
      <xdr:nvSpPr>
        <xdr:cNvPr id="1593" name="avatar">
          <a:extLst>
            <a:ext uri="{FF2B5EF4-FFF2-40B4-BE49-F238E27FC236}">
              <a16:creationId xmlns:a16="http://schemas.microsoft.com/office/drawing/2014/main" id="{FD3E3FF9-3AE9-4383-9E66-364E34B4032B}"/>
            </a:ext>
          </a:extLst>
        </xdr:cNvPr>
        <xdr:cNvSpPr>
          <a:spLocks noChangeAspect="1" noChangeArrowheads="1"/>
        </xdr:cNvSpPr>
      </xdr:nvSpPr>
      <xdr:spPr bwMode="auto">
        <a:xfrm>
          <a:off x="488899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4" name="avatar">
          <a:extLst>
            <a:ext uri="{FF2B5EF4-FFF2-40B4-BE49-F238E27FC236}">
              <a16:creationId xmlns:a16="http://schemas.microsoft.com/office/drawing/2014/main" id="{421854B1-B430-4E35-A61D-A4728F8C884E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5" name="avatar">
          <a:extLst>
            <a:ext uri="{FF2B5EF4-FFF2-40B4-BE49-F238E27FC236}">
              <a16:creationId xmlns:a16="http://schemas.microsoft.com/office/drawing/2014/main" id="{6F383219-A022-4C27-994A-95ADFA8E2F60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6" name="avatar">
          <a:extLst>
            <a:ext uri="{FF2B5EF4-FFF2-40B4-BE49-F238E27FC236}">
              <a16:creationId xmlns:a16="http://schemas.microsoft.com/office/drawing/2014/main" id="{764BFDE2-0C83-40F9-8B8F-7DB46059F32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7" name="avatar">
          <a:extLst>
            <a:ext uri="{FF2B5EF4-FFF2-40B4-BE49-F238E27FC236}">
              <a16:creationId xmlns:a16="http://schemas.microsoft.com/office/drawing/2014/main" id="{424CA554-5970-4EF8-9628-8A9A42DF6F22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8" name="avatar">
          <a:extLst>
            <a:ext uri="{FF2B5EF4-FFF2-40B4-BE49-F238E27FC236}">
              <a16:creationId xmlns:a16="http://schemas.microsoft.com/office/drawing/2014/main" id="{BF53B0AE-0EA8-41AD-B5C7-EE38168BCF4A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599" name="avatar">
          <a:extLst>
            <a:ext uri="{FF2B5EF4-FFF2-40B4-BE49-F238E27FC236}">
              <a16:creationId xmlns:a16="http://schemas.microsoft.com/office/drawing/2014/main" id="{91110DC8-0D40-45C8-BD14-C40FCB990513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600" name="avatar">
          <a:extLst>
            <a:ext uri="{FF2B5EF4-FFF2-40B4-BE49-F238E27FC236}">
              <a16:creationId xmlns:a16="http://schemas.microsoft.com/office/drawing/2014/main" id="{6B3F3A49-A759-4F7F-A3A1-47A585A6E1A6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601" name="avatar">
          <a:extLst>
            <a:ext uri="{FF2B5EF4-FFF2-40B4-BE49-F238E27FC236}">
              <a16:creationId xmlns:a16="http://schemas.microsoft.com/office/drawing/2014/main" id="{6FEE8EF0-BC46-47A3-89A0-32D0B892CA4B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602" name="avatar">
          <a:extLst>
            <a:ext uri="{FF2B5EF4-FFF2-40B4-BE49-F238E27FC236}">
              <a16:creationId xmlns:a16="http://schemas.microsoft.com/office/drawing/2014/main" id="{A9677267-3FC2-44D9-B1BF-08EF51D1CF8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5</xdr:row>
      <xdr:rowOff>0</xdr:rowOff>
    </xdr:from>
    <xdr:ext cx="304800" cy="304800"/>
    <xdr:sp macro="" textlink="">
      <xdr:nvSpPr>
        <xdr:cNvPr id="1603" name="avatar">
          <a:extLst>
            <a:ext uri="{FF2B5EF4-FFF2-40B4-BE49-F238E27FC236}">
              <a16:creationId xmlns:a16="http://schemas.microsoft.com/office/drawing/2014/main" id="{F8F495C2-783F-44E1-82FC-AD8634881B75}"/>
            </a:ext>
          </a:extLst>
        </xdr:cNvPr>
        <xdr:cNvSpPr>
          <a:spLocks noChangeAspect="1" noChangeArrowheads="1"/>
        </xdr:cNvSpPr>
      </xdr:nvSpPr>
      <xdr:spPr bwMode="auto">
        <a:xfrm>
          <a:off x="515645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4" name="avatar">
          <a:extLst>
            <a:ext uri="{FF2B5EF4-FFF2-40B4-BE49-F238E27FC236}">
              <a16:creationId xmlns:a16="http://schemas.microsoft.com/office/drawing/2014/main" id="{FE67BA70-BDC4-48EA-B93E-3818F7F0E9D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5" name="avatar">
          <a:extLst>
            <a:ext uri="{FF2B5EF4-FFF2-40B4-BE49-F238E27FC236}">
              <a16:creationId xmlns:a16="http://schemas.microsoft.com/office/drawing/2014/main" id="{11E8D78F-5183-4FB8-891C-8CD6C59885E8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6" name="avatar">
          <a:extLst>
            <a:ext uri="{FF2B5EF4-FFF2-40B4-BE49-F238E27FC236}">
              <a16:creationId xmlns:a16="http://schemas.microsoft.com/office/drawing/2014/main" id="{1F97E667-3CB3-49C1-9310-EF71A966A84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7" name="avatar">
          <a:extLst>
            <a:ext uri="{FF2B5EF4-FFF2-40B4-BE49-F238E27FC236}">
              <a16:creationId xmlns:a16="http://schemas.microsoft.com/office/drawing/2014/main" id="{1DF4F437-F927-4428-A361-41F126663AC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8" name="avatar">
          <a:extLst>
            <a:ext uri="{FF2B5EF4-FFF2-40B4-BE49-F238E27FC236}">
              <a16:creationId xmlns:a16="http://schemas.microsoft.com/office/drawing/2014/main" id="{ED343C1E-18EE-469E-AD16-0ADDD65E9C5B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09" name="avatar">
          <a:extLst>
            <a:ext uri="{FF2B5EF4-FFF2-40B4-BE49-F238E27FC236}">
              <a16:creationId xmlns:a16="http://schemas.microsoft.com/office/drawing/2014/main" id="{2C48E5E4-46BC-4F9B-8CEE-D570EB928D45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10" name="avatar">
          <a:extLst>
            <a:ext uri="{FF2B5EF4-FFF2-40B4-BE49-F238E27FC236}">
              <a16:creationId xmlns:a16="http://schemas.microsoft.com/office/drawing/2014/main" id="{ECFA5CB1-A3E8-42CF-91B4-D5FA8331473A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11" name="avatar">
          <a:extLst>
            <a:ext uri="{FF2B5EF4-FFF2-40B4-BE49-F238E27FC236}">
              <a16:creationId xmlns:a16="http://schemas.microsoft.com/office/drawing/2014/main" id="{E338ED1B-8C9C-484A-8018-850DD1F38FEE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12" name="avatar">
          <a:extLst>
            <a:ext uri="{FF2B5EF4-FFF2-40B4-BE49-F238E27FC236}">
              <a16:creationId xmlns:a16="http://schemas.microsoft.com/office/drawing/2014/main" id="{1F095C2B-144B-4B0B-80CF-71F62DD5A1C9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53</xdr:col>
      <xdr:colOff>0</xdr:colOff>
      <xdr:row>5</xdr:row>
      <xdr:rowOff>0</xdr:rowOff>
    </xdr:from>
    <xdr:ext cx="304800" cy="304800"/>
    <xdr:sp macro="" textlink="">
      <xdr:nvSpPr>
        <xdr:cNvPr id="1613" name="avatar">
          <a:extLst>
            <a:ext uri="{FF2B5EF4-FFF2-40B4-BE49-F238E27FC236}">
              <a16:creationId xmlns:a16="http://schemas.microsoft.com/office/drawing/2014/main" id="{0DE6A132-6C08-4291-9D8E-0FA473DD141D}"/>
            </a:ext>
          </a:extLst>
        </xdr:cNvPr>
        <xdr:cNvSpPr>
          <a:spLocks noChangeAspect="1" noChangeArrowheads="1"/>
        </xdr:cNvSpPr>
      </xdr:nvSpPr>
      <xdr:spPr bwMode="auto">
        <a:xfrm>
          <a:off x="542391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4" name="avatar">
          <a:extLst>
            <a:ext uri="{FF2B5EF4-FFF2-40B4-BE49-F238E27FC236}">
              <a16:creationId xmlns:a16="http://schemas.microsoft.com/office/drawing/2014/main" id="{605A968B-514A-4F50-9110-2EA6CD691CFA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5" name="avatar">
          <a:extLst>
            <a:ext uri="{FF2B5EF4-FFF2-40B4-BE49-F238E27FC236}">
              <a16:creationId xmlns:a16="http://schemas.microsoft.com/office/drawing/2014/main" id="{AD818548-31AA-4383-8CB1-D77147B07091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6" name="avatar">
          <a:extLst>
            <a:ext uri="{FF2B5EF4-FFF2-40B4-BE49-F238E27FC236}">
              <a16:creationId xmlns:a16="http://schemas.microsoft.com/office/drawing/2014/main" id="{0C2C35AA-FFB9-4177-B95D-958EC2D2391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7" name="avatar">
          <a:extLst>
            <a:ext uri="{FF2B5EF4-FFF2-40B4-BE49-F238E27FC236}">
              <a16:creationId xmlns:a16="http://schemas.microsoft.com/office/drawing/2014/main" id="{B0D79D59-422E-4020-87CF-D80C099CE99F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8" name="avatar">
          <a:extLst>
            <a:ext uri="{FF2B5EF4-FFF2-40B4-BE49-F238E27FC236}">
              <a16:creationId xmlns:a16="http://schemas.microsoft.com/office/drawing/2014/main" id="{46E1CE7C-5411-45CD-96EB-9D1E3972B56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19" name="avatar">
          <a:extLst>
            <a:ext uri="{FF2B5EF4-FFF2-40B4-BE49-F238E27FC236}">
              <a16:creationId xmlns:a16="http://schemas.microsoft.com/office/drawing/2014/main" id="{FB34CFE1-000C-4ED8-A761-3D37145CA286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0" name="avatar">
          <a:extLst>
            <a:ext uri="{FF2B5EF4-FFF2-40B4-BE49-F238E27FC236}">
              <a16:creationId xmlns:a16="http://schemas.microsoft.com/office/drawing/2014/main" id="{3F986E35-F43E-4866-A332-A28C97CE21C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1" name="avatar">
          <a:extLst>
            <a:ext uri="{FF2B5EF4-FFF2-40B4-BE49-F238E27FC236}">
              <a16:creationId xmlns:a16="http://schemas.microsoft.com/office/drawing/2014/main" id="{7E89FAD2-69BB-47B0-B518-814B9EEA4FB2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2" name="avatar">
          <a:extLst>
            <a:ext uri="{FF2B5EF4-FFF2-40B4-BE49-F238E27FC236}">
              <a16:creationId xmlns:a16="http://schemas.microsoft.com/office/drawing/2014/main" id="{074ACFD7-949C-4187-9B4B-09D842CDCDB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3" name="avatar">
          <a:extLst>
            <a:ext uri="{FF2B5EF4-FFF2-40B4-BE49-F238E27FC236}">
              <a16:creationId xmlns:a16="http://schemas.microsoft.com/office/drawing/2014/main" id="{C8826176-9B85-47E7-BFAA-64175E6EB023}"/>
            </a:ext>
          </a:extLst>
        </xdr:cNvPr>
        <xdr:cNvSpPr>
          <a:spLocks noChangeAspect="1" noChangeArrowheads="1"/>
        </xdr:cNvSpPr>
      </xdr:nvSpPr>
      <xdr:spPr bwMode="auto">
        <a:xfrm>
          <a:off x="569137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4" name="avatar">
          <a:extLst>
            <a:ext uri="{FF2B5EF4-FFF2-40B4-BE49-F238E27FC236}">
              <a16:creationId xmlns:a16="http://schemas.microsoft.com/office/drawing/2014/main" id="{92DC4DB4-F662-4FE5-9B0B-7DAAC08ACAF6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5" name="avatar">
          <a:extLst>
            <a:ext uri="{FF2B5EF4-FFF2-40B4-BE49-F238E27FC236}">
              <a16:creationId xmlns:a16="http://schemas.microsoft.com/office/drawing/2014/main" id="{E9A1C8CB-2951-4B2B-B9EF-C3F712C36B98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6" name="avatar">
          <a:extLst>
            <a:ext uri="{FF2B5EF4-FFF2-40B4-BE49-F238E27FC236}">
              <a16:creationId xmlns:a16="http://schemas.microsoft.com/office/drawing/2014/main" id="{725625CB-4AE4-4678-A2A4-F392EF2E5F77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7" name="avatar">
          <a:extLst>
            <a:ext uri="{FF2B5EF4-FFF2-40B4-BE49-F238E27FC236}">
              <a16:creationId xmlns:a16="http://schemas.microsoft.com/office/drawing/2014/main" id="{BC66F7E0-6B95-4569-BA6A-E46170926A81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8" name="avatar">
          <a:extLst>
            <a:ext uri="{FF2B5EF4-FFF2-40B4-BE49-F238E27FC236}">
              <a16:creationId xmlns:a16="http://schemas.microsoft.com/office/drawing/2014/main" id="{FF2C2BEA-421C-4245-B358-D352C34CDDB4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29" name="avatar">
          <a:extLst>
            <a:ext uri="{FF2B5EF4-FFF2-40B4-BE49-F238E27FC236}">
              <a16:creationId xmlns:a16="http://schemas.microsoft.com/office/drawing/2014/main" id="{6FB820DB-3599-4704-A115-04A64EF300B0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30" name="avatar">
          <a:extLst>
            <a:ext uri="{FF2B5EF4-FFF2-40B4-BE49-F238E27FC236}">
              <a16:creationId xmlns:a16="http://schemas.microsoft.com/office/drawing/2014/main" id="{C7E5AB7E-C086-419F-927E-16409BA29323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31" name="avatar">
          <a:extLst>
            <a:ext uri="{FF2B5EF4-FFF2-40B4-BE49-F238E27FC236}">
              <a16:creationId xmlns:a16="http://schemas.microsoft.com/office/drawing/2014/main" id="{815D73DB-139C-4A80-84DE-C7416EF6D08A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32" name="avatar">
          <a:extLst>
            <a:ext uri="{FF2B5EF4-FFF2-40B4-BE49-F238E27FC236}">
              <a16:creationId xmlns:a16="http://schemas.microsoft.com/office/drawing/2014/main" id="{DFDFC93B-A607-4571-9AA8-EC13CE9EA755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56</xdr:col>
      <xdr:colOff>0</xdr:colOff>
      <xdr:row>5</xdr:row>
      <xdr:rowOff>0</xdr:rowOff>
    </xdr:from>
    <xdr:ext cx="304800" cy="304800"/>
    <xdr:sp macro="" textlink="">
      <xdr:nvSpPr>
        <xdr:cNvPr id="1633" name="avatar">
          <a:extLst>
            <a:ext uri="{FF2B5EF4-FFF2-40B4-BE49-F238E27FC236}">
              <a16:creationId xmlns:a16="http://schemas.microsoft.com/office/drawing/2014/main" id="{39FE3B4D-37C6-4BEB-94A4-6B4E7576EFD2}"/>
            </a:ext>
          </a:extLst>
        </xdr:cNvPr>
        <xdr:cNvSpPr>
          <a:spLocks noChangeAspect="1" noChangeArrowheads="1"/>
        </xdr:cNvSpPr>
      </xdr:nvSpPr>
      <xdr:spPr bwMode="auto">
        <a:xfrm>
          <a:off x="595884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34" name="avatar">
          <a:extLst>
            <a:ext uri="{FF2B5EF4-FFF2-40B4-BE49-F238E27FC236}">
              <a16:creationId xmlns:a16="http://schemas.microsoft.com/office/drawing/2014/main" id="{1A2A1749-ED8E-4DB3-9A1E-0B716E0E8433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35" name="avatar">
          <a:extLst>
            <a:ext uri="{FF2B5EF4-FFF2-40B4-BE49-F238E27FC236}">
              <a16:creationId xmlns:a16="http://schemas.microsoft.com/office/drawing/2014/main" id="{DD786264-B423-4E62-A5CD-BAD94D89745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36" name="avatar">
          <a:extLst>
            <a:ext uri="{FF2B5EF4-FFF2-40B4-BE49-F238E27FC236}">
              <a16:creationId xmlns:a16="http://schemas.microsoft.com/office/drawing/2014/main" id="{A675FDBF-5BA8-4BBC-A61B-0A172BAB6002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37" name="avatar">
          <a:extLst>
            <a:ext uri="{FF2B5EF4-FFF2-40B4-BE49-F238E27FC236}">
              <a16:creationId xmlns:a16="http://schemas.microsoft.com/office/drawing/2014/main" id="{DBBA4B77-57BE-4DD4-9CEF-735822CC8FE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38" name="avatar">
          <a:extLst>
            <a:ext uri="{FF2B5EF4-FFF2-40B4-BE49-F238E27FC236}">
              <a16:creationId xmlns:a16="http://schemas.microsoft.com/office/drawing/2014/main" id="{1E175816-8D54-4023-BE64-50C65A90F712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39" name="avatar">
          <a:extLst>
            <a:ext uri="{FF2B5EF4-FFF2-40B4-BE49-F238E27FC236}">
              <a16:creationId xmlns:a16="http://schemas.microsoft.com/office/drawing/2014/main" id="{A163AFB9-0A4B-4ED0-9713-C6C26D931F1E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40" name="avatar">
          <a:extLst>
            <a:ext uri="{FF2B5EF4-FFF2-40B4-BE49-F238E27FC236}">
              <a16:creationId xmlns:a16="http://schemas.microsoft.com/office/drawing/2014/main" id="{163493D0-E399-4802-B01E-14FA8C37AB7C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41" name="avatar">
          <a:extLst>
            <a:ext uri="{FF2B5EF4-FFF2-40B4-BE49-F238E27FC236}">
              <a16:creationId xmlns:a16="http://schemas.microsoft.com/office/drawing/2014/main" id="{A3A3B708-9EB6-40C3-A6BA-F5DBC996B8F1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42" name="avatar">
          <a:extLst>
            <a:ext uri="{FF2B5EF4-FFF2-40B4-BE49-F238E27FC236}">
              <a16:creationId xmlns:a16="http://schemas.microsoft.com/office/drawing/2014/main" id="{FB043C15-4F61-43CE-8D37-2EC371268754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59</xdr:col>
      <xdr:colOff>0</xdr:colOff>
      <xdr:row>5</xdr:row>
      <xdr:rowOff>0</xdr:rowOff>
    </xdr:from>
    <xdr:ext cx="304800" cy="304800"/>
    <xdr:sp macro="" textlink="">
      <xdr:nvSpPr>
        <xdr:cNvPr id="1643" name="avatar">
          <a:extLst>
            <a:ext uri="{FF2B5EF4-FFF2-40B4-BE49-F238E27FC236}">
              <a16:creationId xmlns:a16="http://schemas.microsoft.com/office/drawing/2014/main" id="{5EDB4674-CF0E-477E-BCA9-02E0E235C9E9}"/>
            </a:ext>
          </a:extLst>
        </xdr:cNvPr>
        <xdr:cNvSpPr>
          <a:spLocks noChangeAspect="1" noChangeArrowheads="1"/>
        </xdr:cNvSpPr>
      </xdr:nvSpPr>
      <xdr:spPr bwMode="auto">
        <a:xfrm>
          <a:off x="622630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44" name="avatar">
          <a:extLst>
            <a:ext uri="{FF2B5EF4-FFF2-40B4-BE49-F238E27FC236}">
              <a16:creationId xmlns:a16="http://schemas.microsoft.com/office/drawing/2014/main" id="{57A9FC20-EA9B-4739-9A3E-BBCC1B807E39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45" name="avatar">
          <a:extLst>
            <a:ext uri="{FF2B5EF4-FFF2-40B4-BE49-F238E27FC236}">
              <a16:creationId xmlns:a16="http://schemas.microsoft.com/office/drawing/2014/main" id="{6731FD2B-F8B7-414B-96C0-8CC6B257947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46" name="avatar">
          <a:extLst>
            <a:ext uri="{FF2B5EF4-FFF2-40B4-BE49-F238E27FC236}">
              <a16:creationId xmlns:a16="http://schemas.microsoft.com/office/drawing/2014/main" id="{B73F86BD-1F63-4140-AD51-CB261E8A433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47" name="avatar">
          <a:extLst>
            <a:ext uri="{FF2B5EF4-FFF2-40B4-BE49-F238E27FC236}">
              <a16:creationId xmlns:a16="http://schemas.microsoft.com/office/drawing/2014/main" id="{B0B4A676-FA33-4D93-BE01-890C607358C0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48" name="avatar">
          <a:extLst>
            <a:ext uri="{FF2B5EF4-FFF2-40B4-BE49-F238E27FC236}">
              <a16:creationId xmlns:a16="http://schemas.microsoft.com/office/drawing/2014/main" id="{5BE4DD10-80BB-48A0-9006-70C31488254F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49" name="avatar">
          <a:extLst>
            <a:ext uri="{FF2B5EF4-FFF2-40B4-BE49-F238E27FC236}">
              <a16:creationId xmlns:a16="http://schemas.microsoft.com/office/drawing/2014/main" id="{FD85B3DD-4D96-4A2E-AF9E-938F0EFB4038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50" name="avatar">
          <a:extLst>
            <a:ext uri="{FF2B5EF4-FFF2-40B4-BE49-F238E27FC236}">
              <a16:creationId xmlns:a16="http://schemas.microsoft.com/office/drawing/2014/main" id="{B0F50EB3-40A6-4829-A96E-92C3DCC15D97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51" name="avatar">
          <a:extLst>
            <a:ext uri="{FF2B5EF4-FFF2-40B4-BE49-F238E27FC236}">
              <a16:creationId xmlns:a16="http://schemas.microsoft.com/office/drawing/2014/main" id="{73225C35-9564-40A9-AF93-60236D5DF4DA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52" name="avatar">
          <a:extLst>
            <a:ext uri="{FF2B5EF4-FFF2-40B4-BE49-F238E27FC236}">
              <a16:creationId xmlns:a16="http://schemas.microsoft.com/office/drawing/2014/main" id="{37C515C6-A566-4863-A260-5232C5A8FCC4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62</xdr:col>
      <xdr:colOff>0</xdr:colOff>
      <xdr:row>5</xdr:row>
      <xdr:rowOff>0</xdr:rowOff>
    </xdr:from>
    <xdr:ext cx="304800" cy="304800"/>
    <xdr:sp macro="" textlink="">
      <xdr:nvSpPr>
        <xdr:cNvPr id="1653" name="avatar">
          <a:extLst>
            <a:ext uri="{FF2B5EF4-FFF2-40B4-BE49-F238E27FC236}">
              <a16:creationId xmlns:a16="http://schemas.microsoft.com/office/drawing/2014/main" id="{B6E46630-454D-4538-BFBA-6F8EC9C1A6E3}"/>
            </a:ext>
          </a:extLst>
        </xdr:cNvPr>
        <xdr:cNvSpPr>
          <a:spLocks noChangeAspect="1" noChangeArrowheads="1"/>
        </xdr:cNvSpPr>
      </xdr:nvSpPr>
      <xdr:spPr bwMode="auto">
        <a:xfrm>
          <a:off x="649376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54" name="avatar">
          <a:extLst>
            <a:ext uri="{FF2B5EF4-FFF2-40B4-BE49-F238E27FC236}">
              <a16:creationId xmlns:a16="http://schemas.microsoft.com/office/drawing/2014/main" id="{97209F66-10AC-493E-A53F-B2409E16A58B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55" name="avatar">
          <a:extLst>
            <a:ext uri="{FF2B5EF4-FFF2-40B4-BE49-F238E27FC236}">
              <a16:creationId xmlns:a16="http://schemas.microsoft.com/office/drawing/2014/main" id="{C6C9B765-C67F-4E44-8470-FF87D35E01C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56" name="avatar">
          <a:extLst>
            <a:ext uri="{FF2B5EF4-FFF2-40B4-BE49-F238E27FC236}">
              <a16:creationId xmlns:a16="http://schemas.microsoft.com/office/drawing/2014/main" id="{0F027F4F-F2BE-4DAE-9EA8-72134180E4A6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57" name="avatar">
          <a:extLst>
            <a:ext uri="{FF2B5EF4-FFF2-40B4-BE49-F238E27FC236}">
              <a16:creationId xmlns:a16="http://schemas.microsoft.com/office/drawing/2014/main" id="{AC889F89-4421-404F-822B-6104C6300074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58" name="avatar">
          <a:extLst>
            <a:ext uri="{FF2B5EF4-FFF2-40B4-BE49-F238E27FC236}">
              <a16:creationId xmlns:a16="http://schemas.microsoft.com/office/drawing/2014/main" id="{03727B26-CB17-453C-8FDB-578400EEC3C8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59" name="avatar">
          <a:extLst>
            <a:ext uri="{FF2B5EF4-FFF2-40B4-BE49-F238E27FC236}">
              <a16:creationId xmlns:a16="http://schemas.microsoft.com/office/drawing/2014/main" id="{D58B00B4-4D6C-4471-BF40-1BF16CCF351C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60" name="avatar">
          <a:extLst>
            <a:ext uri="{FF2B5EF4-FFF2-40B4-BE49-F238E27FC236}">
              <a16:creationId xmlns:a16="http://schemas.microsoft.com/office/drawing/2014/main" id="{81276D1E-2325-46F5-BE8D-C2B5915C0A8A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61" name="avatar">
          <a:extLst>
            <a:ext uri="{FF2B5EF4-FFF2-40B4-BE49-F238E27FC236}">
              <a16:creationId xmlns:a16="http://schemas.microsoft.com/office/drawing/2014/main" id="{7712F3F2-840E-4A32-8463-886541C5CDEA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62" name="avatar">
          <a:extLst>
            <a:ext uri="{FF2B5EF4-FFF2-40B4-BE49-F238E27FC236}">
              <a16:creationId xmlns:a16="http://schemas.microsoft.com/office/drawing/2014/main" id="{BB0E96C5-7E7C-4800-8D32-413597C1B760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65</xdr:col>
      <xdr:colOff>0</xdr:colOff>
      <xdr:row>5</xdr:row>
      <xdr:rowOff>0</xdr:rowOff>
    </xdr:from>
    <xdr:ext cx="304800" cy="304800"/>
    <xdr:sp macro="" textlink="">
      <xdr:nvSpPr>
        <xdr:cNvPr id="1663" name="avatar">
          <a:extLst>
            <a:ext uri="{FF2B5EF4-FFF2-40B4-BE49-F238E27FC236}">
              <a16:creationId xmlns:a16="http://schemas.microsoft.com/office/drawing/2014/main" id="{6E8D4414-5223-47C3-AC90-32C740DD3D90}"/>
            </a:ext>
          </a:extLst>
        </xdr:cNvPr>
        <xdr:cNvSpPr>
          <a:spLocks noChangeAspect="1" noChangeArrowheads="1"/>
        </xdr:cNvSpPr>
      </xdr:nvSpPr>
      <xdr:spPr bwMode="auto">
        <a:xfrm>
          <a:off x="676122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64" name="avatar">
          <a:extLst>
            <a:ext uri="{FF2B5EF4-FFF2-40B4-BE49-F238E27FC236}">
              <a16:creationId xmlns:a16="http://schemas.microsoft.com/office/drawing/2014/main" id="{EA7195AD-BFCA-420E-AEB2-48AFB596F4A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65" name="avatar">
          <a:extLst>
            <a:ext uri="{FF2B5EF4-FFF2-40B4-BE49-F238E27FC236}">
              <a16:creationId xmlns:a16="http://schemas.microsoft.com/office/drawing/2014/main" id="{A865ECD8-AA1E-4E76-B7A3-DD0ECBA44C62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66" name="avatar">
          <a:extLst>
            <a:ext uri="{FF2B5EF4-FFF2-40B4-BE49-F238E27FC236}">
              <a16:creationId xmlns:a16="http://schemas.microsoft.com/office/drawing/2014/main" id="{896CBB1B-4D93-4B18-AC6F-3F049C1B4B68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67" name="avatar">
          <a:extLst>
            <a:ext uri="{FF2B5EF4-FFF2-40B4-BE49-F238E27FC236}">
              <a16:creationId xmlns:a16="http://schemas.microsoft.com/office/drawing/2014/main" id="{1A2A90A4-E7C6-46FC-9A96-F29FB0B7AE17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68" name="avatar">
          <a:extLst>
            <a:ext uri="{FF2B5EF4-FFF2-40B4-BE49-F238E27FC236}">
              <a16:creationId xmlns:a16="http://schemas.microsoft.com/office/drawing/2014/main" id="{75CCEC51-5EC2-4E2D-B51D-1FEF23340449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69" name="avatar">
          <a:extLst>
            <a:ext uri="{FF2B5EF4-FFF2-40B4-BE49-F238E27FC236}">
              <a16:creationId xmlns:a16="http://schemas.microsoft.com/office/drawing/2014/main" id="{10E9813A-8042-4A01-A4BF-CD9A06FFCB35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70" name="avatar">
          <a:extLst>
            <a:ext uri="{FF2B5EF4-FFF2-40B4-BE49-F238E27FC236}">
              <a16:creationId xmlns:a16="http://schemas.microsoft.com/office/drawing/2014/main" id="{F9D4DD6E-94A4-4A56-97C1-AFE13942324B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71" name="avatar">
          <a:extLst>
            <a:ext uri="{FF2B5EF4-FFF2-40B4-BE49-F238E27FC236}">
              <a16:creationId xmlns:a16="http://schemas.microsoft.com/office/drawing/2014/main" id="{8609F4DD-D4E4-4796-AD5B-4120D36AA5A0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72" name="avatar">
          <a:extLst>
            <a:ext uri="{FF2B5EF4-FFF2-40B4-BE49-F238E27FC236}">
              <a16:creationId xmlns:a16="http://schemas.microsoft.com/office/drawing/2014/main" id="{082570E2-B8F5-42FC-A808-648BBEA21033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0</xdr:colOff>
      <xdr:row>5</xdr:row>
      <xdr:rowOff>0</xdr:rowOff>
    </xdr:from>
    <xdr:ext cx="304800" cy="304800"/>
    <xdr:sp macro="" textlink="">
      <xdr:nvSpPr>
        <xdr:cNvPr id="1673" name="avatar">
          <a:extLst>
            <a:ext uri="{FF2B5EF4-FFF2-40B4-BE49-F238E27FC236}">
              <a16:creationId xmlns:a16="http://schemas.microsoft.com/office/drawing/2014/main" id="{58AC18B0-63F2-4C76-AC89-E7822DAC6355}"/>
            </a:ext>
          </a:extLst>
        </xdr:cNvPr>
        <xdr:cNvSpPr>
          <a:spLocks noChangeAspect="1" noChangeArrowheads="1"/>
        </xdr:cNvSpPr>
      </xdr:nvSpPr>
      <xdr:spPr bwMode="auto">
        <a:xfrm>
          <a:off x="702868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74" name="avatar">
          <a:extLst>
            <a:ext uri="{FF2B5EF4-FFF2-40B4-BE49-F238E27FC236}">
              <a16:creationId xmlns:a16="http://schemas.microsoft.com/office/drawing/2014/main" id="{95624B21-EC9B-409A-84B8-AA800C8DD13C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75" name="avatar">
          <a:extLst>
            <a:ext uri="{FF2B5EF4-FFF2-40B4-BE49-F238E27FC236}">
              <a16:creationId xmlns:a16="http://schemas.microsoft.com/office/drawing/2014/main" id="{52025071-E322-46D9-98A5-703A393A4BD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76" name="avatar">
          <a:extLst>
            <a:ext uri="{FF2B5EF4-FFF2-40B4-BE49-F238E27FC236}">
              <a16:creationId xmlns:a16="http://schemas.microsoft.com/office/drawing/2014/main" id="{DE4F734B-501D-4496-BC33-6FBF51081442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77" name="avatar">
          <a:extLst>
            <a:ext uri="{FF2B5EF4-FFF2-40B4-BE49-F238E27FC236}">
              <a16:creationId xmlns:a16="http://schemas.microsoft.com/office/drawing/2014/main" id="{4D2273A4-81E5-4E7C-95AA-52DEA20BD62D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78" name="avatar">
          <a:extLst>
            <a:ext uri="{FF2B5EF4-FFF2-40B4-BE49-F238E27FC236}">
              <a16:creationId xmlns:a16="http://schemas.microsoft.com/office/drawing/2014/main" id="{609E6067-01BF-4A76-AC87-21502379EF2D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79" name="avatar">
          <a:extLst>
            <a:ext uri="{FF2B5EF4-FFF2-40B4-BE49-F238E27FC236}">
              <a16:creationId xmlns:a16="http://schemas.microsoft.com/office/drawing/2014/main" id="{19638A11-6824-44A6-8E2F-AA4F78BBA4F1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80" name="avatar">
          <a:extLst>
            <a:ext uri="{FF2B5EF4-FFF2-40B4-BE49-F238E27FC236}">
              <a16:creationId xmlns:a16="http://schemas.microsoft.com/office/drawing/2014/main" id="{B90B3E5B-B1F2-4016-BA0F-1F7C0FBA1C14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81" name="avatar">
          <a:extLst>
            <a:ext uri="{FF2B5EF4-FFF2-40B4-BE49-F238E27FC236}">
              <a16:creationId xmlns:a16="http://schemas.microsoft.com/office/drawing/2014/main" id="{CE5A015B-2850-4411-8908-6A0CB7EC304C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82" name="avatar">
          <a:extLst>
            <a:ext uri="{FF2B5EF4-FFF2-40B4-BE49-F238E27FC236}">
              <a16:creationId xmlns:a16="http://schemas.microsoft.com/office/drawing/2014/main" id="{E908BEA6-C56C-4E5A-92FB-9C40559D11D3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0</xdr:colOff>
      <xdr:row>5</xdr:row>
      <xdr:rowOff>0</xdr:rowOff>
    </xdr:from>
    <xdr:ext cx="304800" cy="304800"/>
    <xdr:sp macro="" textlink="">
      <xdr:nvSpPr>
        <xdr:cNvPr id="1683" name="avatar">
          <a:extLst>
            <a:ext uri="{FF2B5EF4-FFF2-40B4-BE49-F238E27FC236}">
              <a16:creationId xmlns:a16="http://schemas.microsoft.com/office/drawing/2014/main" id="{BFBBDAB2-D1F6-407E-B93E-8978DCECEBB0}"/>
            </a:ext>
          </a:extLst>
        </xdr:cNvPr>
        <xdr:cNvSpPr>
          <a:spLocks noChangeAspect="1" noChangeArrowheads="1"/>
        </xdr:cNvSpPr>
      </xdr:nvSpPr>
      <xdr:spPr bwMode="auto">
        <a:xfrm>
          <a:off x="729615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84" name="avatar">
          <a:extLst>
            <a:ext uri="{FF2B5EF4-FFF2-40B4-BE49-F238E27FC236}">
              <a16:creationId xmlns:a16="http://schemas.microsoft.com/office/drawing/2014/main" id="{89C59F7A-4771-48D1-A84B-328BB24EE833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85" name="avatar">
          <a:extLst>
            <a:ext uri="{FF2B5EF4-FFF2-40B4-BE49-F238E27FC236}">
              <a16:creationId xmlns:a16="http://schemas.microsoft.com/office/drawing/2014/main" id="{A36BAF4A-85B7-43C8-8566-324D402FF152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86" name="avatar">
          <a:extLst>
            <a:ext uri="{FF2B5EF4-FFF2-40B4-BE49-F238E27FC236}">
              <a16:creationId xmlns:a16="http://schemas.microsoft.com/office/drawing/2014/main" id="{5213837D-4849-4BA7-BC83-3F8BFCF56A73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87" name="avatar">
          <a:extLst>
            <a:ext uri="{FF2B5EF4-FFF2-40B4-BE49-F238E27FC236}">
              <a16:creationId xmlns:a16="http://schemas.microsoft.com/office/drawing/2014/main" id="{E9921026-7E85-4521-9E32-844410C67E31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88" name="avatar">
          <a:extLst>
            <a:ext uri="{FF2B5EF4-FFF2-40B4-BE49-F238E27FC236}">
              <a16:creationId xmlns:a16="http://schemas.microsoft.com/office/drawing/2014/main" id="{6856023F-3161-46BF-B275-E8ABF85DD370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89" name="avatar">
          <a:extLst>
            <a:ext uri="{FF2B5EF4-FFF2-40B4-BE49-F238E27FC236}">
              <a16:creationId xmlns:a16="http://schemas.microsoft.com/office/drawing/2014/main" id="{6F4B4A3F-B8FF-40C2-9121-378F21AE372B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90" name="avatar">
          <a:extLst>
            <a:ext uri="{FF2B5EF4-FFF2-40B4-BE49-F238E27FC236}">
              <a16:creationId xmlns:a16="http://schemas.microsoft.com/office/drawing/2014/main" id="{8E64C594-9330-4A45-B884-41506B0C1F55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91" name="avatar">
          <a:extLst>
            <a:ext uri="{FF2B5EF4-FFF2-40B4-BE49-F238E27FC236}">
              <a16:creationId xmlns:a16="http://schemas.microsoft.com/office/drawing/2014/main" id="{619531D9-53DC-47AE-B1D0-1B30F255D5B8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92" name="avatar">
          <a:extLst>
            <a:ext uri="{FF2B5EF4-FFF2-40B4-BE49-F238E27FC236}">
              <a16:creationId xmlns:a16="http://schemas.microsoft.com/office/drawing/2014/main" id="{C25B5F29-69DC-41D8-9E97-67B04E3C931D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0</xdr:colOff>
      <xdr:row>5</xdr:row>
      <xdr:rowOff>0</xdr:rowOff>
    </xdr:from>
    <xdr:ext cx="304800" cy="304800"/>
    <xdr:sp macro="" textlink="">
      <xdr:nvSpPr>
        <xdr:cNvPr id="1693" name="avatar">
          <a:extLst>
            <a:ext uri="{FF2B5EF4-FFF2-40B4-BE49-F238E27FC236}">
              <a16:creationId xmlns:a16="http://schemas.microsoft.com/office/drawing/2014/main" id="{7403A171-4A0D-4B25-BAC0-42ECECDCF2BF}"/>
            </a:ext>
          </a:extLst>
        </xdr:cNvPr>
        <xdr:cNvSpPr>
          <a:spLocks noChangeAspect="1" noChangeArrowheads="1"/>
        </xdr:cNvSpPr>
      </xdr:nvSpPr>
      <xdr:spPr bwMode="auto">
        <a:xfrm>
          <a:off x="756361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94" name="avatar">
          <a:extLst>
            <a:ext uri="{FF2B5EF4-FFF2-40B4-BE49-F238E27FC236}">
              <a16:creationId xmlns:a16="http://schemas.microsoft.com/office/drawing/2014/main" id="{7B589F43-2787-41F0-9E25-D3DC6F77F299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95" name="avatar">
          <a:extLst>
            <a:ext uri="{FF2B5EF4-FFF2-40B4-BE49-F238E27FC236}">
              <a16:creationId xmlns:a16="http://schemas.microsoft.com/office/drawing/2014/main" id="{3B2BF46C-247F-4A6C-9B04-BF228B89CBD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96" name="avatar">
          <a:extLst>
            <a:ext uri="{FF2B5EF4-FFF2-40B4-BE49-F238E27FC236}">
              <a16:creationId xmlns:a16="http://schemas.microsoft.com/office/drawing/2014/main" id="{A4E06303-CAA0-41A6-95FC-6C1DB6869988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97" name="avatar">
          <a:extLst>
            <a:ext uri="{FF2B5EF4-FFF2-40B4-BE49-F238E27FC236}">
              <a16:creationId xmlns:a16="http://schemas.microsoft.com/office/drawing/2014/main" id="{979CB558-76C4-4DD8-A302-F8F9F75FDE15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98" name="avatar">
          <a:extLst>
            <a:ext uri="{FF2B5EF4-FFF2-40B4-BE49-F238E27FC236}">
              <a16:creationId xmlns:a16="http://schemas.microsoft.com/office/drawing/2014/main" id="{722A898C-E0E0-45C5-A66A-9F1B9B08AD3C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699" name="avatar">
          <a:extLst>
            <a:ext uri="{FF2B5EF4-FFF2-40B4-BE49-F238E27FC236}">
              <a16:creationId xmlns:a16="http://schemas.microsoft.com/office/drawing/2014/main" id="{31F62E2A-7E42-4815-A776-95F92AC205C1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700" name="avatar">
          <a:extLst>
            <a:ext uri="{FF2B5EF4-FFF2-40B4-BE49-F238E27FC236}">
              <a16:creationId xmlns:a16="http://schemas.microsoft.com/office/drawing/2014/main" id="{93FA2422-CCB4-418B-81E8-F84710B6E1C6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701" name="avatar">
          <a:extLst>
            <a:ext uri="{FF2B5EF4-FFF2-40B4-BE49-F238E27FC236}">
              <a16:creationId xmlns:a16="http://schemas.microsoft.com/office/drawing/2014/main" id="{FBBE83F4-083D-463A-A803-FD1F3343B189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702" name="avatar">
          <a:extLst>
            <a:ext uri="{FF2B5EF4-FFF2-40B4-BE49-F238E27FC236}">
              <a16:creationId xmlns:a16="http://schemas.microsoft.com/office/drawing/2014/main" id="{7CCB8C94-51B5-4199-9F16-A67D42B0648C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0</xdr:colOff>
      <xdr:row>5</xdr:row>
      <xdr:rowOff>0</xdr:rowOff>
    </xdr:from>
    <xdr:ext cx="304800" cy="304800"/>
    <xdr:sp macro="" textlink="">
      <xdr:nvSpPr>
        <xdr:cNvPr id="1703" name="avatar">
          <a:extLst>
            <a:ext uri="{FF2B5EF4-FFF2-40B4-BE49-F238E27FC236}">
              <a16:creationId xmlns:a16="http://schemas.microsoft.com/office/drawing/2014/main" id="{805310D2-513F-4B88-B9B2-8C28DC4D6F3A}"/>
            </a:ext>
          </a:extLst>
        </xdr:cNvPr>
        <xdr:cNvSpPr>
          <a:spLocks noChangeAspect="1" noChangeArrowheads="1"/>
        </xdr:cNvSpPr>
      </xdr:nvSpPr>
      <xdr:spPr bwMode="auto">
        <a:xfrm>
          <a:off x="783107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04" name="avatar">
          <a:extLst>
            <a:ext uri="{FF2B5EF4-FFF2-40B4-BE49-F238E27FC236}">
              <a16:creationId xmlns:a16="http://schemas.microsoft.com/office/drawing/2014/main" id="{87A87FB0-AA15-482A-AD62-FD6A9435B367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05" name="avatar">
          <a:extLst>
            <a:ext uri="{FF2B5EF4-FFF2-40B4-BE49-F238E27FC236}">
              <a16:creationId xmlns:a16="http://schemas.microsoft.com/office/drawing/2014/main" id="{0E2F6759-DDAF-433C-A406-982D20AB906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06" name="avatar">
          <a:extLst>
            <a:ext uri="{FF2B5EF4-FFF2-40B4-BE49-F238E27FC236}">
              <a16:creationId xmlns:a16="http://schemas.microsoft.com/office/drawing/2014/main" id="{B5F05557-39A9-4577-B8FB-CB681546CB9A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07" name="avatar">
          <a:extLst>
            <a:ext uri="{FF2B5EF4-FFF2-40B4-BE49-F238E27FC236}">
              <a16:creationId xmlns:a16="http://schemas.microsoft.com/office/drawing/2014/main" id="{C9027A57-2933-46B2-8B3F-BEB3F9BDB004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08" name="avatar">
          <a:extLst>
            <a:ext uri="{FF2B5EF4-FFF2-40B4-BE49-F238E27FC236}">
              <a16:creationId xmlns:a16="http://schemas.microsoft.com/office/drawing/2014/main" id="{A41189EC-D81E-45BE-B7B9-C90C52FED7BB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09" name="avatar">
          <a:extLst>
            <a:ext uri="{FF2B5EF4-FFF2-40B4-BE49-F238E27FC236}">
              <a16:creationId xmlns:a16="http://schemas.microsoft.com/office/drawing/2014/main" id="{D2D56E61-A1AA-4260-B0BB-6523DFB26A41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0" name="avatar">
          <a:extLst>
            <a:ext uri="{FF2B5EF4-FFF2-40B4-BE49-F238E27FC236}">
              <a16:creationId xmlns:a16="http://schemas.microsoft.com/office/drawing/2014/main" id="{2F69F11B-9952-4DAE-AB11-5AA7E60A2A1E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1" name="avatar">
          <a:extLst>
            <a:ext uri="{FF2B5EF4-FFF2-40B4-BE49-F238E27FC236}">
              <a16:creationId xmlns:a16="http://schemas.microsoft.com/office/drawing/2014/main" id="{D7BFC954-3044-46B1-BFFA-FFA4E7F39A99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2" name="avatar">
          <a:extLst>
            <a:ext uri="{FF2B5EF4-FFF2-40B4-BE49-F238E27FC236}">
              <a16:creationId xmlns:a16="http://schemas.microsoft.com/office/drawing/2014/main" id="{60C4D8B5-4947-4277-BD94-570599435C8A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3" name="avatar">
          <a:extLst>
            <a:ext uri="{FF2B5EF4-FFF2-40B4-BE49-F238E27FC236}">
              <a16:creationId xmlns:a16="http://schemas.microsoft.com/office/drawing/2014/main" id="{88992260-1AB6-419E-A150-2EFDF3FFCD90}"/>
            </a:ext>
          </a:extLst>
        </xdr:cNvPr>
        <xdr:cNvSpPr>
          <a:spLocks noChangeAspect="1" noChangeArrowheads="1"/>
        </xdr:cNvSpPr>
      </xdr:nvSpPr>
      <xdr:spPr bwMode="auto">
        <a:xfrm>
          <a:off x="809853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4" name="avatar">
          <a:extLst>
            <a:ext uri="{FF2B5EF4-FFF2-40B4-BE49-F238E27FC236}">
              <a16:creationId xmlns:a16="http://schemas.microsoft.com/office/drawing/2014/main" id="{4E80E5A5-A1A6-41C2-9DF6-08CA21DB82A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5" name="avatar">
          <a:extLst>
            <a:ext uri="{FF2B5EF4-FFF2-40B4-BE49-F238E27FC236}">
              <a16:creationId xmlns:a16="http://schemas.microsoft.com/office/drawing/2014/main" id="{FE299C6B-4B2C-4480-83E8-5473DBF44023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6" name="avatar">
          <a:extLst>
            <a:ext uri="{FF2B5EF4-FFF2-40B4-BE49-F238E27FC236}">
              <a16:creationId xmlns:a16="http://schemas.microsoft.com/office/drawing/2014/main" id="{B83D4D40-CA13-40A4-8CCC-86084657F7B7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7" name="avatar">
          <a:extLst>
            <a:ext uri="{FF2B5EF4-FFF2-40B4-BE49-F238E27FC236}">
              <a16:creationId xmlns:a16="http://schemas.microsoft.com/office/drawing/2014/main" id="{1C9D4526-FFBC-4B3E-9EC7-CC96BD3BC08A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8" name="avatar">
          <a:extLst>
            <a:ext uri="{FF2B5EF4-FFF2-40B4-BE49-F238E27FC236}">
              <a16:creationId xmlns:a16="http://schemas.microsoft.com/office/drawing/2014/main" id="{9C3E861A-C453-41BA-919E-078ED35AAFF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19" name="avatar">
          <a:extLst>
            <a:ext uri="{FF2B5EF4-FFF2-40B4-BE49-F238E27FC236}">
              <a16:creationId xmlns:a16="http://schemas.microsoft.com/office/drawing/2014/main" id="{C645774E-EC96-4ACA-BEEC-E80D5981A484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20" name="avatar">
          <a:extLst>
            <a:ext uri="{FF2B5EF4-FFF2-40B4-BE49-F238E27FC236}">
              <a16:creationId xmlns:a16="http://schemas.microsoft.com/office/drawing/2014/main" id="{CF0D3A22-E98D-4387-BE86-D0616EDE41B1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21" name="avatar">
          <a:extLst>
            <a:ext uri="{FF2B5EF4-FFF2-40B4-BE49-F238E27FC236}">
              <a16:creationId xmlns:a16="http://schemas.microsoft.com/office/drawing/2014/main" id="{D37C8AA7-C338-401A-B413-15C264A9C2AB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22" name="avatar">
          <a:extLst>
            <a:ext uri="{FF2B5EF4-FFF2-40B4-BE49-F238E27FC236}">
              <a16:creationId xmlns:a16="http://schemas.microsoft.com/office/drawing/2014/main" id="{500338F9-C711-4A73-B519-E7F20C223D0B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80</xdr:col>
      <xdr:colOff>0</xdr:colOff>
      <xdr:row>5</xdr:row>
      <xdr:rowOff>0</xdr:rowOff>
    </xdr:from>
    <xdr:ext cx="304800" cy="304800"/>
    <xdr:sp macro="" textlink="">
      <xdr:nvSpPr>
        <xdr:cNvPr id="1723" name="avatar">
          <a:extLst>
            <a:ext uri="{FF2B5EF4-FFF2-40B4-BE49-F238E27FC236}">
              <a16:creationId xmlns:a16="http://schemas.microsoft.com/office/drawing/2014/main" id="{47D3EE63-22E5-447B-9E05-54626CFA874F}"/>
            </a:ext>
          </a:extLst>
        </xdr:cNvPr>
        <xdr:cNvSpPr>
          <a:spLocks noChangeAspect="1" noChangeArrowheads="1"/>
        </xdr:cNvSpPr>
      </xdr:nvSpPr>
      <xdr:spPr bwMode="auto">
        <a:xfrm>
          <a:off x="836599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24" name="avatar">
          <a:extLst>
            <a:ext uri="{FF2B5EF4-FFF2-40B4-BE49-F238E27FC236}">
              <a16:creationId xmlns:a16="http://schemas.microsoft.com/office/drawing/2014/main" id="{CC1CEAC6-8AAE-4590-800F-493A8D8A71C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25" name="avatar">
          <a:extLst>
            <a:ext uri="{FF2B5EF4-FFF2-40B4-BE49-F238E27FC236}">
              <a16:creationId xmlns:a16="http://schemas.microsoft.com/office/drawing/2014/main" id="{46843F4D-AD42-4402-86A6-95A1572E12B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26" name="avatar">
          <a:extLst>
            <a:ext uri="{FF2B5EF4-FFF2-40B4-BE49-F238E27FC236}">
              <a16:creationId xmlns:a16="http://schemas.microsoft.com/office/drawing/2014/main" id="{EDDAD8B4-64F8-4289-A561-6550AC00A40E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27" name="avatar">
          <a:extLst>
            <a:ext uri="{FF2B5EF4-FFF2-40B4-BE49-F238E27FC236}">
              <a16:creationId xmlns:a16="http://schemas.microsoft.com/office/drawing/2014/main" id="{44202641-DB6B-4E6C-9822-8364879DBF60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28" name="avatar">
          <a:extLst>
            <a:ext uri="{FF2B5EF4-FFF2-40B4-BE49-F238E27FC236}">
              <a16:creationId xmlns:a16="http://schemas.microsoft.com/office/drawing/2014/main" id="{9648245B-C11A-4BB2-8AE8-56BEAD2D763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29" name="avatar">
          <a:extLst>
            <a:ext uri="{FF2B5EF4-FFF2-40B4-BE49-F238E27FC236}">
              <a16:creationId xmlns:a16="http://schemas.microsoft.com/office/drawing/2014/main" id="{5C85C5CA-EB59-4999-8431-DB9868E2E7E1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0" name="avatar">
          <a:extLst>
            <a:ext uri="{FF2B5EF4-FFF2-40B4-BE49-F238E27FC236}">
              <a16:creationId xmlns:a16="http://schemas.microsoft.com/office/drawing/2014/main" id="{7BCC763A-92F6-4466-B633-52A3E4D6F0F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1" name="avatar">
          <a:extLst>
            <a:ext uri="{FF2B5EF4-FFF2-40B4-BE49-F238E27FC236}">
              <a16:creationId xmlns:a16="http://schemas.microsoft.com/office/drawing/2014/main" id="{2AFB6A29-7A05-4294-B0ED-92CA8C758938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2" name="avatar">
          <a:extLst>
            <a:ext uri="{FF2B5EF4-FFF2-40B4-BE49-F238E27FC236}">
              <a16:creationId xmlns:a16="http://schemas.microsoft.com/office/drawing/2014/main" id="{CCAE6988-710E-4C01-BA26-C461D82E310B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3" name="avatar">
          <a:extLst>
            <a:ext uri="{FF2B5EF4-FFF2-40B4-BE49-F238E27FC236}">
              <a16:creationId xmlns:a16="http://schemas.microsoft.com/office/drawing/2014/main" id="{FE977308-B0A3-4ED7-B81B-788C7D0F8154}"/>
            </a:ext>
          </a:extLst>
        </xdr:cNvPr>
        <xdr:cNvSpPr>
          <a:spLocks noChangeAspect="1" noChangeArrowheads="1"/>
        </xdr:cNvSpPr>
      </xdr:nvSpPr>
      <xdr:spPr bwMode="auto">
        <a:xfrm>
          <a:off x="863346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4" name="avatar">
          <a:extLst>
            <a:ext uri="{FF2B5EF4-FFF2-40B4-BE49-F238E27FC236}">
              <a16:creationId xmlns:a16="http://schemas.microsoft.com/office/drawing/2014/main" id="{E789B367-36AB-47C7-8598-1988EA83274F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5" name="avatar">
          <a:extLst>
            <a:ext uri="{FF2B5EF4-FFF2-40B4-BE49-F238E27FC236}">
              <a16:creationId xmlns:a16="http://schemas.microsoft.com/office/drawing/2014/main" id="{1468FD4B-AF4B-4FF6-AE04-8CD5B1888549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6" name="avatar">
          <a:extLst>
            <a:ext uri="{FF2B5EF4-FFF2-40B4-BE49-F238E27FC236}">
              <a16:creationId xmlns:a16="http://schemas.microsoft.com/office/drawing/2014/main" id="{368AD798-AD05-4374-AB34-6EA34B7B79B7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7" name="avatar">
          <a:extLst>
            <a:ext uri="{FF2B5EF4-FFF2-40B4-BE49-F238E27FC236}">
              <a16:creationId xmlns:a16="http://schemas.microsoft.com/office/drawing/2014/main" id="{1F6D143F-69CF-4C20-B4E2-9B35FED33051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8" name="avatar">
          <a:extLst>
            <a:ext uri="{FF2B5EF4-FFF2-40B4-BE49-F238E27FC236}">
              <a16:creationId xmlns:a16="http://schemas.microsoft.com/office/drawing/2014/main" id="{9D34DED7-3B2B-40A3-80F3-EA203112A858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39" name="avatar">
          <a:extLst>
            <a:ext uri="{FF2B5EF4-FFF2-40B4-BE49-F238E27FC236}">
              <a16:creationId xmlns:a16="http://schemas.microsoft.com/office/drawing/2014/main" id="{2EEAD1CC-9365-4B29-88ED-E853599BD099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0" name="avatar">
          <a:extLst>
            <a:ext uri="{FF2B5EF4-FFF2-40B4-BE49-F238E27FC236}">
              <a16:creationId xmlns:a16="http://schemas.microsoft.com/office/drawing/2014/main" id="{097BD8B0-76B4-45FF-A95F-282554A1CD03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1" name="avatar">
          <a:extLst>
            <a:ext uri="{FF2B5EF4-FFF2-40B4-BE49-F238E27FC236}">
              <a16:creationId xmlns:a16="http://schemas.microsoft.com/office/drawing/2014/main" id="{A1718CB5-97EB-40DC-A005-AAA50EA40806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2" name="avatar">
          <a:extLst>
            <a:ext uri="{FF2B5EF4-FFF2-40B4-BE49-F238E27FC236}">
              <a16:creationId xmlns:a16="http://schemas.microsoft.com/office/drawing/2014/main" id="{76F1067D-1978-448C-A723-CBC7490DA67D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3" name="avatar">
          <a:extLst>
            <a:ext uri="{FF2B5EF4-FFF2-40B4-BE49-F238E27FC236}">
              <a16:creationId xmlns:a16="http://schemas.microsoft.com/office/drawing/2014/main" id="{D4228537-E581-44C2-8324-F38D74398BEB}"/>
            </a:ext>
          </a:extLst>
        </xdr:cNvPr>
        <xdr:cNvSpPr>
          <a:spLocks noChangeAspect="1" noChangeArrowheads="1"/>
        </xdr:cNvSpPr>
      </xdr:nvSpPr>
      <xdr:spPr bwMode="auto">
        <a:xfrm>
          <a:off x="89009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4" name="avatar">
          <a:extLst>
            <a:ext uri="{FF2B5EF4-FFF2-40B4-BE49-F238E27FC236}">
              <a16:creationId xmlns:a16="http://schemas.microsoft.com/office/drawing/2014/main" id="{E7184B5E-488D-4A25-BC26-876F268739A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5" name="avatar">
          <a:extLst>
            <a:ext uri="{FF2B5EF4-FFF2-40B4-BE49-F238E27FC236}">
              <a16:creationId xmlns:a16="http://schemas.microsoft.com/office/drawing/2014/main" id="{50E0233A-A8E6-4CC5-A229-CBB53F183C08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6" name="avatar">
          <a:extLst>
            <a:ext uri="{FF2B5EF4-FFF2-40B4-BE49-F238E27FC236}">
              <a16:creationId xmlns:a16="http://schemas.microsoft.com/office/drawing/2014/main" id="{161B1780-0194-460B-BD2B-21811BA31EA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7" name="avatar">
          <a:extLst>
            <a:ext uri="{FF2B5EF4-FFF2-40B4-BE49-F238E27FC236}">
              <a16:creationId xmlns:a16="http://schemas.microsoft.com/office/drawing/2014/main" id="{369580A1-006A-453D-8BAA-BF0FA32510AC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8" name="avatar">
          <a:extLst>
            <a:ext uri="{FF2B5EF4-FFF2-40B4-BE49-F238E27FC236}">
              <a16:creationId xmlns:a16="http://schemas.microsoft.com/office/drawing/2014/main" id="{A9EFB802-9C82-42D3-AA56-B935AB35FDA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49" name="avatar">
          <a:extLst>
            <a:ext uri="{FF2B5EF4-FFF2-40B4-BE49-F238E27FC236}">
              <a16:creationId xmlns:a16="http://schemas.microsoft.com/office/drawing/2014/main" id="{C6A8FE57-FE2F-4BDA-A123-7710C139D4EB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0" name="avatar">
          <a:extLst>
            <a:ext uri="{FF2B5EF4-FFF2-40B4-BE49-F238E27FC236}">
              <a16:creationId xmlns:a16="http://schemas.microsoft.com/office/drawing/2014/main" id="{8E9A379B-4356-415F-B3AD-926C799C695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1" name="avatar">
          <a:extLst>
            <a:ext uri="{FF2B5EF4-FFF2-40B4-BE49-F238E27FC236}">
              <a16:creationId xmlns:a16="http://schemas.microsoft.com/office/drawing/2014/main" id="{81DAAC98-E3E3-4B02-8E06-607B52F71F2E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2" name="avatar">
          <a:extLst>
            <a:ext uri="{FF2B5EF4-FFF2-40B4-BE49-F238E27FC236}">
              <a16:creationId xmlns:a16="http://schemas.microsoft.com/office/drawing/2014/main" id="{10C48596-0CDA-4ADA-BBC0-24A0F939DB54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3" name="avatar">
          <a:extLst>
            <a:ext uri="{FF2B5EF4-FFF2-40B4-BE49-F238E27FC236}">
              <a16:creationId xmlns:a16="http://schemas.microsoft.com/office/drawing/2014/main" id="{53A70FB8-10AC-4435-A480-59C2CFDCBC69}"/>
            </a:ext>
          </a:extLst>
        </xdr:cNvPr>
        <xdr:cNvSpPr>
          <a:spLocks noChangeAspect="1" noChangeArrowheads="1"/>
        </xdr:cNvSpPr>
      </xdr:nvSpPr>
      <xdr:spPr bwMode="auto">
        <a:xfrm>
          <a:off x="916838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4" name="avatar">
          <a:extLst>
            <a:ext uri="{FF2B5EF4-FFF2-40B4-BE49-F238E27FC236}">
              <a16:creationId xmlns:a16="http://schemas.microsoft.com/office/drawing/2014/main" id="{058C5C9D-63FC-43C6-AFD4-8844ABAF01F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5" name="avatar">
          <a:extLst>
            <a:ext uri="{FF2B5EF4-FFF2-40B4-BE49-F238E27FC236}">
              <a16:creationId xmlns:a16="http://schemas.microsoft.com/office/drawing/2014/main" id="{0FA61416-6778-42C3-ABCB-68F08FBE106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6" name="avatar">
          <a:extLst>
            <a:ext uri="{FF2B5EF4-FFF2-40B4-BE49-F238E27FC236}">
              <a16:creationId xmlns:a16="http://schemas.microsoft.com/office/drawing/2014/main" id="{1C92DFED-AE74-4593-81F4-7150EE56A1BC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7" name="avatar">
          <a:extLst>
            <a:ext uri="{FF2B5EF4-FFF2-40B4-BE49-F238E27FC236}">
              <a16:creationId xmlns:a16="http://schemas.microsoft.com/office/drawing/2014/main" id="{53657CE5-E835-429A-A91B-DAF00C91EDC3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8" name="avatar">
          <a:extLst>
            <a:ext uri="{FF2B5EF4-FFF2-40B4-BE49-F238E27FC236}">
              <a16:creationId xmlns:a16="http://schemas.microsoft.com/office/drawing/2014/main" id="{15C6BB8B-66BA-43D0-B17C-1E47F1A2C870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59" name="avatar">
          <a:extLst>
            <a:ext uri="{FF2B5EF4-FFF2-40B4-BE49-F238E27FC236}">
              <a16:creationId xmlns:a16="http://schemas.microsoft.com/office/drawing/2014/main" id="{E8588DC3-DA95-40EF-A266-31C206617BBA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60" name="avatar">
          <a:extLst>
            <a:ext uri="{FF2B5EF4-FFF2-40B4-BE49-F238E27FC236}">
              <a16:creationId xmlns:a16="http://schemas.microsoft.com/office/drawing/2014/main" id="{13D38205-2C33-4986-BD78-FE180E54CA16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61" name="avatar">
          <a:extLst>
            <a:ext uri="{FF2B5EF4-FFF2-40B4-BE49-F238E27FC236}">
              <a16:creationId xmlns:a16="http://schemas.microsoft.com/office/drawing/2014/main" id="{78093CE6-72CA-4D70-A452-2E77BB686E3E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62" name="avatar">
          <a:extLst>
            <a:ext uri="{FF2B5EF4-FFF2-40B4-BE49-F238E27FC236}">
              <a16:creationId xmlns:a16="http://schemas.microsoft.com/office/drawing/2014/main" id="{5C7349E3-CEC7-4816-B762-81599D3A73FF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83</xdr:col>
      <xdr:colOff>0</xdr:colOff>
      <xdr:row>5</xdr:row>
      <xdr:rowOff>0</xdr:rowOff>
    </xdr:from>
    <xdr:ext cx="304800" cy="304800"/>
    <xdr:sp macro="" textlink="">
      <xdr:nvSpPr>
        <xdr:cNvPr id="1763" name="avatar">
          <a:extLst>
            <a:ext uri="{FF2B5EF4-FFF2-40B4-BE49-F238E27FC236}">
              <a16:creationId xmlns:a16="http://schemas.microsoft.com/office/drawing/2014/main" id="{4E9F9542-DA20-4FC6-AC77-AAE4D84F201E}"/>
            </a:ext>
          </a:extLst>
        </xdr:cNvPr>
        <xdr:cNvSpPr>
          <a:spLocks noChangeAspect="1" noChangeArrowheads="1"/>
        </xdr:cNvSpPr>
      </xdr:nvSpPr>
      <xdr:spPr bwMode="auto">
        <a:xfrm>
          <a:off x="943584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64" name="avatar">
          <a:extLst>
            <a:ext uri="{FF2B5EF4-FFF2-40B4-BE49-F238E27FC236}">
              <a16:creationId xmlns:a16="http://schemas.microsoft.com/office/drawing/2014/main" id="{D5F8648E-5858-478F-9645-FB8F85992CC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65" name="avatar">
          <a:extLst>
            <a:ext uri="{FF2B5EF4-FFF2-40B4-BE49-F238E27FC236}">
              <a16:creationId xmlns:a16="http://schemas.microsoft.com/office/drawing/2014/main" id="{F2C06141-DDD6-4E99-A044-FCCC11EFAB89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66" name="avatar">
          <a:extLst>
            <a:ext uri="{FF2B5EF4-FFF2-40B4-BE49-F238E27FC236}">
              <a16:creationId xmlns:a16="http://schemas.microsoft.com/office/drawing/2014/main" id="{ED9D4BC4-557F-4A86-AA13-BA7F5351AB2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67" name="avatar">
          <a:extLst>
            <a:ext uri="{FF2B5EF4-FFF2-40B4-BE49-F238E27FC236}">
              <a16:creationId xmlns:a16="http://schemas.microsoft.com/office/drawing/2014/main" id="{2A04DD1D-D998-4D48-A448-B7C95071C14F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68" name="avatar">
          <a:extLst>
            <a:ext uri="{FF2B5EF4-FFF2-40B4-BE49-F238E27FC236}">
              <a16:creationId xmlns:a16="http://schemas.microsoft.com/office/drawing/2014/main" id="{FFEBFB86-0D52-4A79-9318-A732A6F863F4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69" name="avatar">
          <a:extLst>
            <a:ext uri="{FF2B5EF4-FFF2-40B4-BE49-F238E27FC236}">
              <a16:creationId xmlns:a16="http://schemas.microsoft.com/office/drawing/2014/main" id="{D16787AA-05D7-45AA-9628-E50060232B7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0" name="avatar">
          <a:extLst>
            <a:ext uri="{FF2B5EF4-FFF2-40B4-BE49-F238E27FC236}">
              <a16:creationId xmlns:a16="http://schemas.microsoft.com/office/drawing/2014/main" id="{CEB3BC85-C6FB-4405-AEB1-1FEA64BC8E4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1" name="avatar">
          <a:extLst>
            <a:ext uri="{FF2B5EF4-FFF2-40B4-BE49-F238E27FC236}">
              <a16:creationId xmlns:a16="http://schemas.microsoft.com/office/drawing/2014/main" id="{D9CBFD6E-7474-4AE6-9F0D-297CB9705BE7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2" name="avatar">
          <a:extLst>
            <a:ext uri="{FF2B5EF4-FFF2-40B4-BE49-F238E27FC236}">
              <a16:creationId xmlns:a16="http://schemas.microsoft.com/office/drawing/2014/main" id="{825D2540-D057-46DB-AFA5-40758F3540C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3" name="avatar">
          <a:extLst>
            <a:ext uri="{FF2B5EF4-FFF2-40B4-BE49-F238E27FC236}">
              <a16:creationId xmlns:a16="http://schemas.microsoft.com/office/drawing/2014/main" id="{82E66BD4-406F-4F36-80F1-DA381E0801A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4" name="avatar">
          <a:extLst>
            <a:ext uri="{FF2B5EF4-FFF2-40B4-BE49-F238E27FC236}">
              <a16:creationId xmlns:a16="http://schemas.microsoft.com/office/drawing/2014/main" id="{F4412E56-59F8-4288-9A87-57CF7CCAA70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5" name="avatar">
          <a:extLst>
            <a:ext uri="{FF2B5EF4-FFF2-40B4-BE49-F238E27FC236}">
              <a16:creationId xmlns:a16="http://schemas.microsoft.com/office/drawing/2014/main" id="{5E3F37F3-6876-46D7-9D36-4A7B873C68F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6" name="avatar">
          <a:extLst>
            <a:ext uri="{FF2B5EF4-FFF2-40B4-BE49-F238E27FC236}">
              <a16:creationId xmlns:a16="http://schemas.microsoft.com/office/drawing/2014/main" id="{F86A97B4-91E7-4060-B1DE-4A617B3600F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7" name="avatar">
          <a:extLst>
            <a:ext uri="{FF2B5EF4-FFF2-40B4-BE49-F238E27FC236}">
              <a16:creationId xmlns:a16="http://schemas.microsoft.com/office/drawing/2014/main" id="{52E2BDD5-7E20-432A-8E10-6B9182797935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8" name="avatar">
          <a:extLst>
            <a:ext uri="{FF2B5EF4-FFF2-40B4-BE49-F238E27FC236}">
              <a16:creationId xmlns:a16="http://schemas.microsoft.com/office/drawing/2014/main" id="{22520230-C662-4213-871F-AD832A47993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79" name="avatar">
          <a:extLst>
            <a:ext uri="{FF2B5EF4-FFF2-40B4-BE49-F238E27FC236}">
              <a16:creationId xmlns:a16="http://schemas.microsoft.com/office/drawing/2014/main" id="{21E7E02F-66DC-462A-A516-E5B2965B2436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0" name="avatar">
          <a:extLst>
            <a:ext uri="{FF2B5EF4-FFF2-40B4-BE49-F238E27FC236}">
              <a16:creationId xmlns:a16="http://schemas.microsoft.com/office/drawing/2014/main" id="{6370B263-6B65-4F00-995E-F50D4F07805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1" name="avatar">
          <a:extLst>
            <a:ext uri="{FF2B5EF4-FFF2-40B4-BE49-F238E27FC236}">
              <a16:creationId xmlns:a16="http://schemas.microsoft.com/office/drawing/2014/main" id="{9CB08826-3084-43F7-86F1-20D2D09A6C31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2" name="avatar">
          <a:extLst>
            <a:ext uri="{FF2B5EF4-FFF2-40B4-BE49-F238E27FC236}">
              <a16:creationId xmlns:a16="http://schemas.microsoft.com/office/drawing/2014/main" id="{7C18667B-B9D5-4BD6-93FD-AE5BC2D599C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3" name="avatar">
          <a:extLst>
            <a:ext uri="{FF2B5EF4-FFF2-40B4-BE49-F238E27FC236}">
              <a16:creationId xmlns:a16="http://schemas.microsoft.com/office/drawing/2014/main" id="{EFDAD910-4253-421B-BCCA-6AFD7950097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4" name="avatar">
          <a:extLst>
            <a:ext uri="{FF2B5EF4-FFF2-40B4-BE49-F238E27FC236}">
              <a16:creationId xmlns:a16="http://schemas.microsoft.com/office/drawing/2014/main" id="{8732A691-10EE-48D5-9D6D-021E6416ACB9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5" name="avatar">
          <a:extLst>
            <a:ext uri="{FF2B5EF4-FFF2-40B4-BE49-F238E27FC236}">
              <a16:creationId xmlns:a16="http://schemas.microsoft.com/office/drawing/2014/main" id="{C0C3FC6C-12F6-46DC-8580-2BA60608D5C3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6" name="avatar">
          <a:extLst>
            <a:ext uri="{FF2B5EF4-FFF2-40B4-BE49-F238E27FC236}">
              <a16:creationId xmlns:a16="http://schemas.microsoft.com/office/drawing/2014/main" id="{6ABEFE63-0384-48E0-A0D8-5B1B32C46AD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7" name="avatar">
          <a:extLst>
            <a:ext uri="{FF2B5EF4-FFF2-40B4-BE49-F238E27FC236}">
              <a16:creationId xmlns:a16="http://schemas.microsoft.com/office/drawing/2014/main" id="{00A13FC9-5AB3-42F3-9C67-15FAA7D2D65C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8" name="avatar">
          <a:extLst>
            <a:ext uri="{FF2B5EF4-FFF2-40B4-BE49-F238E27FC236}">
              <a16:creationId xmlns:a16="http://schemas.microsoft.com/office/drawing/2014/main" id="{787160A4-9F5A-4AE3-96EC-1969B90CFF3E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89" name="avatar">
          <a:extLst>
            <a:ext uri="{FF2B5EF4-FFF2-40B4-BE49-F238E27FC236}">
              <a16:creationId xmlns:a16="http://schemas.microsoft.com/office/drawing/2014/main" id="{B1B04E8D-FBE4-4FE3-BA4C-CFE5A2120A02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90" name="avatar">
          <a:extLst>
            <a:ext uri="{FF2B5EF4-FFF2-40B4-BE49-F238E27FC236}">
              <a16:creationId xmlns:a16="http://schemas.microsoft.com/office/drawing/2014/main" id="{3C69CD1A-E62D-4857-8429-79928F04DA3A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91" name="avatar">
          <a:extLst>
            <a:ext uri="{FF2B5EF4-FFF2-40B4-BE49-F238E27FC236}">
              <a16:creationId xmlns:a16="http://schemas.microsoft.com/office/drawing/2014/main" id="{FB77E293-3430-46CA-91B1-74EDCD2B7EF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92" name="avatar">
          <a:extLst>
            <a:ext uri="{FF2B5EF4-FFF2-40B4-BE49-F238E27FC236}">
              <a16:creationId xmlns:a16="http://schemas.microsoft.com/office/drawing/2014/main" id="{28F1DAB3-33C1-49E1-A606-38AE41228B80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86</xdr:col>
      <xdr:colOff>0</xdr:colOff>
      <xdr:row>5</xdr:row>
      <xdr:rowOff>0</xdr:rowOff>
    </xdr:from>
    <xdr:ext cx="304800" cy="304800"/>
    <xdr:sp macro="" textlink="">
      <xdr:nvSpPr>
        <xdr:cNvPr id="1793" name="avatar">
          <a:extLst>
            <a:ext uri="{FF2B5EF4-FFF2-40B4-BE49-F238E27FC236}">
              <a16:creationId xmlns:a16="http://schemas.microsoft.com/office/drawing/2014/main" id="{B9BF704E-FDB6-45E8-9F6C-5BCB1558A2CB}"/>
            </a:ext>
          </a:extLst>
        </xdr:cNvPr>
        <xdr:cNvSpPr>
          <a:spLocks noChangeAspect="1" noChangeArrowheads="1"/>
        </xdr:cNvSpPr>
      </xdr:nvSpPr>
      <xdr:spPr bwMode="auto">
        <a:xfrm>
          <a:off x="970330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94" name="avatar">
          <a:extLst>
            <a:ext uri="{FF2B5EF4-FFF2-40B4-BE49-F238E27FC236}">
              <a16:creationId xmlns:a16="http://schemas.microsoft.com/office/drawing/2014/main" id="{760AF426-889E-4D3E-8684-6CD104DC7637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95" name="avatar">
          <a:extLst>
            <a:ext uri="{FF2B5EF4-FFF2-40B4-BE49-F238E27FC236}">
              <a16:creationId xmlns:a16="http://schemas.microsoft.com/office/drawing/2014/main" id="{EEBFE1CE-97DD-4A7C-AB10-AFA3F020CE4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96" name="avatar">
          <a:extLst>
            <a:ext uri="{FF2B5EF4-FFF2-40B4-BE49-F238E27FC236}">
              <a16:creationId xmlns:a16="http://schemas.microsoft.com/office/drawing/2014/main" id="{1E10493E-5820-4C6E-8E4A-B22E355D538B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97" name="avatar">
          <a:extLst>
            <a:ext uri="{FF2B5EF4-FFF2-40B4-BE49-F238E27FC236}">
              <a16:creationId xmlns:a16="http://schemas.microsoft.com/office/drawing/2014/main" id="{27B44EAD-5E2C-460D-B616-0DF9AA990B1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98" name="avatar">
          <a:extLst>
            <a:ext uri="{FF2B5EF4-FFF2-40B4-BE49-F238E27FC236}">
              <a16:creationId xmlns:a16="http://schemas.microsoft.com/office/drawing/2014/main" id="{83336974-2CC9-4CED-88CE-328578BF6904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799" name="avatar">
          <a:extLst>
            <a:ext uri="{FF2B5EF4-FFF2-40B4-BE49-F238E27FC236}">
              <a16:creationId xmlns:a16="http://schemas.microsoft.com/office/drawing/2014/main" id="{1E98CFE8-EF3C-4B36-96DB-2C03B4CC8763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800" name="avatar">
          <a:extLst>
            <a:ext uri="{FF2B5EF4-FFF2-40B4-BE49-F238E27FC236}">
              <a16:creationId xmlns:a16="http://schemas.microsoft.com/office/drawing/2014/main" id="{A5BCD620-D614-45E7-89CD-9A3647990025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801" name="avatar">
          <a:extLst>
            <a:ext uri="{FF2B5EF4-FFF2-40B4-BE49-F238E27FC236}">
              <a16:creationId xmlns:a16="http://schemas.microsoft.com/office/drawing/2014/main" id="{5205CF54-3BB1-4757-8637-7394A6DC4CA1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802" name="avatar">
          <a:extLst>
            <a:ext uri="{FF2B5EF4-FFF2-40B4-BE49-F238E27FC236}">
              <a16:creationId xmlns:a16="http://schemas.microsoft.com/office/drawing/2014/main" id="{7A7DF38F-ABCC-4381-899E-E2B75297C9CF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89</xdr:col>
      <xdr:colOff>0</xdr:colOff>
      <xdr:row>5</xdr:row>
      <xdr:rowOff>0</xdr:rowOff>
    </xdr:from>
    <xdr:ext cx="304800" cy="304800"/>
    <xdr:sp macro="" textlink="">
      <xdr:nvSpPr>
        <xdr:cNvPr id="1803" name="avatar">
          <a:extLst>
            <a:ext uri="{FF2B5EF4-FFF2-40B4-BE49-F238E27FC236}">
              <a16:creationId xmlns:a16="http://schemas.microsoft.com/office/drawing/2014/main" id="{FC56AE2E-40F5-4298-A2D7-610B9C63E90D}"/>
            </a:ext>
          </a:extLst>
        </xdr:cNvPr>
        <xdr:cNvSpPr>
          <a:spLocks noChangeAspect="1" noChangeArrowheads="1"/>
        </xdr:cNvSpPr>
      </xdr:nvSpPr>
      <xdr:spPr bwMode="auto">
        <a:xfrm>
          <a:off x="997077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04" name="avatar">
          <a:extLst>
            <a:ext uri="{FF2B5EF4-FFF2-40B4-BE49-F238E27FC236}">
              <a16:creationId xmlns:a16="http://schemas.microsoft.com/office/drawing/2014/main" id="{9A277FF9-7F8D-44CA-AFFE-3BC7C974ED5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05" name="avatar">
          <a:extLst>
            <a:ext uri="{FF2B5EF4-FFF2-40B4-BE49-F238E27FC236}">
              <a16:creationId xmlns:a16="http://schemas.microsoft.com/office/drawing/2014/main" id="{F73CC6F9-E328-4F6A-9BED-5E1A2F4AE8D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06" name="avatar">
          <a:extLst>
            <a:ext uri="{FF2B5EF4-FFF2-40B4-BE49-F238E27FC236}">
              <a16:creationId xmlns:a16="http://schemas.microsoft.com/office/drawing/2014/main" id="{BBD3DB29-728C-4616-913C-3A63C943639E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07" name="avatar">
          <a:extLst>
            <a:ext uri="{FF2B5EF4-FFF2-40B4-BE49-F238E27FC236}">
              <a16:creationId xmlns:a16="http://schemas.microsoft.com/office/drawing/2014/main" id="{8583F577-C9CB-4A71-83A1-F5845065311F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08" name="avatar">
          <a:extLst>
            <a:ext uri="{FF2B5EF4-FFF2-40B4-BE49-F238E27FC236}">
              <a16:creationId xmlns:a16="http://schemas.microsoft.com/office/drawing/2014/main" id="{E4F0F0DD-FFFF-4101-95C9-1C8C00B7C620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09" name="avatar">
          <a:extLst>
            <a:ext uri="{FF2B5EF4-FFF2-40B4-BE49-F238E27FC236}">
              <a16:creationId xmlns:a16="http://schemas.microsoft.com/office/drawing/2014/main" id="{AE3F1E4B-FC06-4A5E-82A6-3393EEBD5B2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10" name="avatar">
          <a:extLst>
            <a:ext uri="{FF2B5EF4-FFF2-40B4-BE49-F238E27FC236}">
              <a16:creationId xmlns:a16="http://schemas.microsoft.com/office/drawing/2014/main" id="{AC690C28-D1A3-4069-821C-A853D840EF15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11" name="avatar">
          <a:extLst>
            <a:ext uri="{FF2B5EF4-FFF2-40B4-BE49-F238E27FC236}">
              <a16:creationId xmlns:a16="http://schemas.microsoft.com/office/drawing/2014/main" id="{855925B8-8793-4291-88E0-991F5E06F349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12" name="avatar">
          <a:extLst>
            <a:ext uri="{FF2B5EF4-FFF2-40B4-BE49-F238E27FC236}">
              <a16:creationId xmlns:a16="http://schemas.microsoft.com/office/drawing/2014/main" id="{46651397-CD96-497F-AE8D-20ECAC3019FA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92</xdr:col>
      <xdr:colOff>0</xdr:colOff>
      <xdr:row>5</xdr:row>
      <xdr:rowOff>0</xdr:rowOff>
    </xdr:from>
    <xdr:ext cx="304800" cy="304800"/>
    <xdr:sp macro="" textlink="">
      <xdr:nvSpPr>
        <xdr:cNvPr id="1813" name="avatar">
          <a:extLst>
            <a:ext uri="{FF2B5EF4-FFF2-40B4-BE49-F238E27FC236}">
              <a16:creationId xmlns:a16="http://schemas.microsoft.com/office/drawing/2014/main" id="{896E9476-B8D5-4600-8F57-526167593C02}"/>
            </a:ext>
          </a:extLst>
        </xdr:cNvPr>
        <xdr:cNvSpPr>
          <a:spLocks noChangeAspect="1" noChangeArrowheads="1"/>
        </xdr:cNvSpPr>
      </xdr:nvSpPr>
      <xdr:spPr bwMode="auto">
        <a:xfrm>
          <a:off x="1023823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14" name="avatar">
          <a:extLst>
            <a:ext uri="{FF2B5EF4-FFF2-40B4-BE49-F238E27FC236}">
              <a16:creationId xmlns:a16="http://schemas.microsoft.com/office/drawing/2014/main" id="{4A067CCC-6190-4B2F-8359-F436D775FD3E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15" name="avatar">
          <a:extLst>
            <a:ext uri="{FF2B5EF4-FFF2-40B4-BE49-F238E27FC236}">
              <a16:creationId xmlns:a16="http://schemas.microsoft.com/office/drawing/2014/main" id="{0DF2F6A0-4646-47B6-87BE-AF4808544D8B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16" name="avatar">
          <a:extLst>
            <a:ext uri="{FF2B5EF4-FFF2-40B4-BE49-F238E27FC236}">
              <a16:creationId xmlns:a16="http://schemas.microsoft.com/office/drawing/2014/main" id="{9A0B35CF-BF44-4737-B485-4C040B9D85B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17" name="avatar">
          <a:extLst>
            <a:ext uri="{FF2B5EF4-FFF2-40B4-BE49-F238E27FC236}">
              <a16:creationId xmlns:a16="http://schemas.microsoft.com/office/drawing/2014/main" id="{28405AC1-48E2-47B4-BC72-C713F4C3DCB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18" name="avatar">
          <a:extLst>
            <a:ext uri="{FF2B5EF4-FFF2-40B4-BE49-F238E27FC236}">
              <a16:creationId xmlns:a16="http://schemas.microsoft.com/office/drawing/2014/main" id="{6CC4EF2B-3304-49C8-8528-48AF9BB8C3D8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19" name="avatar">
          <a:extLst>
            <a:ext uri="{FF2B5EF4-FFF2-40B4-BE49-F238E27FC236}">
              <a16:creationId xmlns:a16="http://schemas.microsoft.com/office/drawing/2014/main" id="{D2550543-D588-43B4-AA89-CCCDBDF5C965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20" name="avatar">
          <a:extLst>
            <a:ext uri="{FF2B5EF4-FFF2-40B4-BE49-F238E27FC236}">
              <a16:creationId xmlns:a16="http://schemas.microsoft.com/office/drawing/2014/main" id="{1094106F-50C0-4574-9E23-AAAFD08B94E7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21" name="avatar">
          <a:extLst>
            <a:ext uri="{FF2B5EF4-FFF2-40B4-BE49-F238E27FC236}">
              <a16:creationId xmlns:a16="http://schemas.microsoft.com/office/drawing/2014/main" id="{0FEE58BF-062E-4887-96A3-1AC00DE651E1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22" name="avatar">
          <a:extLst>
            <a:ext uri="{FF2B5EF4-FFF2-40B4-BE49-F238E27FC236}">
              <a16:creationId xmlns:a16="http://schemas.microsoft.com/office/drawing/2014/main" id="{2EA47C34-CC39-4058-B4BB-BB44CD9FB92D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95</xdr:col>
      <xdr:colOff>0</xdr:colOff>
      <xdr:row>5</xdr:row>
      <xdr:rowOff>0</xdr:rowOff>
    </xdr:from>
    <xdr:ext cx="304800" cy="304800"/>
    <xdr:sp macro="" textlink="">
      <xdr:nvSpPr>
        <xdr:cNvPr id="1823" name="avatar">
          <a:extLst>
            <a:ext uri="{FF2B5EF4-FFF2-40B4-BE49-F238E27FC236}">
              <a16:creationId xmlns:a16="http://schemas.microsoft.com/office/drawing/2014/main" id="{6382340A-4B3B-464E-A831-9B22C6B687C0}"/>
            </a:ext>
          </a:extLst>
        </xdr:cNvPr>
        <xdr:cNvSpPr>
          <a:spLocks noChangeAspect="1" noChangeArrowheads="1"/>
        </xdr:cNvSpPr>
      </xdr:nvSpPr>
      <xdr:spPr bwMode="auto">
        <a:xfrm>
          <a:off x="1050569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24" name="avatar">
          <a:extLst>
            <a:ext uri="{FF2B5EF4-FFF2-40B4-BE49-F238E27FC236}">
              <a16:creationId xmlns:a16="http://schemas.microsoft.com/office/drawing/2014/main" id="{8B3068A7-FE00-43F9-9359-97625CEC837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25" name="avatar">
          <a:extLst>
            <a:ext uri="{FF2B5EF4-FFF2-40B4-BE49-F238E27FC236}">
              <a16:creationId xmlns:a16="http://schemas.microsoft.com/office/drawing/2014/main" id="{F3708A5B-4F75-4994-AF51-3E730A51C25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26" name="avatar">
          <a:extLst>
            <a:ext uri="{FF2B5EF4-FFF2-40B4-BE49-F238E27FC236}">
              <a16:creationId xmlns:a16="http://schemas.microsoft.com/office/drawing/2014/main" id="{D5B599BC-5363-4894-A028-F687F6BDEB7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27" name="avatar">
          <a:extLst>
            <a:ext uri="{FF2B5EF4-FFF2-40B4-BE49-F238E27FC236}">
              <a16:creationId xmlns:a16="http://schemas.microsoft.com/office/drawing/2014/main" id="{0078EB9D-5D9E-4AAF-9DD8-911F3ABE8088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28" name="avatar">
          <a:extLst>
            <a:ext uri="{FF2B5EF4-FFF2-40B4-BE49-F238E27FC236}">
              <a16:creationId xmlns:a16="http://schemas.microsoft.com/office/drawing/2014/main" id="{5EF4E996-1A60-4583-8226-1F21FDC6388B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29" name="avatar">
          <a:extLst>
            <a:ext uri="{FF2B5EF4-FFF2-40B4-BE49-F238E27FC236}">
              <a16:creationId xmlns:a16="http://schemas.microsoft.com/office/drawing/2014/main" id="{62B00B7E-1829-4CBD-A95E-50A60AB6BDAF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30" name="avatar">
          <a:extLst>
            <a:ext uri="{FF2B5EF4-FFF2-40B4-BE49-F238E27FC236}">
              <a16:creationId xmlns:a16="http://schemas.microsoft.com/office/drawing/2014/main" id="{E09E2047-BFA6-455A-9511-205499A88C61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31" name="avatar">
          <a:extLst>
            <a:ext uri="{FF2B5EF4-FFF2-40B4-BE49-F238E27FC236}">
              <a16:creationId xmlns:a16="http://schemas.microsoft.com/office/drawing/2014/main" id="{9B111625-129D-4325-A6E1-C09417159197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32" name="avatar">
          <a:extLst>
            <a:ext uri="{FF2B5EF4-FFF2-40B4-BE49-F238E27FC236}">
              <a16:creationId xmlns:a16="http://schemas.microsoft.com/office/drawing/2014/main" id="{1D92930A-E5FC-440A-A5B6-6C3FEBD4F0F6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98</xdr:col>
      <xdr:colOff>0</xdr:colOff>
      <xdr:row>5</xdr:row>
      <xdr:rowOff>0</xdr:rowOff>
    </xdr:from>
    <xdr:ext cx="304800" cy="304800"/>
    <xdr:sp macro="" textlink="">
      <xdr:nvSpPr>
        <xdr:cNvPr id="1833" name="avatar">
          <a:extLst>
            <a:ext uri="{FF2B5EF4-FFF2-40B4-BE49-F238E27FC236}">
              <a16:creationId xmlns:a16="http://schemas.microsoft.com/office/drawing/2014/main" id="{6F5E5571-DBE0-4092-8D9C-BEAE5CE7F5B0}"/>
            </a:ext>
          </a:extLst>
        </xdr:cNvPr>
        <xdr:cNvSpPr>
          <a:spLocks noChangeAspect="1" noChangeArrowheads="1"/>
        </xdr:cNvSpPr>
      </xdr:nvSpPr>
      <xdr:spPr bwMode="auto">
        <a:xfrm>
          <a:off x="1077315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34" name="avatar">
          <a:extLst>
            <a:ext uri="{FF2B5EF4-FFF2-40B4-BE49-F238E27FC236}">
              <a16:creationId xmlns:a16="http://schemas.microsoft.com/office/drawing/2014/main" id="{D4FF3312-597F-465A-BC72-969C7398C9B8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35" name="avatar">
          <a:extLst>
            <a:ext uri="{FF2B5EF4-FFF2-40B4-BE49-F238E27FC236}">
              <a16:creationId xmlns:a16="http://schemas.microsoft.com/office/drawing/2014/main" id="{790A2147-65A5-42C5-96A3-A6FEDE3107CE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36" name="avatar">
          <a:extLst>
            <a:ext uri="{FF2B5EF4-FFF2-40B4-BE49-F238E27FC236}">
              <a16:creationId xmlns:a16="http://schemas.microsoft.com/office/drawing/2014/main" id="{11370E56-C860-4761-9FA4-A51E60487CC3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37" name="avatar">
          <a:extLst>
            <a:ext uri="{FF2B5EF4-FFF2-40B4-BE49-F238E27FC236}">
              <a16:creationId xmlns:a16="http://schemas.microsoft.com/office/drawing/2014/main" id="{AEB9F7C1-DE2C-4D13-9C53-DED8ACA6AF33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38" name="avatar">
          <a:extLst>
            <a:ext uri="{FF2B5EF4-FFF2-40B4-BE49-F238E27FC236}">
              <a16:creationId xmlns:a16="http://schemas.microsoft.com/office/drawing/2014/main" id="{940030EB-8C13-44DC-816C-77B9148D6EFC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39" name="avatar">
          <a:extLst>
            <a:ext uri="{FF2B5EF4-FFF2-40B4-BE49-F238E27FC236}">
              <a16:creationId xmlns:a16="http://schemas.microsoft.com/office/drawing/2014/main" id="{D2F32FB5-19AA-4881-AAA1-F2EF20C87F0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40" name="avatar">
          <a:extLst>
            <a:ext uri="{FF2B5EF4-FFF2-40B4-BE49-F238E27FC236}">
              <a16:creationId xmlns:a16="http://schemas.microsoft.com/office/drawing/2014/main" id="{1468F31F-DD7D-4C0E-96BC-D948ABC0B8A7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41" name="avatar">
          <a:extLst>
            <a:ext uri="{FF2B5EF4-FFF2-40B4-BE49-F238E27FC236}">
              <a16:creationId xmlns:a16="http://schemas.microsoft.com/office/drawing/2014/main" id="{62CED9FB-784B-4E08-B94F-0A565B7150E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42" name="avatar">
          <a:extLst>
            <a:ext uri="{FF2B5EF4-FFF2-40B4-BE49-F238E27FC236}">
              <a16:creationId xmlns:a16="http://schemas.microsoft.com/office/drawing/2014/main" id="{D3E65350-5324-44FE-B138-407D983F4C36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101</xdr:col>
      <xdr:colOff>0</xdr:colOff>
      <xdr:row>5</xdr:row>
      <xdr:rowOff>0</xdr:rowOff>
    </xdr:from>
    <xdr:ext cx="304800" cy="304800"/>
    <xdr:sp macro="" textlink="">
      <xdr:nvSpPr>
        <xdr:cNvPr id="1843" name="avatar">
          <a:extLst>
            <a:ext uri="{FF2B5EF4-FFF2-40B4-BE49-F238E27FC236}">
              <a16:creationId xmlns:a16="http://schemas.microsoft.com/office/drawing/2014/main" id="{E3DB0080-F454-4F10-9031-96BFD8D5BFA8}"/>
            </a:ext>
          </a:extLst>
        </xdr:cNvPr>
        <xdr:cNvSpPr>
          <a:spLocks noChangeAspect="1" noChangeArrowheads="1"/>
        </xdr:cNvSpPr>
      </xdr:nvSpPr>
      <xdr:spPr bwMode="auto">
        <a:xfrm>
          <a:off x="1104061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44" name="avatar">
          <a:extLst>
            <a:ext uri="{FF2B5EF4-FFF2-40B4-BE49-F238E27FC236}">
              <a16:creationId xmlns:a16="http://schemas.microsoft.com/office/drawing/2014/main" id="{357D028C-A16A-445E-9B58-C6DF6046FFE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45" name="avatar">
          <a:extLst>
            <a:ext uri="{FF2B5EF4-FFF2-40B4-BE49-F238E27FC236}">
              <a16:creationId xmlns:a16="http://schemas.microsoft.com/office/drawing/2014/main" id="{B3140F4C-21D0-4F97-8867-BA701A481B9B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46" name="avatar">
          <a:extLst>
            <a:ext uri="{FF2B5EF4-FFF2-40B4-BE49-F238E27FC236}">
              <a16:creationId xmlns:a16="http://schemas.microsoft.com/office/drawing/2014/main" id="{C49DF602-BB83-410C-A0B5-4B276F3C4F9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47" name="avatar">
          <a:extLst>
            <a:ext uri="{FF2B5EF4-FFF2-40B4-BE49-F238E27FC236}">
              <a16:creationId xmlns:a16="http://schemas.microsoft.com/office/drawing/2014/main" id="{57AF1F89-BC4C-40C8-92F2-F0E9A5A4394D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48" name="avatar">
          <a:extLst>
            <a:ext uri="{FF2B5EF4-FFF2-40B4-BE49-F238E27FC236}">
              <a16:creationId xmlns:a16="http://schemas.microsoft.com/office/drawing/2014/main" id="{4C6E92B1-E24B-41EA-B00B-87350B751CF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49" name="avatar">
          <a:extLst>
            <a:ext uri="{FF2B5EF4-FFF2-40B4-BE49-F238E27FC236}">
              <a16:creationId xmlns:a16="http://schemas.microsoft.com/office/drawing/2014/main" id="{1A584B99-4228-4995-B054-8800DC0DA142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50" name="avatar">
          <a:extLst>
            <a:ext uri="{FF2B5EF4-FFF2-40B4-BE49-F238E27FC236}">
              <a16:creationId xmlns:a16="http://schemas.microsoft.com/office/drawing/2014/main" id="{E57EA18F-2F2C-47E1-BF62-4BF4DBCCE76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51" name="avatar">
          <a:extLst>
            <a:ext uri="{FF2B5EF4-FFF2-40B4-BE49-F238E27FC236}">
              <a16:creationId xmlns:a16="http://schemas.microsoft.com/office/drawing/2014/main" id="{E6BD3E37-BD1F-4580-A618-3C875CE85599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52" name="avatar">
          <a:extLst>
            <a:ext uri="{FF2B5EF4-FFF2-40B4-BE49-F238E27FC236}">
              <a16:creationId xmlns:a16="http://schemas.microsoft.com/office/drawing/2014/main" id="{55703B14-DE1E-41C6-B254-03243A134BC4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104</xdr:col>
      <xdr:colOff>0</xdr:colOff>
      <xdr:row>5</xdr:row>
      <xdr:rowOff>0</xdr:rowOff>
    </xdr:from>
    <xdr:ext cx="304800" cy="304800"/>
    <xdr:sp macro="" textlink="">
      <xdr:nvSpPr>
        <xdr:cNvPr id="1853" name="avatar">
          <a:extLst>
            <a:ext uri="{FF2B5EF4-FFF2-40B4-BE49-F238E27FC236}">
              <a16:creationId xmlns:a16="http://schemas.microsoft.com/office/drawing/2014/main" id="{0AA43548-2F77-40A5-B09A-0374AA8A738F}"/>
            </a:ext>
          </a:extLst>
        </xdr:cNvPr>
        <xdr:cNvSpPr>
          <a:spLocks noChangeAspect="1" noChangeArrowheads="1"/>
        </xdr:cNvSpPr>
      </xdr:nvSpPr>
      <xdr:spPr bwMode="auto">
        <a:xfrm>
          <a:off x="1130808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54" name="avatar">
          <a:extLst>
            <a:ext uri="{FF2B5EF4-FFF2-40B4-BE49-F238E27FC236}">
              <a16:creationId xmlns:a16="http://schemas.microsoft.com/office/drawing/2014/main" id="{A8A7FDA9-B812-46F5-B254-C8A54AA10F71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55" name="avatar">
          <a:extLst>
            <a:ext uri="{FF2B5EF4-FFF2-40B4-BE49-F238E27FC236}">
              <a16:creationId xmlns:a16="http://schemas.microsoft.com/office/drawing/2014/main" id="{F18A9490-3FC2-4EB1-A039-3435E6323FF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56" name="avatar">
          <a:extLst>
            <a:ext uri="{FF2B5EF4-FFF2-40B4-BE49-F238E27FC236}">
              <a16:creationId xmlns:a16="http://schemas.microsoft.com/office/drawing/2014/main" id="{9BC5E62E-8661-4E0E-AADD-1E8E2399EC67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57" name="avatar">
          <a:extLst>
            <a:ext uri="{FF2B5EF4-FFF2-40B4-BE49-F238E27FC236}">
              <a16:creationId xmlns:a16="http://schemas.microsoft.com/office/drawing/2014/main" id="{A7A4C651-C1BD-49DC-AFAA-D17AEA8F3E5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58" name="avatar">
          <a:extLst>
            <a:ext uri="{FF2B5EF4-FFF2-40B4-BE49-F238E27FC236}">
              <a16:creationId xmlns:a16="http://schemas.microsoft.com/office/drawing/2014/main" id="{6255C44E-8F41-48F1-B835-CBF577DEA731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59" name="avatar">
          <a:extLst>
            <a:ext uri="{FF2B5EF4-FFF2-40B4-BE49-F238E27FC236}">
              <a16:creationId xmlns:a16="http://schemas.microsoft.com/office/drawing/2014/main" id="{E7952CEA-2D12-48A7-BCB1-9A68FC9A7AB0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60" name="avatar">
          <a:extLst>
            <a:ext uri="{FF2B5EF4-FFF2-40B4-BE49-F238E27FC236}">
              <a16:creationId xmlns:a16="http://schemas.microsoft.com/office/drawing/2014/main" id="{F65DCAA4-1656-425D-9EB6-CB37E42263E4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61" name="avatar">
          <a:extLst>
            <a:ext uri="{FF2B5EF4-FFF2-40B4-BE49-F238E27FC236}">
              <a16:creationId xmlns:a16="http://schemas.microsoft.com/office/drawing/2014/main" id="{7777F7EB-C147-4787-BDAF-9AC8899BE953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62" name="avatar">
          <a:extLst>
            <a:ext uri="{FF2B5EF4-FFF2-40B4-BE49-F238E27FC236}">
              <a16:creationId xmlns:a16="http://schemas.microsoft.com/office/drawing/2014/main" id="{17EE3868-8952-4842-97AB-6EF16AD3C335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107</xdr:col>
      <xdr:colOff>0</xdr:colOff>
      <xdr:row>5</xdr:row>
      <xdr:rowOff>0</xdr:rowOff>
    </xdr:from>
    <xdr:ext cx="304800" cy="304800"/>
    <xdr:sp macro="" textlink="">
      <xdr:nvSpPr>
        <xdr:cNvPr id="1863" name="avatar">
          <a:extLst>
            <a:ext uri="{FF2B5EF4-FFF2-40B4-BE49-F238E27FC236}">
              <a16:creationId xmlns:a16="http://schemas.microsoft.com/office/drawing/2014/main" id="{A02A7904-9D3A-4688-A54F-236F40C5A660}"/>
            </a:ext>
          </a:extLst>
        </xdr:cNvPr>
        <xdr:cNvSpPr>
          <a:spLocks noChangeAspect="1" noChangeArrowheads="1"/>
        </xdr:cNvSpPr>
      </xdr:nvSpPr>
      <xdr:spPr bwMode="auto">
        <a:xfrm>
          <a:off x="1157554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64" name="avatar">
          <a:extLst>
            <a:ext uri="{FF2B5EF4-FFF2-40B4-BE49-F238E27FC236}">
              <a16:creationId xmlns:a16="http://schemas.microsoft.com/office/drawing/2014/main" id="{9BBF46E8-9D6A-4925-A847-A3E5DBDA9CBC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65" name="avatar">
          <a:extLst>
            <a:ext uri="{FF2B5EF4-FFF2-40B4-BE49-F238E27FC236}">
              <a16:creationId xmlns:a16="http://schemas.microsoft.com/office/drawing/2014/main" id="{7776958E-050D-4282-B2A7-394350595B1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66" name="avatar">
          <a:extLst>
            <a:ext uri="{FF2B5EF4-FFF2-40B4-BE49-F238E27FC236}">
              <a16:creationId xmlns:a16="http://schemas.microsoft.com/office/drawing/2014/main" id="{84DB32B3-C945-4DA4-B711-842B58DE8D1B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67" name="avatar">
          <a:extLst>
            <a:ext uri="{FF2B5EF4-FFF2-40B4-BE49-F238E27FC236}">
              <a16:creationId xmlns:a16="http://schemas.microsoft.com/office/drawing/2014/main" id="{39EB2520-0DEB-4242-9B70-212A50745F66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68" name="avatar">
          <a:extLst>
            <a:ext uri="{FF2B5EF4-FFF2-40B4-BE49-F238E27FC236}">
              <a16:creationId xmlns:a16="http://schemas.microsoft.com/office/drawing/2014/main" id="{F5343247-FF3B-48A9-B887-B334F7CF87FF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69" name="avatar">
          <a:extLst>
            <a:ext uri="{FF2B5EF4-FFF2-40B4-BE49-F238E27FC236}">
              <a16:creationId xmlns:a16="http://schemas.microsoft.com/office/drawing/2014/main" id="{499A6841-3A04-4264-A291-C3C6760B7FA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70" name="avatar">
          <a:extLst>
            <a:ext uri="{FF2B5EF4-FFF2-40B4-BE49-F238E27FC236}">
              <a16:creationId xmlns:a16="http://schemas.microsoft.com/office/drawing/2014/main" id="{E56CB3D1-310B-469D-B573-318C0728E783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71" name="avatar">
          <a:extLst>
            <a:ext uri="{FF2B5EF4-FFF2-40B4-BE49-F238E27FC236}">
              <a16:creationId xmlns:a16="http://schemas.microsoft.com/office/drawing/2014/main" id="{3B511F02-0419-4A5F-B44E-B705BCB8BBC7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72" name="avatar">
          <a:extLst>
            <a:ext uri="{FF2B5EF4-FFF2-40B4-BE49-F238E27FC236}">
              <a16:creationId xmlns:a16="http://schemas.microsoft.com/office/drawing/2014/main" id="{12F9262C-4FC3-4689-A36F-44499BCD56B2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110</xdr:col>
      <xdr:colOff>0</xdr:colOff>
      <xdr:row>5</xdr:row>
      <xdr:rowOff>0</xdr:rowOff>
    </xdr:from>
    <xdr:ext cx="304800" cy="304800"/>
    <xdr:sp macro="" textlink="">
      <xdr:nvSpPr>
        <xdr:cNvPr id="1873" name="avatar">
          <a:extLst>
            <a:ext uri="{FF2B5EF4-FFF2-40B4-BE49-F238E27FC236}">
              <a16:creationId xmlns:a16="http://schemas.microsoft.com/office/drawing/2014/main" id="{6256CF4C-5980-424B-96CD-1DC20713E135}"/>
            </a:ext>
          </a:extLst>
        </xdr:cNvPr>
        <xdr:cNvSpPr>
          <a:spLocks noChangeAspect="1" noChangeArrowheads="1"/>
        </xdr:cNvSpPr>
      </xdr:nvSpPr>
      <xdr:spPr bwMode="auto">
        <a:xfrm>
          <a:off x="11843004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74" name="avatar">
          <a:extLst>
            <a:ext uri="{FF2B5EF4-FFF2-40B4-BE49-F238E27FC236}">
              <a16:creationId xmlns:a16="http://schemas.microsoft.com/office/drawing/2014/main" id="{2728CA6C-0280-4637-9D1D-217DE134390B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75" name="avatar">
          <a:extLst>
            <a:ext uri="{FF2B5EF4-FFF2-40B4-BE49-F238E27FC236}">
              <a16:creationId xmlns:a16="http://schemas.microsoft.com/office/drawing/2014/main" id="{31DB1202-F051-4624-B731-82645E31A8A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76" name="avatar">
          <a:extLst>
            <a:ext uri="{FF2B5EF4-FFF2-40B4-BE49-F238E27FC236}">
              <a16:creationId xmlns:a16="http://schemas.microsoft.com/office/drawing/2014/main" id="{2B9C25D8-F6BE-482D-B080-9958927B2292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77" name="avatar">
          <a:extLst>
            <a:ext uri="{FF2B5EF4-FFF2-40B4-BE49-F238E27FC236}">
              <a16:creationId xmlns:a16="http://schemas.microsoft.com/office/drawing/2014/main" id="{368E462E-8DB2-41A0-AF5D-AF1A1AD58B93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78" name="avatar">
          <a:extLst>
            <a:ext uri="{FF2B5EF4-FFF2-40B4-BE49-F238E27FC236}">
              <a16:creationId xmlns:a16="http://schemas.microsoft.com/office/drawing/2014/main" id="{BF7C0836-61D2-49A0-8C79-2F2B7CD5B2BF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79" name="avatar">
          <a:extLst>
            <a:ext uri="{FF2B5EF4-FFF2-40B4-BE49-F238E27FC236}">
              <a16:creationId xmlns:a16="http://schemas.microsoft.com/office/drawing/2014/main" id="{DD32BF81-6D86-425B-9A94-65B65591EF01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80" name="avatar">
          <a:extLst>
            <a:ext uri="{FF2B5EF4-FFF2-40B4-BE49-F238E27FC236}">
              <a16:creationId xmlns:a16="http://schemas.microsoft.com/office/drawing/2014/main" id="{FD6FFFBE-9039-4AF2-B2C0-C1A466847254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81" name="avatar">
          <a:extLst>
            <a:ext uri="{FF2B5EF4-FFF2-40B4-BE49-F238E27FC236}">
              <a16:creationId xmlns:a16="http://schemas.microsoft.com/office/drawing/2014/main" id="{AA7A8C60-A39E-43B1-BE83-CE1F5FDE9348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82" name="avatar">
          <a:extLst>
            <a:ext uri="{FF2B5EF4-FFF2-40B4-BE49-F238E27FC236}">
              <a16:creationId xmlns:a16="http://schemas.microsoft.com/office/drawing/2014/main" id="{0023FEF6-8387-4E46-96CD-3FF2F52353CF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113</xdr:col>
      <xdr:colOff>0</xdr:colOff>
      <xdr:row>5</xdr:row>
      <xdr:rowOff>0</xdr:rowOff>
    </xdr:from>
    <xdr:ext cx="304800" cy="304800"/>
    <xdr:sp macro="" textlink="">
      <xdr:nvSpPr>
        <xdr:cNvPr id="1883" name="avatar">
          <a:extLst>
            <a:ext uri="{FF2B5EF4-FFF2-40B4-BE49-F238E27FC236}">
              <a16:creationId xmlns:a16="http://schemas.microsoft.com/office/drawing/2014/main" id="{E76B057C-10F7-48ED-8E2F-503E0E2FF5A9}"/>
            </a:ext>
          </a:extLst>
        </xdr:cNvPr>
        <xdr:cNvSpPr>
          <a:spLocks noChangeAspect="1" noChangeArrowheads="1"/>
        </xdr:cNvSpPr>
      </xdr:nvSpPr>
      <xdr:spPr bwMode="auto">
        <a:xfrm>
          <a:off x="12110466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84" name="avatar">
          <a:extLst>
            <a:ext uri="{FF2B5EF4-FFF2-40B4-BE49-F238E27FC236}">
              <a16:creationId xmlns:a16="http://schemas.microsoft.com/office/drawing/2014/main" id="{0AFCB7EE-69F7-4047-A826-63C9CE52103E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85" name="avatar">
          <a:extLst>
            <a:ext uri="{FF2B5EF4-FFF2-40B4-BE49-F238E27FC236}">
              <a16:creationId xmlns:a16="http://schemas.microsoft.com/office/drawing/2014/main" id="{15571F16-2510-4E0B-AD77-0B2C1CC70FE3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86" name="avatar">
          <a:extLst>
            <a:ext uri="{FF2B5EF4-FFF2-40B4-BE49-F238E27FC236}">
              <a16:creationId xmlns:a16="http://schemas.microsoft.com/office/drawing/2014/main" id="{E59DC92F-0696-4063-9A2C-A688900B5952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87" name="avatar">
          <a:extLst>
            <a:ext uri="{FF2B5EF4-FFF2-40B4-BE49-F238E27FC236}">
              <a16:creationId xmlns:a16="http://schemas.microsoft.com/office/drawing/2014/main" id="{EABF4C87-FF5C-4EA2-8D26-383DC93DF937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88" name="avatar">
          <a:extLst>
            <a:ext uri="{FF2B5EF4-FFF2-40B4-BE49-F238E27FC236}">
              <a16:creationId xmlns:a16="http://schemas.microsoft.com/office/drawing/2014/main" id="{23D71E39-68DE-465F-8E28-F716F025AAFE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89" name="avatar">
          <a:extLst>
            <a:ext uri="{FF2B5EF4-FFF2-40B4-BE49-F238E27FC236}">
              <a16:creationId xmlns:a16="http://schemas.microsoft.com/office/drawing/2014/main" id="{3D468E62-66BA-4CF0-9C7D-67007F3E2E56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90" name="avatar">
          <a:extLst>
            <a:ext uri="{FF2B5EF4-FFF2-40B4-BE49-F238E27FC236}">
              <a16:creationId xmlns:a16="http://schemas.microsoft.com/office/drawing/2014/main" id="{684C1C93-1400-4CD1-B8BE-025CA23BF4A5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91" name="avatar">
          <a:extLst>
            <a:ext uri="{FF2B5EF4-FFF2-40B4-BE49-F238E27FC236}">
              <a16:creationId xmlns:a16="http://schemas.microsoft.com/office/drawing/2014/main" id="{C73F8C8B-05BC-4984-9DE5-BF77409FEE3F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92" name="avatar">
          <a:extLst>
            <a:ext uri="{FF2B5EF4-FFF2-40B4-BE49-F238E27FC236}">
              <a16:creationId xmlns:a16="http://schemas.microsoft.com/office/drawing/2014/main" id="{6974AC49-4D17-4B36-A87A-BC4BE4E040EC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116</xdr:col>
      <xdr:colOff>0</xdr:colOff>
      <xdr:row>5</xdr:row>
      <xdr:rowOff>0</xdr:rowOff>
    </xdr:from>
    <xdr:ext cx="304800" cy="304800"/>
    <xdr:sp macro="" textlink="">
      <xdr:nvSpPr>
        <xdr:cNvPr id="1893" name="avatar">
          <a:extLst>
            <a:ext uri="{FF2B5EF4-FFF2-40B4-BE49-F238E27FC236}">
              <a16:creationId xmlns:a16="http://schemas.microsoft.com/office/drawing/2014/main" id="{6951733B-2946-4F3E-9F60-764A3D49B39D}"/>
            </a:ext>
          </a:extLst>
        </xdr:cNvPr>
        <xdr:cNvSpPr>
          <a:spLocks noChangeAspect="1" noChangeArrowheads="1"/>
        </xdr:cNvSpPr>
      </xdr:nvSpPr>
      <xdr:spPr bwMode="auto">
        <a:xfrm>
          <a:off x="12377928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94" name="avatar">
          <a:extLst>
            <a:ext uri="{FF2B5EF4-FFF2-40B4-BE49-F238E27FC236}">
              <a16:creationId xmlns:a16="http://schemas.microsoft.com/office/drawing/2014/main" id="{3832E41F-F610-472E-83E3-ADFCE1F3929B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95" name="avatar">
          <a:extLst>
            <a:ext uri="{FF2B5EF4-FFF2-40B4-BE49-F238E27FC236}">
              <a16:creationId xmlns:a16="http://schemas.microsoft.com/office/drawing/2014/main" id="{34347E68-EA18-4BA3-85A3-4887DAE43583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96" name="avatar">
          <a:extLst>
            <a:ext uri="{FF2B5EF4-FFF2-40B4-BE49-F238E27FC236}">
              <a16:creationId xmlns:a16="http://schemas.microsoft.com/office/drawing/2014/main" id="{1F2B4895-B894-4AD9-9C1A-4A20CDDD6F78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97" name="avatar">
          <a:extLst>
            <a:ext uri="{FF2B5EF4-FFF2-40B4-BE49-F238E27FC236}">
              <a16:creationId xmlns:a16="http://schemas.microsoft.com/office/drawing/2014/main" id="{D04B612C-35AC-4B50-952E-CF4C9C86BAA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98" name="avatar">
          <a:extLst>
            <a:ext uri="{FF2B5EF4-FFF2-40B4-BE49-F238E27FC236}">
              <a16:creationId xmlns:a16="http://schemas.microsoft.com/office/drawing/2014/main" id="{6A7D7A63-690A-4234-8E42-3AFED5DFCE84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899" name="avatar">
          <a:extLst>
            <a:ext uri="{FF2B5EF4-FFF2-40B4-BE49-F238E27FC236}">
              <a16:creationId xmlns:a16="http://schemas.microsoft.com/office/drawing/2014/main" id="{197A14B1-889D-4623-A9B1-130EB7E5AB9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0" name="avatar">
          <a:extLst>
            <a:ext uri="{FF2B5EF4-FFF2-40B4-BE49-F238E27FC236}">
              <a16:creationId xmlns:a16="http://schemas.microsoft.com/office/drawing/2014/main" id="{963922BE-8E28-4FAF-ADD9-A2AF0EAB772E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1" name="avatar">
          <a:extLst>
            <a:ext uri="{FF2B5EF4-FFF2-40B4-BE49-F238E27FC236}">
              <a16:creationId xmlns:a16="http://schemas.microsoft.com/office/drawing/2014/main" id="{83F0D76D-5C66-4B8E-9DAA-CB977C21EA61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2" name="avatar">
          <a:extLst>
            <a:ext uri="{FF2B5EF4-FFF2-40B4-BE49-F238E27FC236}">
              <a16:creationId xmlns:a16="http://schemas.microsoft.com/office/drawing/2014/main" id="{07241B20-41C0-4E61-8097-E854FEDB92C2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3" name="avatar">
          <a:extLst>
            <a:ext uri="{FF2B5EF4-FFF2-40B4-BE49-F238E27FC236}">
              <a16:creationId xmlns:a16="http://schemas.microsoft.com/office/drawing/2014/main" id="{4C99D0EE-5DA5-433D-B55C-C133101D9924}"/>
            </a:ext>
          </a:extLst>
        </xdr:cNvPr>
        <xdr:cNvSpPr>
          <a:spLocks noChangeAspect="1" noChangeArrowheads="1"/>
        </xdr:cNvSpPr>
      </xdr:nvSpPr>
      <xdr:spPr bwMode="auto">
        <a:xfrm>
          <a:off x="12645390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4" name="avatar">
          <a:extLst>
            <a:ext uri="{FF2B5EF4-FFF2-40B4-BE49-F238E27FC236}">
              <a16:creationId xmlns:a16="http://schemas.microsoft.com/office/drawing/2014/main" id="{6667F8DE-58EF-4DCB-A69B-69EC25A42238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5" name="avatar">
          <a:extLst>
            <a:ext uri="{FF2B5EF4-FFF2-40B4-BE49-F238E27FC236}">
              <a16:creationId xmlns:a16="http://schemas.microsoft.com/office/drawing/2014/main" id="{7B6129E8-3DF2-44D7-AA48-50E7901451D7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6" name="avatar">
          <a:extLst>
            <a:ext uri="{FF2B5EF4-FFF2-40B4-BE49-F238E27FC236}">
              <a16:creationId xmlns:a16="http://schemas.microsoft.com/office/drawing/2014/main" id="{52C99CDA-BC5C-4DC7-AF9D-9534145A22E8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7" name="avatar">
          <a:extLst>
            <a:ext uri="{FF2B5EF4-FFF2-40B4-BE49-F238E27FC236}">
              <a16:creationId xmlns:a16="http://schemas.microsoft.com/office/drawing/2014/main" id="{FEEEFD2B-D4D3-43DD-A4F9-2CC500BCEB79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8" name="avatar">
          <a:extLst>
            <a:ext uri="{FF2B5EF4-FFF2-40B4-BE49-F238E27FC236}">
              <a16:creationId xmlns:a16="http://schemas.microsoft.com/office/drawing/2014/main" id="{A828FBA8-8846-47C6-BEEC-462BE7DA131F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09" name="avatar">
          <a:extLst>
            <a:ext uri="{FF2B5EF4-FFF2-40B4-BE49-F238E27FC236}">
              <a16:creationId xmlns:a16="http://schemas.microsoft.com/office/drawing/2014/main" id="{9904912F-9F8E-4189-915E-E0846FBCFB45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10" name="avatar">
          <a:extLst>
            <a:ext uri="{FF2B5EF4-FFF2-40B4-BE49-F238E27FC236}">
              <a16:creationId xmlns:a16="http://schemas.microsoft.com/office/drawing/2014/main" id="{ECF6FCB2-5F1D-496F-B30D-B6416CA9E1F8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11" name="avatar">
          <a:extLst>
            <a:ext uri="{FF2B5EF4-FFF2-40B4-BE49-F238E27FC236}">
              <a16:creationId xmlns:a16="http://schemas.microsoft.com/office/drawing/2014/main" id="{7F24F938-354B-46E6-A9D2-8ADC9E813A51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12" name="avatar">
          <a:extLst>
            <a:ext uri="{FF2B5EF4-FFF2-40B4-BE49-F238E27FC236}">
              <a16:creationId xmlns:a16="http://schemas.microsoft.com/office/drawing/2014/main" id="{AEF55067-EAA6-4693-B9E9-B840F81E7EF3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119</xdr:col>
      <xdr:colOff>0</xdr:colOff>
      <xdr:row>5</xdr:row>
      <xdr:rowOff>0</xdr:rowOff>
    </xdr:from>
    <xdr:ext cx="304800" cy="304800"/>
    <xdr:sp macro="" textlink="">
      <xdr:nvSpPr>
        <xdr:cNvPr id="1913" name="avatar">
          <a:extLst>
            <a:ext uri="{FF2B5EF4-FFF2-40B4-BE49-F238E27FC236}">
              <a16:creationId xmlns:a16="http://schemas.microsoft.com/office/drawing/2014/main" id="{1F1F9D0E-34C6-4105-9080-F0494EF38726}"/>
            </a:ext>
          </a:extLst>
        </xdr:cNvPr>
        <xdr:cNvSpPr>
          <a:spLocks noChangeAspect="1" noChangeArrowheads="1"/>
        </xdr:cNvSpPr>
      </xdr:nvSpPr>
      <xdr:spPr bwMode="auto">
        <a:xfrm>
          <a:off x="1291285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&#243;n%20FPI%202025.xlsx" TargetMode="External"/><Relationship Id="rId1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&#243;n%20FP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rodriguez/Downloads/Metas%20SENA%202025%20V6-%2004122025.xlsx" TargetMode="External"/><Relationship Id="rId2" Type="http://schemas.openxmlformats.org/officeDocument/2006/relationships/externalLinkPath" Target="file:///C:\Users\mrodriguez\Downloads\Metas%20SENA%202025%20V6-%2004122025.xlsx" TargetMode="External"/><Relationship Id="rId1" Type="http://schemas.openxmlformats.org/officeDocument/2006/relationships/externalLinkPath" Target="/Users/mrodriguez/Downloads/Metas%20SENA%202025%20V6-%200412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ON%202025_FPI.xlsx" TargetMode="External"/><Relationship Id="rId1" Type="http://schemas.openxmlformats.org/officeDocument/2006/relationships/externalLinkPath" Target="https://sena4-my.sharepoint.com/personal/lfosorion_sena_edu_co/Documents/LFON%20GIER/Consolidado%20de%20Metas/METAS%202025/Seguimiento%20a%20las%20metas%202025/PLANTILLA%20DE%20EJECUCION%202025_F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S FORMACIÓN X REGIONAL"/>
      <sheetName val="METAS FORMACIÓN X CTROS"/>
      <sheetName val="METAS DETE X REGIONAL"/>
      <sheetName val="METAS DETE X CTROS "/>
      <sheetName val="PROYECCIÓN CUPOS FIC X CTROS"/>
      <sheetName val="PROYECCIÓN CUPOS SALUD X CT (2)"/>
    </sheetNames>
    <sheetDataSet>
      <sheetData sheetId="0" refreshError="1"/>
      <sheetData sheetId="1" refreshError="1">
        <row r="11">
          <cell r="E11">
            <v>1147</v>
          </cell>
        </row>
        <row r="12">
          <cell r="E12">
            <v>339</v>
          </cell>
          <cell r="G12">
            <v>0</v>
          </cell>
          <cell r="H12">
            <v>30</v>
          </cell>
          <cell r="I12">
            <v>0</v>
          </cell>
          <cell r="J12">
            <v>715</v>
          </cell>
          <cell r="K12">
            <v>715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427</v>
          </cell>
          <cell r="V12">
            <v>181</v>
          </cell>
          <cell r="W12">
            <v>0</v>
          </cell>
          <cell r="X12">
            <v>1350</v>
          </cell>
          <cell r="Y12">
            <v>2151</v>
          </cell>
          <cell r="Z12">
            <v>0</v>
          </cell>
          <cell r="AA12">
            <v>2151</v>
          </cell>
          <cell r="AB12">
            <v>2866</v>
          </cell>
          <cell r="AF12">
            <v>0</v>
          </cell>
          <cell r="AG12">
            <v>1120</v>
          </cell>
          <cell r="AH12">
            <v>49</v>
          </cell>
          <cell r="AI12">
            <v>0</v>
          </cell>
          <cell r="AJ12">
            <v>3787</v>
          </cell>
          <cell r="AK12">
            <v>6653</v>
          </cell>
          <cell r="AL12">
            <v>260</v>
          </cell>
          <cell r="AM12">
            <v>0</v>
          </cell>
          <cell r="AO12">
            <v>0.96067415730337102</v>
          </cell>
          <cell r="AQ12">
            <v>0.96234309623431002</v>
          </cell>
          <cell r="AR12">
            <v>0.99186991869918695</v>
          </cell>
          <cell r="AT12">
            <v>0.99160839160839198</v>
          </cell>
          <cell r="AU12">
            <v>0.96562097120756296</v>
          </cell>
          <cell r="AW12">
            <v>0.96964410327983297</v>
          </cell>
          <cell r="AX12">
            <v>0.98313027179006596</v>
          </cell>
          <cell r="AZ12">
            <v>0.72590440982307902</v>
          </cell>
          <cell r="BA12">
            <v>0.97112551561579297</v>
          </cell>
          <cell r="BC12">
            <v>0.83090335187133602</v>
          </cell>
          <cell r="BG12">
            <v>1</v>
          </cell>
          <cell r="BH12">
            <v>0</v>
          </cell>
          <cell r="BI12">
            <v>38</v>
          </cell>
          <cell r="BJ12">
            <v>10</v>
          </cell>
          <cell r="BK12">
            <v>48</v>
          </cell>
          <cell r="BL12">
            <v>2347</v>
          </cell>
          <cell r="BM12">
            <v>2395</v>
          </cell>
          <cell r="BN12">
            <v>0</v>
          </cell>
          <cell r="BO12">
            <v>80</v>
          </cell>
          <cell r="BP12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ulta Nacional"/>
      <sheetName val="Consulta Regional y Centros"/>
      <sheetName val="METAS FORMACIÓN X REGIONAL"/>
      <sheetName val="METAS FORMACIÓN X CTROS"/>
      <sheetName val="METAS SNFT X REG"/>
      <sheetName val="METAS SNFT X CTROS"/>
      <sheetName val="METAS DETE X REGIONAL"/>
      <sheetName val="METAS DETE X CTROS "/>
      <sheetName val="METAS DPRC X REGIONAL"/>
      <sheetName val="METAS DPRC X CTROS"/>
      <sheetName val="METAS DPRC X NACIONAL"/>
      <sheetName val="ESTRATEGIA FCE CUPOS X REG"/>
      <sheetName val="ESTRATEGIA FCE CUPOS X CTRO"/>
      <sheetName val="METAS MINTIC- SENATEC 2025"/>
      <sheetName val="PROYECCIÓN CUPOS FIC X CTROS"/>
      <sheetName val="PROYECCIÓN CUPOS SALUD X CTROS"/>
      <sheetName val="PROYECCIÓN CUPOS SALUD X CT (2)"/>
      <sheetName val="METAS ARTICULACIÓN X CTROS"/>
      <sheetName val="METAS PRIMER CURSOXREG"/>
      <sheetName val="METAS PRIMER CURSOXCEN"/>
    </sheetNames>
    <sheetDataSet>
      <sheetData sheetId="0" refreshError="1"/>
      <sheetData sheetId="1" refreshError="1"/>
      <sheetData sheetId="2" refreshError="1"/>
      <sheetData sheetId="3" refreshError="1">
        <row r="11">
          <cell r="C11">
            <v>9101</v>
          </cell>
          <cell r="D11" t="str">
            <v>CENTRO DE LOS RECURSOS NATURALES RENOVABLES - LA SALADA</v>
          </cell>
          <cell r="E11">
            <v>1863</v>
          </cell>
          <cell r="F11">
            <v>927</v>
          </cell>
          <cell r="G11">
            <v>297</v>
          </cell>
        </row>
        <row r="12">
          <cell r="C12">
            <v>9127</v>
          </cell>
          <cell r="D12" t="str">
            <v>CENTRO DE FORMACION PROFESIONAL MINERO AMBIENTAL</v>
          </cell>
          <cell r="E12">
            <v>436</v>
          </cell>
          <cell r="F12">
            <v>705</v>
          </cell>
          <cell r="G12">
            <v>0</v>
          </cell>
        </row>
        <row r="13">
          <cell r="C13">
            <v>9201</v>
          </cell>
          <cell r="D13" t="str">
            <v>CENTRO DE DISEÑO Y MANUFACTURA DEL CUERO</v>
          </cell>
          <cell r="E13">
            <v>1043</v>
          </cell>
          <cell r="F13">
            <v>1442</v>
          </cell>
          <cell r="G13">
            <v>0</v>
          </cell>
        </row>
        <row r="14">
          <cell r="C14">
            <v>9202</v>
          </cell>
          <cell r="D14" t="str">
            <v>CENTRO DE FORMACIÓN EN DISEÑO, CONFECCIÓN Y MODA.</v>
          </cell>
          <cell r="E14">
            <v>1309</v>
          </cell>
          <cell r="F14">
            <v>643</v>
          </cell>
          <cell r="G14">
            <v>0</v>
          </cell>
        </row>
        <row r="15">
          <cell r="C15">
            <v>9203</v>
          </cell>
          <cell r="D15" t="str">
            <v>CENTRO PARA EL DESARROLLO DEL HABITAT Y LA CONSTRUCCIÓN</v>
          </cell>
          <cell r="E15">
            <v>3093</v>
          </cell>
          <cell r="F15">
            <v>719</v>
          </cell>
          <cell r="G15">
            <v>292</v>
          </cell>
        </row>
        <row r="16">
          <cell r="C16">
            <v>9204</v>
          </cell>
          <cell r="D16" t="str">
            <v>CENTRO DE TECNOLOGÍA DE LA MANUFACTURA AVANZADA.</v>
          </cell>
          <cell r="E16">
            <v>6568</v>
          </cell>
          <cell r="F16">
            <v>1184</v>
          </cell>
          <cell r="G16">
            <v>0</v>
          </cell>
        </row>
        <row r="17">
          <cell r="C17">
            <v>9205</v>
          </cell>
          <cell r="D17" t="str">
            <v>CENTRO TECNOLÓGICO DEL MOBILIARIO</v>
          </cell>
          <cell r="E17">
            <v>2550</v>
          </cell>
          <cell r="F17">
            <v>2240</v>
          </cell>
          <cell r="G17">
            <v>502</v>
          </cell>
        </row>
        <row r="18">
          <cell r="C18">
            <v>9206</v>
          </cell>
          <cell r="D18" t="str">
            <v>CENTRO TECNOLÓGICO DE GESTIÓN INDUSTRIAL</v>
          </cell>
          <cell r="E18">
            <v>2831</v>
          </cell>
          <cell r="F18">
            <v>613</v>
          </cell>
          <cell r="G18">
            <v>97</v>
          </cell>
        </row>
        <row r="19">
          <cell r="C19">
            <v>9301</v>
          </cell>
          <cell r="D19" t="str">
            <v>CENTRO DE COMERCIO</v>
          </cell>
          <cell r="E19">
            <v>4854</v>
          </cell>
          <cell r="F19">
            <v>3064</v>
          </cell>
          <cell r="G19">
            <v>0</v>
          </cell>
        </row>
        <row r="20">
          <cell r="C20">
            <v>9401</v>
          </cell>
          <cell r="D20" t="str">
            <v>CENTRO DE SERVICIOS DE SALUD</v>
          </cell>
          <cell r="E20">
            <v>3388</v>
          </cell>
          <cell r="F20">
            <v>1840</v>
          </cell>
          <cell r="G20">
            <v>759</v>
          </cell>
        </row>
        <row r="21">
          <cell r="C21">
            <v>9402</v>
          </cell>
          <cell r="D21" t="str">
            <v>CENTRO DE SERVICIOS Y GESTION EMPRESARIAL</v>
          </cell>
          <cell r="E21">
            <v>4739</v>
          </cell>
          <cell r="F21">
            <v>4200</v>
          </cell>
          <cell r="G21">
            <v>525</v>
          </cell>
        </row>
        <row r="22">
          <cell r="C22">
            <v>9501</v>
          </cell>
          <cell r="D22" t="str">
            <v>COMPLEJO TECNOLOGICO PARA LA GESTION AGROEMPRESARIAL</v>
          </cell>
          <cell r="E22">
            <v>1210</v>
          </cell>
          <cell r="F22">
            <v>809</v>
          </cell>
          <cell r="G22">
            <v>0</v>
          </cell>
        </row>
        <row r="23">
          <cell r="C23">
            <v>9502</v>
          </cell>
          <cell r="D23" t="str">
            <v>COMPLEJO TECNOLÓGICO MINERO AGROEMPRESARIAL</v>
          </cell>
          <cell r="E23">
            <v>1502</v>
          </cell>
          <cell r="F23">
            <v>1336</v>
          </cell>
          <cell r="G23">
            <v>47</v>
          </cell>
        </row>
        <row r="24">
          <cell r="C24">
            <v>9503</v>
          </cell>
          <cell r="D24" t="str">
            <v>CENTRO DE LA INNOVACIÒN, LA AGROINDUSTRIA  Y EL TURISMO</v>
          </cell>
          <cell r="E24">
            <v>4772</v>
          </cell>
          <cell r="F24">
            <v>1087</v>
          </cell>
          <cell r="G24">
            <v>590</v>
          </cell>
        </row>
        <row r="25">
          <cell r="C25">
            <v>9504</v>
          </cell>
          <cell r="D25" t="str">
            <v>COMPLEJO TECNOLOGICO AGROINDUSTRIAL, PECUARIO Y TURISTICO</v>
          </cell>
          <cell r="E25">
            <v>3203</v>
          </cell>
          <cell r="F25">
            <v>3409</v>
          </cell>
          <cell r="G25">
            <v>0</v>
          </cell>
        </row>
        <row r="26">
          <cell r="C26">
            <v>9549</v>
          </cell>
          <cell r="D26" t="str">
            <v>COMPLEJO TECNOLOGICO, TURISTICO Y AGROINDUSTRIAL DEL OCCIDENTE ANTIOQUEÑO</v>
          </cell>
          <cell r="E26">
            <v>686</v>
          </cell>
          <cell r="F26">
            <v>825</v>
          </cell>
          <cell r="G26">
            <v>100</v>
          </cell>
        </row>
        <row r="27">
          <cell r="C27">
            <v>9103</v>
          </cell>
          <cell r="D27" t="str">
            <v>CENTRO PARA EL DESARROLLO AGROECOLOGICO Y AGROINDUSTRIAL</v>
          </cell>
          <cell r="E27">
            <v>1242</v>
          </cell>
          <cell r="F27">
            <v>1650</v>
          </cell>
          <cell r="G27">
            <v>0</v>
          </cell>
        </row>
        <row r="28">
          <cell r="C28">
            <v>9207</v>
          </cell>
          <cell r="D28" t="str">
            <v>CENTRO NACIONAL COLOMBO ALEMAN</v>
          </cell>
          <cell r="E28">
            <v>2705</v>
          </cell>
          <cell r="F28">
            <v>2930</v>
          </cell>
          <cell r="G28">
            <v>0</v>
          </cell>
        </row>
        <row r="29">
          <cell r="C29">
            <v>9208</v>
          </cell>
          <cell r="D29" t="str">
            <v>CENTRO INDUSTRIAL Y DE AVIACION</v>
          </cell>
          <cell r="E29">
            <v>5716</v>
          </cell>
          <cell r="F29">
            <v>3580</v>
          </cell>
          <cell r="G29">
            <v>0</v>
          </cell>
        </row>
        <row r="30">
          <cell r="C30">
            <v>9302</v>
          </cell>
          <cell r="D30" t="str">
            <v>CENTRO DE COMERCIO Y SERVICIOS</v>
          </cell>
          <cell r="E30">
            <v>8400</v>
          </cell>
          <cell r="F30">
            <v>3681</v>
          </cell>
          <cell r="G30">
            <v>0</v>
          </cell>
        </row>
        <row r="31">
          <cell r="C31">
            <v>9209</v>
          </cell>
          <cell r="D31" t="str">
            <v>CENTRO DE TECNOLOGIAS PARA LA CONSTRUCCION Y LA MADERA</v>
          </cell>
          <cell r="E31">
            <v>2445</v>
          </cell>
          <cell r="F31">
            <v>583</v>
          </cell>
          <cell r="G31">
            <v>0</v>
          </cell>
        </row>
        <row r="32">
          <cell r="C32">
            <v>9210</v>
          </cell>
          <cell r="D32" t="str">
            <v>CENTRO DE ELECTRICIDAD, ELECTRÓNICA Y TELECOMUNICACIONES</v>
          </cell>
          <cell r="E32">
            <v>6215</v>
          </cell>
          <cell r="F32">
            <v>1277</v>
          </cell>
          <cell r="G32">
            <v>0</v>
          </cell>
        </row>
        <row r="33">
          <cell r="C33">
            <v>9211</v>
          </cell>
          <cell r="D33" t="str">
            <v>CENTRO DE GESTION INDUSTRIAL</v>
          </cell>
          <cell r="E33">
            <v>5226</v>
          </cell>
          <cell r="F33">
            <v>1590</v>
          </cell>
          <cell r="G33">
            <v>688</v>
          </cell>
        </row>
        <row r="34">
          <cell r="C34">
            <v>9212</v>
          </cell>
          <cell r="D34" t="str">
            <v>CENTRO DE MANUFACTURA EN TEXTILES Y CUERO</v>
          </cell>
          <cell r="E34">
            <v>797</v>
          </cell>
          <cell r="F34">
            <v>768</v>
          </cell>
          <cell r="G34">
            <v>0</v>
          </cell>
        </row>
        <row r="35">
          <cell r="C35">
            <v>9213</v>
          </cell>
          <cell r="D35" t="str">
            <v>CENTRO DE TECNOLOGIAS DEL TRANSPORTE</v>
          </cell>
          <cell r="E35">
            <v>2476</v>
          </cell>
          <cell r="F35">
            <v>1221</v>
          </cell>
          <cell r="G35">
            <v>0</v>
          </cell>
        </row>
        <row r="36">
          <cell r="C36">
            <v>9214</v>
          </cell>
          <cell r="D36" t="str">
            <v>CENTRO METALMECANICO</v>
          </cell>
          <cell r="E36">
            <v>2932</v>
          </cell>
          <cell r="F36">
            <v>538</v>
          </cell>
          <cell r="G36">
            <v>0</v>
          </cell>
        </row>
        <row r="37">
          <cell r="C37">
            <v>9215</v>
          </cell>
          <cell r="D37" t="str">
            <v>CENTRO DE MATERIALES Y ENSAYOS</v>
          </cell>
          <cell r="E37">
            <v>186</v>
          </cell>
          <cell r="F37">
            <v>3627</v>
          </cell>
          <cell r="G37">
            <v>0</v>
          </cell>
        </row>
        <row r="38">
          <cell r="C38">
            <v>9216</v>
          </cell>
          <cell r="D38" t="str">
            <v>CENTRO DE DISEÑO Y METROLOGIA</v>
          </cell>
          <cell r="E38">
            <v>2404</v>
          </cell>
          <cell r="F38">
            <v>1393</v>
          </cell>
          <cell r="G38">
            <v>0</v>
          </cell>
        </row>
        <row r="39">
          <cell r="C39">
            <v>9217</v>
          </cell>
          <cell r="D39" t="str">
            <v>CENTRO PARA LA INDUSTRIA DE LA COMUNICACIÓN GRAFICA</v>
          </cell>
          <cell r="E39">
            <v>1560</v>
          </cell>
          <cell r="F39">
            <v>2602</v>
          </cell>
          <cell r="G39">
            <v>0</v>
          </cell>
        </row>
        <row r="40">
          <cell r="C40">
            <v>9303</v>
          </cell>
          <cell r="D40" t="str">
            <v>CENTRO DE GESTION DE MERCADOS, LOGISTICA Y TECNOLOGIAS DE LA INFORMACION</v>
          </cell>
          <cell r="E40">
            <v>5888</v>
          </cell>
          <cell r="F40">
            <v>3851</v>
          </cell>
          <cell r="G40">
            <v>0</v>
          </cell>
        </row>
        <row r="41">
          <cell r="C41">
            <v>9403</v>
          </cell>
          <cell r="D41" t="str">
            <v>CENTRO DE FORMACION DE TALENTO HUMANO EN SALUD</v>
          </cell>
          <cell r="E41">
            <v>1288</v>
          </cell>
          <cell r="F41">
            <v>370</v>
          </cell>
          <cell r="G41">
            <v>0</v>
          </cell>
        </row>
        <row r="42">
          <cell r="C42">
            <v>9404</v>
          </cell>
          <cell r="D42" t="str">
            <v>CENTRO DE GESTION ADMINISTRATIVA</v>
          </cell>
          <cell r="E42">
            <v>14614</v>
          </cell>
          <cell r="F42">
            <v>1861</v>
          </cell>
          <cell r="G42">
            <v>0</v>
          </cell>
        </row>
        <row r="43">
          <cell r="C43">
            <v>9405</v>
          </cell>
          <cell r="D43" t="str">
            <v>CENTRO DE SERVICIOS FINANCIEROS</v>
          </cell>
          <cell r="E43">
            <v>12900</v>
          </cell>
          <cell r="F43">
            <v>11313</v>
          </cell>
          <cell r="G43">
            <v>0</v>
          </cell>
        </row>
        <row r="44">
          <cell r="C44">
            <v>9406</v>
          </cell>
          <cell r="D44" t="str">
            <v>CENTRO NACIONAL DE HOTELERIA, TURISMO Y ALIMENTOS</v>
          </cell>
          <cell r="E44">
            <v>2659</v>
          </cell>
          <cell r="F44">
            <v>936</v>
          </cell>
          <cell r="G44">
            <v>1522</v>
          </cell>
        </row>
        <row r="45">
          <cell r="C45">
            <v>9508</v>
          </cell>
          <cell r="D45" t="str">
            <v>CENTRO DE FORMACION EN ACTIVIDAD FISICA Y CULTURA</v>
          </cell>
          <cell r="E45">
            <v>3147</v>
          </cell>
          <cell r="F45">
            <v>479</v>
          </cell>
          <cell r="G45">
            <v>1698</v>
          </cell>
        </row>
        <row r="46">
          <cell r="C46">
            <v>9104</v>
          </cell>
          <cell r="D46" t="str">
            <v>CENTRO AGROEMPRESARIAL Y MINERO</v>
          </cell>
          <cell r="E46">
            <v>2714</v>
          </cell>
          <cell r="F46">
            <v>826</v>
          </cell>
          <cell r="G46">
            <v>0</v>
          </cell>
        </row>
        <row r="47">
          <cell r="C47">
            <v>9105</v>
          </cell>
          <cell r="D47" t="str">
            <v>CENTRO INTERNACIONAL NÁUTICO, FLUVIAL Y PORTUARIO</v>
          </cell>
          <cell r="E47">
            <v>3292</v>
          </cell>
          <cell r="F47">
            <v>633</v>
          </cell>
          <cell r="G47">
            <v>0</v>
          </cell>
        </row>
        <row r="48">
          <cell r="C48">
            <v>9218</v>
          </cell>
          <cell r="D48" t="str">
            <v>CENTRO PARA LA INDUSTRIA PETROQUIMICA</v>
          </cell>
          <cell r="E48">
            <v>3019</v>
          </cell>
          <cell r="F48">
            <v>965</v>
          </cell>
          <cell r="G48">
            <v>0</v>
          </cell>
        </row>
        <row r="49">
          <cell r="C49">
            <v>9304</v>
          </cell>
          <cell r="D49" t="str">
            <v>CENTRO DE COMERCIO Y SERVICIOS</v>
          </cell>
          <cell r="E49">
            <v>4031</v>
          </cell>
          <cell r="F49">
            <v>1929</v>
          </cell>
          <cell r="G49">
            <v>250</v>
          </cell>
        </row>
        <row r="50">
          <cell r="C50">
            <v>9110</v>
          </cell>
          <cell r="D50" t="str">
            <v>CENTRO DE DESARROLLO AGROPECUARIO Y AGROINDUSTRIAL</v>
          </cell>
          <cell r="E50">
            <v>822</v>
          </cell>
          <cell r="F50">
            <v>455</v>
          </cell>
          <cell r="G50">
            <v>137</v>
          </cell>
        </row>
        <row r="51">
          <cell r="C51">
            <v>9111</v>
          </cell>
          <cell r="D51" t="str">
            <v>CENTRO  MINERO</v>
          </cell>
          <cell r="E51">
            <v>1960</v>
          </cell>
          <cell r="F51">
            <v>636</v>
          </cell>
          <cell r="G51">
            <v>173</v>
          </cell>
        </row>
        <row r="52">
          <cell r="C52">
            <v>9305</v>
          </cell>
          <cell r="D52" t="str">
            <v>CENTRO DE GESTION ADMINISTRATIVA Y FORTALECIMIENTO EMPRESARIAL</v>
          </cell>
          <cell r="E52">
            <v>2970</v>
          </cell>
          <cell r="F52">
            <v>1219</v>
          </cell>
          <cell r="G52">
            <v>400</v>
          </cell>
        </row>
        <row r="53">
          <cell r="C53">
            <v>9514</v>
          </cell>
          <cell r="D53" t="str">
            <v>CENTRO INDUSTRIAL DE MANTENIMIENTO Y MANUFACTURA</v>
          </cell>
          <cell r="E53">
            <v>2879</v>
          </cell>
          <cell r="F53">
            <v>742</v>
          </cell>
          <cell r="G53">
            <v>0</v>
          </cell>
        </row>
        <row r="54">
          <cell r="C54">
            <v>9551</v>
          </cell>
          <cell r="D54" t="str">
            <v>CENTRO DE LA INNOVACIÓN AGROINDUSTRIAL Y DE SERVICIOS</v>
          </cell>
          <cell r="E54">
            <v>204</v>
          </cell>
          <cell r="F54">
            <v>140</v>
          </cell>
          <cell r="G54">
            <v>0</v>
          </cell>
        </row>
        <row r="55">
          <cell r="C55">
            <v>9112</v>
          </cell>
          <cell r="D55" t="str">
            <v>CENTRO PARA LA FORMACION CAFETERA</v>
          </cell>
          <cell r="E55">
            <v>503</v>
          </cell>
          <cell r="F55">
            <v>788</v>
          </cell>
          <cell r="G55">
            <v>0</v>
          </cell>
        </row>
        <row r="56">
          <cell r="C56">
            <v>9219</v>
          </cell>
          <cell r="D56" t="str">
            <v>CENTRO DE AUTOMATIZACION INDUSTRIAL</v>
          </cell>
          <cell r="E56">
            <v>665</v>
          </cell>
          <cell r="F56">
            <v>575</v>
          </cell>
          <cell r="G56">
            <v>0</v>
          </cell>
        </row>
        <row r="57">
          <cell r="C57">
            <v>9220</v>
          </cell>
          <cell r="D57" t="str">
            <v>CENTRO DE PROCESOS INDUSTRIALES</v>
          </cell>
          <cell r="E57">
            <v>1202</v>
          </cell>
          <cell r="F57">
            <v>724</v>
          </cell>
          <cell r="G57">
            <v>0</v>
          </cell>
        </row>
        <row r="58">
          <cell r="C58">
            <v>9306</v>
          </cell>
          <cell r="D58" t="str">
            <v>CENTRO DE COMERCIO Y SERVICIOS</v>
          </cell>
          <cell r="E58">
            <v>1123</v>
          </cell>
          <cell r="F58">
            <v>770</v>
          </cell>
          <cell r="G58">
            <v>340</v>
          </cell>
        </row>
        <row r="59">
          <cell r="C59">
            <v>9515</v>
          </cell>
          <cell r="D59" t="str">
            <v>CENTRO PECUARIO Y AGROEMPRESARIAL</v>
          </cell>
          <cell r="E59">
            <v>882</v>
          </cell>
          <cell r="F59">
            <v>461</v>
          </cell>
          <cell r="G59">
            <v>170</v>
          </cell>
        </row>
        <row r="60">
          <cell r="C60">
            <v>9516</v>
          </cell>
          <cell r="D60" t="str">
            <v>CENTRO TECNOLOGICO DE LA AMAZONIA</v>
          </cell>
          <cell r="E60">
            <v>974</v>
          </cell>
          <cell r="F60">
            <v>0</v>
          </cell>
          <cell r="G60">
            <v>0</v>
          </cell>
        </row>
        <row r="61">
          <cell r="C61">
            <v>9113</v>
          </cell>
          <cell r="D61" t="str">
            <v>CENTRO AGROPECUARIO</v>
          </cell>
          <cell r="E61">
            <v>2075</v>
          </cell>
          <cell r="F61">
            <v>2124</v>
          </cell>
          <cell r="G61">
            <v>0</v>
          </cell>
        </row>
        <row r="62">
          <cell r="C62">
            <v>9221</v>
          </cell>
          <cell r="D62" t="str">
            <v>CENTRO DE TELEINFORMATICA Y PRODUCCIÓN INDUSTRIAL</v>
          </cell>
          <cell r="E62">
            <v>3300</v>
          </cell>
          <cell r="F62">
            <v>1606</v>
          </cell>
          <cell r="G62">
            <v>298</v>
          </cell>
        </row>
        <row r="63">
          <cell r="C63">
            <v>9307</v>
          </cell>
          <cell r="D63" t="str">
            <v>CENTRO DE COMERCIO Y SERVICIOS</v>
          </cell>
          <cell r="E63">
            <v>2349</v>
          </cell>
          <cell r="F63">
            <v>2622</v>
          </cell>
          <cell r="G63">
            <v>0</v>
          </cell>
        </row>
        <row r="64">
          <cell r="C64">
            <v>9114</v>
          </cell>
          <cell r="D64" t="str">
            <v>CENTRO BIOTECNOLOGICO DEL CARIBE</v>
          </cell>
          <cell r="E64">
            <v>2292</v>
          </cell>
          <cell r="F64">
            <v>1608</v>
          </cell>
          <cell r="G64">
            <v>87</v>
          </cell>
        </row>
        <row r="65">
          <cell r="C65">
            <v>9520</v>
          </cell>
          <cell r="D65" t="str">
            <v>CENTRO AGROEMPRESARIAL</v>
          </cell>
          <cell r="E65">
            <v>1781</v>
          </cell>
          <cell r="F65">
            <v>781</v>
          </cell>
          <cell r="G65">
            <v>0</v>
          </cell>
        </row>
        <row r="66">
          <cell r="C66">
            <v>9521</v>
          </cell>
          <cell r="D66" t="str">
            <v>CENTRO DE INNOVACIÓN Y DE GESTIÓN EMPRESARIAL Y CULTURAL</v>
          </cell>
          <cell r="E66">
            <v>4085</v>
          </cell>
          <cell r="F66">
            <v>1621</v>
          </cell>
          <cell r="G66">
            <v>171</v>
          </cell>
        </row>
        <row r="67">
          <cell r="C67">
            <v>9115</v>
          </cell>
          <cell r="D67" t="str">
            <v>CENTRO AGROPECUARIO Y DE BIOTECNOLOGIA EL PORVENIR</v>
          </cell>
          <cell r="E67">
            <v>1335</v>
          </cell>
          <cell r="F67">
            <v>685</v>
          </cell>
          <cell r="G67">
            <v>0</v>
          </cell>
        </row>
        <row r="68">
          <cell r="C68">
            <v>9523</v>
          </cell>
          <cell r="D68" t="str">
            <v>CENTRO DE COMERCIO, INDUSTRIA Y TURISMO DE CORDOBA</v>
          </cell>
          <cell r="E68">
            <v>1356</v>
          </cell>
          <cell r="F68">
            <v>1410</v>
          </cell>
          <cell r="G68">
            <v>0</v>
          </cell>
        </row>
        <row r="69">
          <cell r="C69">
            <v>9232</v>
          </cell>
          <cell r="D69" t="str">
            <v>CENTRO INDUSTRIAL Y DESARROLLO EMPRESARIAL DE SOACHA</v>
          </cell>
          <cell r="E69">
            <v>2704</v>
          </cell>
          <cell r="F69">
            <v>2804</v>
          </cell>
          <cell r="G69">
            <v>0</v>
          </cell>
        </row>
        <row r="70">
          <cell r="C70">
            <v>9509</v>
          </cell>
          <cell r="D70" t="str">
            <v>CENTRO DE DESARROLLO AGROINDUSTRIAL Y EMPRESARIAL</v>
          </cell>
          <cell r="E70">
            <v>1271</v>
          </cell>
          <cell r="F70">
            <v>1682</v>
          </cell>
          <cell r="G70">
            <v>0</v>
          </cell>
        </row>
        <row r="71">
          <cell r="C71">
            <v>9510</v>
          </cell>
          <cell r="D71" t="str">
            <v>CENTRO AGROECOLOGICO Y EMPRESARIAL</v>
          </cell>
          <cell r="E71">
            <v>1442</v>
          </cell>
          <cell r="F71">
            <v>1893</v>
          </cell>
          <cell r="G71">
            <v>0</v>
          </cell>
        </row>
        <row r="72">
          <cell r="C72">
            <v>9511</v>
          </cell>
          <cell r="D72" t="str">
            <v>CENTRO DE LA TECNOLOGIA DEL DISEÑO Y LA PRODUCTIVIDAD EMPRESARIAL</v>
          </cell>
          <cell r="E72">
            <v>1651</v>
          </cell>
          <cell r="F72">
            <v>2550</v>
          </cell>
          <cell r="G72">
            <v>45</v>
          </cell>
        </row>
        <row r="73">
          <cell r="C73">
            <v>9512</v>
          </cell>
          <cell r="D73" t="str">
            <v>CENTRO DE BIOTECNOLOGIA AGROPECUARIA</v>
          </cell>
          <cell r="E73">
            <v>2821</v>
          </cell>
          <cell r="F73">
            <v>2476</v>
          </cell>
          <cell r="G73">
            <v>0</v>
          </cell>
        </row>
        <row r="74">
          <cell r="C74">
            <v>9513</v>
          </cell>
          <cell r="D74" t="str">
            <v>CENTRO DE DESARROLLO AGROEMPRESARIAL</v>
          </cell>
          <cell r="E74">
            <v>5006</v>
          </cell>
          <cell r="F74">
            <v>2668</v>
          </cell>
          <cell r="G74">
            <v>0</v>
          </cell>
        </row>
        <row r="75">
          <cell r="C75">
            <v>9522</v>
          </cell>
          <cell r="D75" t="str">
            <v>CENTRO DE RECURSOS NATURALES, INDUSTRIA Y BIODIVERSIDAD</v>
          </cell>
          <cell r="E75">
            <v>527</v>
          </cell>
          <cell r="F75">
            <v>0</v>
          </cell>
          <cell r="G75">
            <v>67</v>
          </cell>
        </row>
        <row r="76">
          <cell r="C76">
            <v>9116</v>
          </cell>
          <cell r="D76" t="str">
            <v>CENTRO DE FORMACION AGROINDUSTRIAL</v>
          </cell>
          <cell r="E76">
            <v>931</v>
          </cell>
          <cell r="F76">
            <v>619</v>
          </cell>
          <cell r="G76">
            <v>0</v>
          </cell>
        </row>
        <row r="77">
          <cell r="C77">
            <v>9525</v>
          </cell>
          <cell r="D77" t="str">
            <v>CENTRO AGROEMPRESARIAL Y DESARROLLO PECUARIO DEL HUILA</v>
          </cell>
          <cell r="E77">
            <v>1476</v>
          </cell>
          <cell r="F77">
            <v>603</v>
          </cell>
          <cell r="G77">
            <v>0</v>
          </cell>
        </row>
        <row r="78">
          <cell r="C78">
            <v>9526</v>
          </cell>
          <cell r="D78" t="str">
            <v>CENTRO DE DESARROLLO AGROEMPRESARIAL Y TURISTICO DEL HUILA</v>
          </cell>
          <cell r="E78">
            <v>957</v>
          </cell>
          <cell r="F78">
            <v>670</v>
          </cell>
          <cell r="G78">
            <v>0</v>
          </cell>
        </row>
        <row r="79">
          <cell r="C79">
            <v>9527</v>
          </cell>
          <cell r="D79" t="str">
            <v>CENTRO DE LA INDUSTRIA, LA EMPRESA Y LOS SERVICIOS</v>
          </cell>
          <cell r="E79">
            <v>3460</v>
          </cell>
          <cell r="F79">
            <v>1109</v>
          </cell>
          <cell r="G79">
            <v>0</v>
          </cell>
        </row>
        <row r="80">
          <cell r="C80">
            <v>9528</v>
          </cell>
          <cell r="D80" t="str">
            <v>CENTRO DE GESTION Y DESARROLLO SOSTENIBLE SURCOLOMBIANO</v>
          </cell>
          <cell r="E80">
            <v>1791</v>
          </cell>
          <cell r="F80">
            <v>923</v>
          </cell>
          <cell r="G80">
            <v>208</v>
          </cell>
        </row>
        <row r="81">
          <cell r="C81">
            <v>9222</v>
          </cell>
          <cell r="D81" t="str">
            <v>CENTRO INDUSTRIAL Y DE ENERGIAS ALTERNATIVAS</v>
          </cell>
          <cell r="E81">
            <v>1550</v>
          </cell>
          <cell r="F81">
            <v>950</v>
          </cell>
          <cell r="G81">
            <v>0</v>
          </cell>
        </row>
        <row r="82">
          <cell r="C82">
            <v>9524</v>
          </cell>
          <cell r="D82" t="str">
            <v>CENTRO AGROEMPRESARIAL Y ACUICOLA</v>
          </cell>
          <cell r="E82">
            <v>1702</v>
          </cell>
          <cell r="F82">
            <v>788</v>
          </cell>
          <cell r="G82">
            <v>0</v>
          </cell>
        </row>
        <row r="83">
          <cell r="C83">
            <v>9118</v>
          </cell>
          <cell r="D83" t="str">
            <v>CENTRO ACUICOLA Y AGROINDUSTRIAL DE GAIRA</v>
          </cell>
          <cell r="E83">
            <v>1241</v>
          </cell>
          <cell r="F83">
            <v>997</v>
          </cell>
          <cell r="G83">
            <v>213</v>
          </cell>
        </row>
        <row r="84">
          <cell r="C84">
            <v>9529</v>
          </cell>
          <cell r="D84" t="str">
            <v>CENTRO DE LOGISTICA Y PROMOCION ECOTURISTICA DEL MAGDALENA</v>
          </cell>
          <cell r="E84">
            <v>1490</v>
          </cell>
          <cell r="F84">
            <v>2367</v>
          </cell>
          <cell r="G84">
            <v>0</v>
          </cell>
        </row>
        <row r="85">
          <cell r="C85">
            <v>9117</v>
          </cell>
          <cell r="D85" t="str">
            <v>CENTRO AGROINDUSTRIAL DEL META</v>
          </cell>
          <cell r="E85">
            <v>1594</v>
          </cell>
          <cell r="F85">
            <v>0</v>
          </cell>
          <cell r="G85">
            <v>75</v>
          </cell>
        </row>
        <row r="86">
          <cell r="C86">
            <v>9532</v>
          </cell>
          <cell r="D86" t="str">
            <v>CENTRO DE INDUSTRIA Y SERVICIOS DEL META</v>
          </cell>
          <cell r="E86">
            <v>1651</v>
          </cell>
          <cell r="F86">
            <v>858</v>
          </cell>
          <cell r="G86">
            <v>0</v>
          </cell>
        </row>
        <row r="87">
          <cell r="C87">
            <v>9534</v>
          </cell>
          <cell r="D87" t="str">
            <v>CENTRO SUR COLOMBIANO DE LOGÍSTICA INTERNACIONAL</v>
          </cell>
          <cell r="E87">
            <v>891</v>
          </cell>
          <cell r="F87">
            <v>615</v>
          </cell>
          <cell r="G87">
            <v>0</v>
          </cell>
        </row>
        <row r="88">
          <cell r="C88">
            <v>9535</v>
          </cell>
          <cell r="D88" t="str">
            <v>CENTRO AGROINDUSTRIAL Y PESQUERO DE LA COSTA PACIFICA</v>
          </cell>
          <cell r="E88">
            <v>1061</v>
          </cell>
          <cell r="F88">
            <v>467</v>
          </cell>
          <cell r="G88">
            <v>0</v>
          </cell>
        </row>
        <row r="89">
          <cell r="C89">
            <v>9536</v>
          </cell>
          <cell r="D89" t="str">
            <v>CENTRO INTERNACIONAL DE PRODUCCIÓN LIMPIA - LOPE</v>
          </cell>
          <cell r="E89">
            <v>1462</v>
          </cell>
          <cell r="F89">
            <v>301</v>
          </cell>
          <cell r="G89">
            <v>0</v>
          </cell>
        </row>
        <row r="90">
          <cell r="C90">
            <v>9119</v>
          </cell>
          <cell r="D90" t="str">
            <v>CENTRO DE FORMACION PARA EL DESARROLLO RURAL Y MINERO</v>
          </cell>
          <cell r="E90">
            <v>2995</v>
          </cell>
          <cell r="F90">
            <v>3430</v>
          </cell>
          <cell r="G90">
            <v>176</v>
          </cell>
        </row>
        <row r="91">
          <cell r="C91">
            <v>9537</v>
          </cell>
          <cell r="D91" t="str">
            <v>CENTRO DE LA INDUSTRIA, LA EMPRESA Y LOS SERVICIOS</v>
          </cell>
          <cell r="E91">
            <v>4992</v>
          </cell>
          <cell r="F91">
            <v>3469</v>
          </cell>
          <cell r="G91">
            <v>0</v>
          </cell>
        </row>
        <row r="92">
          <cell r="C92">
            <v>9120</v>
          </cell>
          <cell r="D92" t="str">
            <v>CENTRO AGROINDUSTRIAL</v>
          </cell>
          <cell r="E92">
            <v>1497</v>
          </cell>
          <cell r="F92">
            <v>931</v>
          </cell>
          <cell r="G92">
            <v>279</v>
          </cell>
        </row>
        <row r="93">
          <cell r="C93">
            <v>9231</v>
          </cell>
          <cell r="D93" t="str">
            <v>CENTRO PARA EL DESARROLLO TECNOLÓGICO DE LA CONSTRUCCIÓN Y LA INDUSTRIA</v>
          </cell>
          <cell r="E93">
            <v>1298</v>
          </cell>
          <cell r="F93">
            <v>627</v>
          </cell>
          <cell r="G93">
            <v>0</v>
          </cell>
        </row>
        <row r="94">
          <cell r="C94">
            <v>9538</v>
          </cell>
          <cell r="D94" t="str">
            <v>CENTRO DE COMERCIO Y TURISMO</v>
          </cell>
          <cell r="E94">
            <v>2482</v>
          </cell>
          <cell r="F94">
            <v>2559</v>
          </cell>
          <cell r="G94">
            <v>592</v>
          </cell>
        </row>
        <row r="95">
          <cell r="C95">
            <v>9121</v>
          </cell>
          <cell r="D95" t="str">
            <v>CENTRO ATENCION SECTOR AGROPECUARIO</v>
          </cell>
          <cell r="E95">
            <v>860</v>
          </cell>
          <cell r="F95">
            <v>800</v>
          </cell>
          <cell r="G95">
            <v>419</v>
          </cell>
        </row>
        <row r="96">
          <cell r="C96">
            <v>9223</v>
          </cell>
          <cell r="D96" t="str">
            <v>CENTRO DE DISEÑO E INNOVACIÓN TECNOLOGICA INDUSTRIAL</v>
          </cell>
          <cell r="E96">
            <v>2592</v>
          </cell>
          <cell r="F96">
            <v>1450</v>
          </cell>
          <cell r="G96">
            <v>0</v>
          </cell>
        </row>
        <row r="97">
          <cell r="C97">
            <v>9308</v>
          </cell>
          <cell r="D97" t="str">
            <v>CENTRO DE COMERCIO Y SERVICIOS</v>
          </cell>
          <cell r="E97">
            <v>2299</v>
          </cell>
          <cell r="F97">
            <v>2061</v>
          </cell>
          <cell r="G97">
            <v>0</v>
          </cell>
        </row>
        <row r="98">
          <cell r="C98">
            <v>9122</v>
          </cell>
          <cell r="D98" t="str">
            <v>CENTRO ATENCION SECTOR AGROPECUARIO</v>
          </cell>
          <cell r="E98">
            <v>1086</v>
          </cell>
          <cell r="F98">
            <v>735</v>
          </cell>
          <cell r="G98">
            <v>0</v>
          </cell>
        </row>
        <row r="99">
          <cell r="C99">
            <v>9224</v>
          </cell>
          <cell r="D99" t="str">
            <v>CENTRO INDUSTRIAL DE MANTENIMIENTO INTEGRAL</v>
          </cell>
          <cell r="E99">
            <v>1991</v>
          </cell>
          <cell r="F99">
            <v>1239</v>
          </cell>
          <cell r="G99">
            <v>0</v>
          </cell>
        </row>
        <row r="100">
          <cell r="C100">
            <v>9225</v>
          </cell>
          <cell r="D100" t="str">
            <v>CENTRO INDUSTRIAL DEL DISEÑO Y LA MANUFACTURA</v>
          </cell>
          <cell r="E100">
            <v>562</v>
          </cell>
          <cell r="F100">
            <v>1477</v>
          </cell>
          <cell r="G100">
            <v>0</v>
          </cell>
        </row>
        <row r="101">
          <cell r="C101">
            <v>9309</v>
          </cell>
          <cell r="D101" t="str">
            <v>CENTRO DE SERVICIOS EMPRESARIALES Y TURISTICOS</v>
          </cell>
          <cell r="E101">
            <v>2960</v>
          </cell>
          <cell r="F101">
            <v>1793</v>
          </cell>
          <cell r="G101">
            <v>193</v>
          </cell>
        </row>
        <row r="102">
          <cell r="C102">
            <v>9540</v>
          </cell>
          <cell r="D102" t="str">
            <v>CENTRO INDUSTRIAL Y DEL DESARROLLO TECNOLOGICO</v>
          </cell>
          <cell r="E102">
            <v>1977</v>
          </cell>
          <cell r="F102">
            <v>706</v>
          </cell>
          <cell r="G102">
            <v>0</v>
          </cell>
        </row>
        <row r="103">
          <cell r="C103">
            <v>9541</v>
          </cell>
          <cell r="D103" t="str">
            <v>CENTRO AGROTURISTICO</v>
          </cell>
          <cell r="E103">
            <v>1282</v>
          </cell>
          <cell r="F103">
            <v>2935</v>
          </cell>
          <cell r="G103">
            <v>0</v>
          </cell>
        </row>
        <row r="104">
          <cell r="C104">
            <v>9545</v>
          </cell>
          <cell r="D104" t="str">
            <v>CENTRO AGROEMPRESARIAL Y TURISTICO DE LOS ANDES</v>
          </cell>
          <cell r="E104">
            <v>1084</v>
          </cell>
          <cell r="F104">
            <v>1210</v>
          </cell>
          <cell r="G104">
            <v>0</v>
          </cell>
        </row>
        <row r="105">
          <cell r="C105">
            <v>9546</v>
          </cell>
          <cell r="D105" t="str">
            <v>CENTRO DE GESTION AGROEMPRESARIAL DEL ORIENTE</v>
          </cell>
          <cell r="E105">
            <v>1120</v>
          </cell>
          <cell r="F105">
            <v>1047</v>
          </cell>
          <cell r="G105">
            <v>144</v>
          </cell>
        </row>
        <row r="106">
          <cell r="C106">
            <v>9542</v>
          </cell>
          <cell r="D106" t="str">
            <v>CENTRO DE LA INNOVACION, LA TECNOLOGIA Y LOS SERVICIOS</v>
          </cell>
          <cell r="E106">
            <v>1275</v>
          </cell>
          <cell r="F106">
            <v>455</v>
          </cell>
          <cell r="G106">
            <v>0</v>
          </cell>
        </row>
        <row r="107">
          <cell r="C107">
            <v>9123</v>
          </cell>
          <cell r="D107" t="str">
            <v>CENTRO AGROPECUARIO LA GRANJA</v>
          </cell>
          <cell r="E107">
            <v>1511</v>
          </cell>
          <cell r="F107">
            <v>1429</v>
          </cell>
          <cell r="G107">
            <v>0</v>
          </cell>
        </row>
        <row r="108">
          <cell r="C108">
            <v>9226</v>
          </cell>
          <cell r="D108" t="str">
            <v>CENTRO DE INDUSTRIA Y CONSTRUCCION</v>
          </cell>
          <cell r="E108">
            <v>4524</v>
          </cell>
          <cell r="F108">
            <v>3587</v>
          </cell>
          <cell r="G108">
            <v>215</v>
          </cell>
        </row>
        <row r="109">
          <cell r="C109">
            <v>9310</v>
          </cell>
          <cell r="D109" t="str">
            <v>CENTRO DE COMERCIO Y SERVICIOS</v>
          </cell>
          <cell r="E109">
            <v>2826</v>
          </cell>
          <cell r="F109">
            <v>1760</v>
          </cell>
          <cell r="G109">
            <v>169</v>
          </cell>
        </row>
        <row r="110">
          <cell r="C110">
            <v>9124</v>
          </cell>
          <cell r="D110" t="str">
            <v>CENTRO AGROPECUARIO DE BUGA</v>
          </cell>
          <cell r="E110">
            <v>3183</v>
          </cell>
          <cell r="F110">
            <v>1264</v>
          </cell>
          <cell r="G110">
            <v>145</v>
          </cell>
        </row>
        <row r="111">
          <cell r="C111">
            <v>9125</v>
          </cell>
          <cell r="D111" t="str">
            <v>CENTRO LATINOAMERICANO DE ESPECIES MENORES</v>
          </cell>
          <cell r="E111">
            <v>1913</v>
          </cell>
          <cell r="F111">
            <v>2494</v>
          </cell>
          <cell r="G111">
            <v>0</v>
          </cell>
        </row>
        <row r="112">
          <cell r="C112">
            <v>9126</v>
          </cell>
          <cell r="D112" t="str">
            <v>CENTRO NAUTICO PESQUERO DE BUENAVENTURA</v>
          </cell>
          <cell r="E112">
            <v>528</v>
          </cell>
          <cell r="F112">
            <v>852</v>
          </cell>
          <cell r="G112">
            <v>0</v>
          </cell>
        </row>
        <row r="113">
          <cell r="C113">
            <v>9227</v>
          </cell>
          <cell r="D113" t="str">
            <v>CENTRO DE ELECTRICIDAD Y AUTOMATIZACION INDUSTRIAL - CEAI</v>
          </cell>
          <cell r="E113">
            <v>2448</v>
          </cell>
          <cell r="F113">
            <v>1401</v>
          </cell>
          <cell r="G113">
            <v>0</v>
          </cell>
        </row>
        <row r="114">
          <cell r="C114">
            <v>9228</v>
          </cell>
          <cell r="D114" t="str">
            <v>CENTRO DE LA CONSTRUCCION</v>
          </cell>
          <cell r="E114">
            <v>1916</v>
          </cell>
          <cell r="F114">
            <v>1562</v>
          </cell>
          <cell r="G114">
            <v>0</v>
          </cell>
        </row>
        <row r="115">
          <cell r="C115">
            <v>9229</v>
          </cell>
          <cell r="D115" t="str">
            <v>CENTRO DE DISEÑO TECNOLOGICO INDUSTRIAL</v>
          </cell>
          <cell r="E115">
            <v>2116</v>
          </cell>
          <cell r="F115">
            <v>1004</v>
          </cell>
          <cell r="G115">
            <v>69</v>
          </cell>
        </row>
        <row r="116">
          <cell r="C116">
            <v>9230</v>
          </cell>
          <cell r="D116" t="str">
            <v>CENTRO NACIONAL DE ASISTENCIA TECNICA A LA INDUSTRIA - ASTIN</v>
          </cell>
          <cell r="E116">
            <v>1593</v>
          </cell>
          <cell r="F116">
            <v>934</v>
          </cell>
          <cell r="G116">
            <v>0</v>
          </cell>
        </row>
        <row r="117">
          <cell r="C117">
            <v>9311</v>
          </cell>
          <cell r="D117" t="str">
            <v>CENTRO DE GESTION TECNOLÓGICA DE SERVICIOS</v>
          </cell>
          <cell r="E117">
            <v>2620</v>
          </cell>
          <cell r="F117">
            <v>961</v>
          </cell>
          <cell r="G117">
            <v>258</v>
          </cell>
        </row>
        <row r="118">
          <cell r="C118">
            <v>9543</v>
          </cell>
          <cell r="D118" t="str">
            <v>CENTRO DE TECNOLOGIAS AGROINDUSTRIALES</v>
          </cell>
          <cell r="E118">
            <v>1164</v>
          </cell>
          <cell r="F118">
            <v>1548</v>
          </cell>
          <cell r="G118">
            <v>0</v>
          </cell>
        </row>
        <row r="119">
          <cell r="C119">
            <v>9544</v>
          </cell>
          <cell r="D119" t="str">
            <v>CENTRO DE BIOTECNOLOGIA INDUSTRIAL</v>
          </cell>
          <cell r="E119">
            <v>2640</v>
          </cell>
          <cell r="F119">
            <v>870</v>
          </cell>
          <cell r="G119">
            <v>0</v>
          </cell>
        </row>
        <row r="120">
          <cell r="C120">
            <v>9530</v>
          </cell>
          <cell r="D120" t="str">
            <v>CENTRO DE GESTION Y DESARROLLO AGROINDUSTRIAL DE ARAUCA</v>
          </cell>
          <cell r="E120">
            <v>745</v>
          </cell>
          <cell r="F120">
            <v>0</v>
          </cell>
          <cell r="G120">
            <v>0</v>
          </cell>
        </row>
        <row r="121">
          <cell r="C121">
            <v>9519</v>
          </cell>
          <cell r="D121" t="str">
            <v>CENTRO AGROINDUSTRIAL Y FORTALECIMIENTO EMPRESARIAL DE CASANARE</v>
          </cell>
          <cell r="E121">
            <v>1856</v>
          </cell>
          <cell r="F121">
            <v>791</v>
          </cell>
          <cell r="G121">
            <v>69</v>
          </cell>
        </row>
        <row r="122">
          <cell r="C122">
            <v>9518</v>
          </cell>
          <cell r="D122" t="str">
            <v>CENTRO AGROFORESTAL Y ACUICOLA ARAPAIMA</v>
          </cell>
          <cell r="E122">
            <v>1569</v>
          </cell>
          <cell r="F122">
            <v>0</v>
          </cell>
          <cell r="G122">
            <v>177</v>
          </cell>
        </row>
        <row r="123">
          <cell r="C123">
            <v>9539</v>
          </cell>
          <cell r="D123" t="str">
            <v>CENTRO DE FORMACION TURISTICA, GENTE DE MAR Y DE SERVICIOS</v>
          </cell>
          <cell r="E123">
            <v>518</v>
          </cell>
          <cell r="F123">
            <v>1321</v>
          </cell>
          <cell r="G123">
            <v>0</v>
          </cell>
        </row>
        <row r="124">
          <cell r="C124">
            <v>9517</v>
          </cell>
          <cell r="D124" t="str">
            <v>CENTRO PARA LA BIODIVERSIDAD Y EL TURISMO DEL AMAZONAS</v>
          </cell>
          <cell r="E124">
            <v>283</v>
          </cell>
          <cell r="F124">
            <v>328</v>
          </cell>
          <cell r="G124">
            <v>0</v>
          </cell>
        </row>
        <row r="125">
          <cell r="C125">
            <v>9547</v>
          </cell>
          <cell r="D125" t="str">
            <v>CENTRO AMBIENTAL Y ECOTURISTICO DEL NORORIENTE AMAZONICO</v>
          </cell>
          <cell r="E125">
            <v>368</v>
          </cell>
          <cell r="F125">
            <v>393</v>
          </cell>
          <cell r="G125">
            <v>0</v>
          </cell>
        </row>
        <row r="126">
          <cell r="C126">
            <v>9533</v>
          </cell>
          <cell r="D126" t="str">
            <v>CENTRO DE DESARROLLO AGROINDUSTRIAL, TURISTICO Y TECNOLOGICO DEL GUAVIARE</v>
          </cell>
          <cell r="E126">
            <v>1183</v>
          </cell>
          <cell r="F126">
            <v>463</v>
          </cell>
          <cell r="G126">
            <v>40</v>
          </cell>
        </row>
        <row r="127">
          <cell r="C127">
            <v>9548</v>
          </cell>
          <cell r="D127" t="str">
            <v>CENTRO AGROPECUARIO Y DE SERVICIOS AMBIENTALES JIRI - JIRIMO</v>
          </cell>
          <cell r="E127">
            <v>49</v>
          </cell>
          <cell r="F127">
            <v>0</v>
          </cell>
          <cell r="G127">
            <v>0</v>
          </cell>
        </row>
        <row r="128">
          <cell r="C128">
            <v>9531</v>
          </cell>
          <cell r="D128" t="str">
            <v>CENTRO DE PRODUCCIÓN Y TRANSFORMACION AGROINDUSTRIAL DE LA ORINOQUIA</v>
          </cell>
          <cell r="E128">
            <v>394</v>
          </cell>
          <cell r="F128">
            <v>369</v>
          </cell>
          <cell r="G12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S FORMACIÓN X REGIONAL"/>
      <sheetName val="METAS FORMACIÓN X CTROS"/>
      <sheetName val="METAS DETE X REGIONAL"/>
      <sheetName val="METAS DETE X CTROS "/>
      <sheetName val="PROYECCIÓN CUPOS FIC X CTROS"/>
      <sheetName val="PROYECCIÓN CUPOS SALUD X CT (2)"/>
    </sheetNames>
    <sheetDataSet>
      <sheetData sheetId="0" refreshError="1"/>
      <sheetData sheetId="1" refreshError="1">
        <row r="11">
          <cell r="C11">
            <v>9101</v>
          </cell>
        </row>
        <row r="20">
          <cell r="E20">
            <v>3203</v>
          </cell>
          <cell r="G20">
            <v>660</v>
          </cell>
          <cell r="H20">
            <v>0</v>
          </cell>
          <cell r="I20">
            <v>0</v>
          </cell>
          <cell r="J20">
            <v>5193</v>
          </cell>
          <cell r="K20">
            <v>5193</v>
          </cell>
          <cell r="L20">
            <v>293</v>
          </cell>
          <cell r="M20">
            <v>153</v>
          </cell>
          <cell r="N20">
            <v>81</v>
          </cell>
          <cell r="O20">
            <v>527</v>
          </cell>
          <cell r="P20">
            <v>266</v>
          </cell>
          <cell r="Q20">
            <v>228</v>
          </cell>
          <cell r="R20">
            <v>0</v>
          </cell>
          <cell r="S20">
            <v>494</v>
          </cell>
          <cell r="T20">
            <v>3309</v>
          </cell>
          <cell r="V20">
            <v>397</v>
          </cell>
          <cell r="W20">
            <v>98</v>
          </cell>
          <cell r="X20">
            <v>1929</v>
          </cell>
          <cell r="Y20">
            <v>6922</v>
          </cell>
          <cell r="Z20">
            <v>0</v>
          </cell>
          <cell r="AA20">
            <v>7943</v>
          </cell>
          <cell r="AB20">
            <v>13136</v>
          </cell>
          <cell r="AF20">
            <v>0</v>
          </cell>
          <cell r="AG20">
            <v>5120</v>
          </cell>
          <cell r="AI20">
            <v>1460</v>
          </cell>
          <cell r="AJ20">
            <v>48958</v>
          </cell>
          <cell r="AK20">
            <v>62094</v>
          </cell>
          <cell r="AL20">
            <v>8270</v>
          </cell>
          <cell r="AM20">
            <v>1639</v>
          </cell>
          <cell r="AO20">
            <v>0.86274800118448303</v>
          </cell>
          <cell r="AQ20">
            <v>0.82210751605186905</v>
          </cell>
          <cell r="AR20">
            <v>0.84235050478902396</v>
          </cell>
          <cell r="AT20">
            <v>0.80184864240323495</v>
          </cell>
          <cell r="AU20">
            <v>0.85532636337948598</v>
          </cell>
          <cell r="AW20">
            <v>0.81409866017052401</v>
          </cell>
          <cell r="AX20">
            <v>0.909233326939063</v>
          </cell>
          <cell r="AZ20">
            <v>0.69737325871154898</v>
          </cell>
          <cell r="BA20">
            <v>0.89557226399331702</v>
          </cell>
          <cell r="BC20">
            <v>0.72206654427158801</v>
          </cell>
          <cell r="BG20">
            <v>0.94026602176541696</v>
          </cell>
          <cell r="BH20">
            <v>0.96827333740085397</v>
          </cell>
          <cell r="BI20">
            <v>1982</v>
          </cell>
          <cell r="BJ20">
            <v>573</v>
          </cell>
          <cell r="BK20">
            <v>2555</v>
          </cell>
          <cell r="BL20">
            <v>31220</v>
          </cell>
          <cell r="BM20">
            <v>33775</v>
          </cell>
          <cell r="BN20">
            <v>743</v>
          </cell>
          <cell r="BO20">
            <v>6698</v>
          </cell>
          <cell r="BP20">
            <v>1203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C945-333C-40CD-B5B1-DB0F593B5F1D}">
  <dimension ref="A1:BA13"/>
  <sheetViews>
    <sheetView tabSelected="1" topLeftCell="AL1" zoomScale="107" zoomScaleNormal="107" workbookViewId="0">
      <selection activeCell="Y11" sqref="Y11"/>
    </sheetView>
  </sheetViews>
  <sheetFormatPr baseColWidth="10" defaultRowHeight="14.4" x14ac:dyDescent="0.3"/>
  <sheetData>
    <row r="1" spans="1:53" s="6" customFormat="1" ht="156" x14ac:dyDescent="0.3">
      <c r="A1" s="77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98</v>
      </c>
      <c r="G1" s="2" t="s">
        <v>99</v>
      </c>
      <c r="H1" s="3" t="s">
        <v>100</v>
      </c>
      <c r="I1" s="4" t="s">
        <v>101</v>
      </c>
      <c r="J1" s="4" t="s">
        <v>102</v>
      </c>
      <c r="K1" s="5" t="s">
        <v>103</v>
      </c>
      <c r="L1" s="2" t="s">
        <v>104</v>
      </c>
      <c r="M1" s="2" t="s">
        <v>105</v>
      </c>
      <c r="N1" s="3" t="s">
        <v>106</v>
      </c>
      <c r="O1" s="4" t="s">
        <v>107</v>
      </c>
      <c r="P1" s="4" t="s">
        <v>108</v>
      </c>
      <c r="Q1" s="5" t="s">
        <v>109</v>
      </c>
      <c r="R1" s="2" t="s">
        <v>110</v>
      </c>
      <c r="S1" s="2" t="s">
        <v>111</v>
      </c>
      <c r="T1" s="3" t="s">
        <v>112</v>
      </c>
      <c r="U1" s="4" t="s">
        <v>113</v>
      </c>
      <c r="V1" s="4" t="s">
        <v>114</v>
      </c>
      <c r="W1" s="5" t="s">
        <v>115</v>
      </c>
      <c r="X1" s="2" t="s">
        <v>116</v>
      </c>
      <c r="Y1" s="2" t="s">
        <v>117</v>
      </c>
      <c r="Z1" s="3" t="s">
        <v>118</v>
      </c>
      <c r="AA1" s="4" t="s">
        <v>119</v>
      </c>
      <c r="AB1" s="4" t="s">
        <v>120</v>
      </c>
      <c r="AC1" s="5" t="s">
        <v>121</v>
      </c>
      <c r="AD1" s="2" t="s">
        <v>122</v>
      </c>
      <c r="AE1" s="2" t="s">
        <v>123</v>
      </c>
      <c r="AF1" s="3" t="s">
        <v>124</v>
      </c>
      <c r="AG1" s="4" t="s">
        <v>125</v>
      </c>
      <c r="AH1" s="4" t="s">
        <v>126</v>
      </c>
      <c r="AI1" s="5" t="s">
        <v>127</v>
      </c>
      <c r="AJ1" s="2" t="s">
        <v>128</v>
      </c>
      <c r="AK1" s="2" t="s">
        <v>129</v>
      </c>
      <c r="AL1" s="3" t="s">
        <v>130</v>
      </c>
      <c r="AM1" s="4" t="s">
        <v>131</v>
      </c>
      <c r="AN1" s="4" t="s">
        <v>132</v>
      </c>
      <c r="AO1" s="5" t="s">
        <v>133</v>
      </c>
      <c r="AP1" s="2" t="s">
        <v>134</v>
      </c>
      <c r="AQ1" s="2" t="s">
        <v>135</v>
      </c>
      <c r="AR1" s="3" t="s">
        <v>136</v>
      </c>
      <c r="AS1" s="4" t="s">
        <v>137</v>
      </c>
      <c r="AT1" s="4" t="s">
        <v>138</v>
      </c>
      <c r="AU1" s="5" t="s">
        <v>139</v>
      </c>
      <c r="AV1" s="2" t="s">
        <v>140</v>
      </c>
      <c r="AW1" s="2" t="s">
        <v>141</v>
      </c>
      <c r="AX1" s="3" t="s">
        <v>142</v>
      </c>
      <c r="AY1" s="4" t="s">
        <v>143</v>
      </c>
      <c r="AZ1" s="4" t="s">
        <v>144</v>
      </c>
      <c r="BA1" s="5" t="s">
        <v>145</v>
      </c>
    </row>
    <row r="2" spans="1:53" s="6" customFormat="1" ht="15" customHeight="1" x14ac:dyDescent="0.3">
      <c r="A2" s="78" t="s">
        <v>81</v>
      </c>
      <c r="B2" s="41">
        <v>5</v>
      </c>
      <c r="C2" s="41" t="s">
        <v>4</v>
      </c>
      <c r="D2" s="41">
        <v>9201</v>
      </c>
      <c r="E2" s="41" t="s">
        <v>5</v>
      </c>
      <c r="F2" s="7">
        <v>2162</v>
      </c>
      <c r="G2" s="7">
        <v>1251</v>
      </c>
      <c r="H2" s="8">
        <f>IFERROR(G2/F2,0)</f>
        <v>0.57863089731729878</v>
      </c>
      <c r="I2" s="7">
        <v>2162</v>
      </c>
      <c r="J2" s="7">
        <v>1251</v>
      </c>
      <c r="K2" s="8">
        <f>IFERROR(J2/I2,0)</f>
        <v>0.57863089731729878</v>
      </c>
      <c r="L2" s="7">
        <v>2162</v>
      </c>
      <c r="M2" s="7">
        <v>1251</v>
      </c>
      <c r="N2" s="8">
        <f>IFERROR(M2/L2,0)</f>
        <v>0.57863089731729878</v>
      </c>
      <c r="O2" s="7">
        <v>2162</v>
      </c>
      <c r="P2" s="7">
        <v>1251</v>
      </c>
      <c r="Q2" s="8">
        <f>IFERROR(P2/O2,0)</f>
        <v>0.57863089731729878</v>
      </c>
      <c r="R2" s="7">
        <v>110</v>
      </c>
      <c r="S2" s="7">
        <v>21</v>
      </c>
      <c r="T2" s="8">
        <f>IFERROR(S2/R2,0)</f>
        <v>0.19090909090909092</v>
      </c>
      <c r="U2" s="7">
        <v>110</v>
      </c>
      <c r="V2" s="7">
        <v>21</v>
      </c>
      <c r="W2" s="8">
        <f>IFERROR(V2/U2,0)</f>
        <v>0.19090909090909092</v>
      </c>
      <c r="X2" s="7">
        <v>3008</v>
      </c>
      <c r="Y2" s="7">
        <v>1223</v>
      </c>
      <c r="Z2" s="8">
        <f>IFERROR(Y2/X2,0)</f>
        <v>0.40658244680851063</v>
      </c>
      <c r="AA2" s="7">
        <v>3008</v>
      </c>
      <c r="AB2" s="7">
        <v>1223</v>
      </c>
      <c r="AC2" s="8">
        <f>IFERROR(AB2/AA2,0)</f>
        <v>0.40658244680851063</v>
      </c>
      <c r="AD2" s="7">
        <v>3008</v>
      </c>
      <c r="AE2" s="7">
        <v>1244</v>
      </c>
      <c r="AF2" s="8">
        <f>IFERROR(AE2/AD2,0)</f>
        <v>0.41356382978723405</v>
      </c>
      <c r="AG2" s="7">
        <v>3008</v>
      </c>
      <c r="AH2" s="7">
        <v>1244</v>
      </c>
      <c r="AI2" s="8">
        <f>IFERROR(AH2/AG2,0)</f>
        <v>0.41356382978723405</v>
      </c>
      <c r="AJ2" s="7">
        <v>5280</v>
      </c>
      <c r="AK2" s="7">
        <v>2495</v>
      </c>
      <c r="AL2" s="8">
        <f>IFERROR(AK2/AJ2,0)</f>
        <v>0.47253787878787878</v>
      </c>
      <c r="AM2" s="7">
        <v>5280</v>
      </c>
      <c r="AN2" s="7">
        <v>2495</v>
      </c>
      <c r="AO2" s="8">
        <f>IFERROR(AN2/AM2,0)</f>
        <v>0.47253787878787878</v>
      </c>
      <c r="AP2" s="7">
        <v>30679</v>
      </c>
      <c r="AQ2" s="7">
        <v>0</v>
      </c>
      <c r="AR2" s="8">
        <f>IFERROR(AQ2/AP2,0)</f>
        <v>0</v>
      </c>
      <c r="AS2" s="7">
        <v>39356</v>
      </c>
      <c r="AT2" s="7">
        <v>0</v>
      </c>
      <c r="AU2" s="8">
        <f>IFERROR(AT2/AS2,0)</f>
        <v>0</v>
      </c>
      <c r="AV2" s="7">
        <v>35959</v>
      </c>
      <c r="AW2" s="7">
        <v>2495</v>
      </c>
      <c r="AX2" s="8">
        <f>IFERROR(AW2/AV2,0)</f>
        <v>6.9384576879223558E-2</v>
      </c>
      <c r="AY2" s="7">
        <v>44636</v>
      </c>
      <c r="AZ2" s="7">
        <v>2495</v>
      </c>
      <c r="BA2" s="8">
        <f>IFERROR(AZ2/AY2,0)</f>
        <v>5.5896585715565911E-2</v>
      </c>
    </row>
    <row r="3" spans="1:53" s="6" customFormat="1" ht="15" customHeight="1" x14ac:dyDescent="0.3">
      <c r="A3" s="78" t="s">
        <v>82</v>
      </c>
      <c r="B3" s="41">
        <v>5</v>
      </c>
      <c r="C3" s="41" t="s">
        <v>4</v>
      </c>
      <c r="D3" s="41">
        <v>9201</v>
      </c>
      <c r="E3" s="41" t="s">
        <v>5</v>
      </c>
      <c r="F3" s="7">
        <v>2162</v>
      </c>
      <c r="G3" s="7">
        <v>1443</v>
      </c>
      <c r="H3" s="8">
        <f t="shared" ref="H3:H13" si="0">IFERROR(G3/F3,0)</f>
        <v>0.66743755781683622</v>
      </c>
      <c r="I3" s="7">
        <v>2162</v>
      </c>
      <c r="J3" s="7">
        <v>1443</v>
      </c>
      <c r="K3" s="8">
        <f t="shared" ref="K3:K13" si="1">IFERROR(J3/I3,0)</f>
        <v>0.66743755781683622</v>
      </c>
      <c r="L3" s="7">
        <v>2162</v>
      </c>
      <c r="M3" s="7">
        <v>1443</v>
      </c>
      <c r="N3" s="8">
        <f t="shared" ref="N3:N13" si="2">IFERROR(M3/L3,0)</f>
        <v>0.66743755781683622</v>
      </c>
      <c r="O3" s="7">
        <v>2162</v>
      </c>
      <c r="P3" s="7">
        <v>1443</v>
      </c>
      <c r="Q3" s="8">
        <f t="shared" ref="Q3:Q13" si="3">IFERROR(P3/O3,0)</f>
        <v>0.66743755781683622</v>
      </c>
      <c r="R3" s="7">
        <v>110</v>
      </c>
      <c r="S3" s="7">
        <v>33</v>
      </c>
      <c r="T3" s="8">
        <f t="shared" ref="T3:T13" si="4">IFERROR(S3/R3,0)</f>
        <v>0.3</v>
      </c>
      <c r="U3" s="7">
        <v>110</v>
      </c>
      <c r="V3" s="7">
        <v>33</v>
      </c>
      <c r="W3" s="8">
        <f t="shared" ref="W3:W13" si="5">IFERROR(V3/U3,0)</f>
        <v>0.3</v>
      </c>
      <c r="X3" s="7">
        <v>3008</v>
      </c>
      <c r="Y3" s="7">
        <v>1552</v>
      </c>
      <c r="Z3" s="8">
        <f t="shared" ref="Z3:Z13" si="6">IFERROR(Y3/X3,0)</f>
        <v>0.51595744680851063</v>
      </c>
      <c r="AA3" s="7">
        <v>3008</v>
      </c>
      <c r="AB3" s="7">
        <v>1552</v>
      </c>
      <c r="AC3" s="8">
        <f t="shared" ref="AC3:AC13" si="7">IFERROR(AB3/AA3,0)</f>
        <v>0.51595744680851063</v>
      </c>
      <c r="AD3" s="7">
        <v>3118</v>
      </c>
      <c r="AE3" s="7">
        <v>1585</v>
      </c>
      <c r="AF3" s="8">
        <f t="shared" ref="AF3:AF13" si="8">IFERROR(AE3/AD3,0)</f>
        <v>0.50833867864015392</v>
      </c>
      <c r="AG3" s="7">
        <v>3118</v>
      </c>
      <c r="AH3" s="7">
        <v>1585</v>
      </c>
      <c r="AI3" s="8">
        <f t="shared" ref="AI3:AI13" si="9">IFERROR(AH3/AG3,0)</f>
        <v>0.50833867864015392</v>
      </c>
      <c r="AJ3" s="7">
        <v>5280</v>
      </c>
      <c r="AK3" s="7">
        <v>3028</v>
      </c>
      <c r="AL3" s="8">
        <f t="shared" ref="AL3:AL13" si="10">IFERROR(AK3/AJ3,0)</f>
        <v>0.57348484848484849</v>
      </c>
      <c r="AM3" s="7">
        <v>5280</v>
      </c>
      <c r="AN3" s="7">
        <v>3028</v>
      </c>
      <c r="AO3" s="8">
        <f t="shared" ref="AO3:AO13" si="11">IFERROR(AN3/AM3,0)</f>
        <v>0.57348484848484849</v>
      </c>
      <c r="AP3" s="7">
        <v>30679</v>
      </c>
      <c r="AQ3" s="7">
        <v>3329</v>
      </c>
      <c r="AR3" s="8">
        <f t="shared" ref="AR3:AR13" si="12">IFERROR(AQ3/AP3,0)</f>
        <v>0.10851070765018417</v>
      </c>
      <c r="AS3" s="7">
        <v>39356</v>
      </c>
      <c r="AT3" s="7">
        <v>3976</v>
      </c>
      <c r="AU3" s="8">
        <f t="shared" ref="AU3:AU13" si="13">IFERROR(AT3/AS3,0)</f>
        <v>0.10102652708608599</v>
      </c>
      <c r="AV3" s="7">
        <v>35959</v>
      </c>
      <c r="AW3" s="7">
        <v>6357</v>
      </c>
      <c r="AX3" s="8">
        <f t="shared" ref="AX3:AX13" si="14">IFERROR(AW3/AV3,0)</f>
        <v>0.17678467143135237</v>
      </c>
      <c r="AY3" s="7">
        <v>44636</v>
      </c>
      <c r="AZ3" s="7">
        <v>7004</v>
      </c>
      <c r="BA3" s="8">
        <f t="shared" ref="BA3:BA13" si="15">IFERROR(AZ3/AY3,0)</f>
        <v>0.15691370194461871</v>
      </c>
    </row>
    <row r="4" spans="1:53" s="6" customFormat="1" ht="15" customHeight="1" x14ac:dyDescent="0.3">
      <c r="A4" s="78" t="s">
        <v>83</v>
      </c>
      <c r="B4" s="41">
        <v>5</v>
      </c>
      <c r="C4" s="41" t="s">
        <v>4</v>
      </c>
      <c r="D4" s="41">
        <v>9201</v>
      </c>
      <c r="E4" s="41" t="s">
        <v>5</v>
      </c>
      <c r="F4" s="7">
        <v>2162</v>
      </c>
      <c r="G4" s="7">
        <v>1528</v>
      </c>
      <c r="H4" s="8">
        <f t="shared" si="0"/>
        <v>0.70675300647548567</v>
      </c>
      <c r="I4" s="7">
        <v>2162</v>
      </c>
      <c r="J4" s="7">
        <v>1528</v>
      </c>
      <c r="K4" s="8">
        <f t="shared" si="1"/>
        <v>0.70675300647548567</v>
      </c>
      <c r="L4" s="7">
        <v>2162</v>
      </c>
      <c r="M4" s="7">
        <v>1528</v>
      </c>
      <c r="N4" s="8">
        <f t="shared" si="2"/>
        <v>0.70675300647548567</v>
      </c>
      <c r="O4" s="7">
        <v>2162</v>
      </c>
      <c r="P4" s="7">
        <v>1528</v>
      </c>
      <c r="Q4" s="8">
        <f t="shared" si="3"/>
        <v>0.70675300647548567</v>
      </c>
      <c r="R4" s="7">
        <v>110</v>
      </c>
      <c r="S4" s="7">
        <v>33</v>
      </c>
      <c r="T4" s="8">
        <f t="shared" si="4"/>
        <v>0.3</v>
      </c>
      <c r="U4" s="7">
        <v>110</v>
      </c>
      <c r="V4" s="7">
        <v>33</v>
      </c>
      <c r="W4" s="8">
        <f t="shared" si="5"/>
        <v>0.3</v>
      </c>
      <c r="X4" s="7">
        <v>3008</v>
      </c>
      <c r="Y4" s="7">
        <v>2311</v>
      </c>
      <c r="Z4" s="8">
        <f t="shared" si="6"/>
        <v>0.76828457446808507</v>
      </c>
      <c r="AA4" s="7">
        <v>3008</v>
      </c>
      <c r="AB4" s="7">
        <v>2311</v>
      </c>
      <c r="AC4" s="8">
        <f t="shared" si="7"/>
        <v>0.76828457446808507</v>
      </c>
      <c r="AD4" s="7">
        <v>3118</v>
      </c>
      <c r="AE4" s="7">
        <v>2344</v>
      </c>
      <c r="AF4" s="8">
        <f t="shared" si="8"/>
        <v>0.75176395125080175</v>
      </c>
      <c r="AG4" s="7">
        <v>3118</v>
      </c>
      <c r="AH4" s="7">
        <v>2344</v>
      </c>
      <c r="AI4" s="8">
        <f t="shared" si="9"/>
        <v>0.75176395125080175</v>
      </c>
      <c r="AJ4" s="7">
        <v>5280</v>
      </c>
      <c r="AK4" s="7">
        <v>3872</v>
      </c>
      <c r="AL4" s="8">
        <f t="shared" si="10"/>
        <v>0.73333333333333328</v>
      </c>
      <c r="AM4" s="7">
        <v>5280</v>
      </c>
      <c r="AN4" s="7">
        <v>3872</v>
      </c>
      <c r="AO4" s="8">
        <f t="shared" si="11"/>
        <v>0.73333333333333328</v>
      </c>
      <c r="AP4" s="7">
        <v>30679</v>
      </c>
      <c r="AQ4" s="7">
        <v>7262</v>
      </c>
      <c r="AR4" s="8">
        <f t="shared" si="12"/>
        <v>0.23670914958114672</v>
      </c>
      <c r="AS4" s="7">
        <v>39356</v>
      </c>
      <c r="AT4" s="7">
        <v>8598</v>
      </c>
      <c r="AU4" s="8">
        <f t="shared" si="13"/>
        <v>0.21846732391503201</v>
      </c>
      <c r="AV4" s="7">
        <v>35959</v>
      </c>
      <c r="AW4" s="7">
        <v>11134</v>
      </c>
      <c r="AX4" s="8">
        <f t="shared" si="14"/>
        <v>0.3096304124141383</v>
      </c>
      <c r="AY4" s="7">
        <v>44636</v>
      </c>
      <c r="AZ4" s="7">
        <v>12470</v>
      </c>
      <c r="BA4" s="8">
        <f t="shared" si="15"/>
        <v>0.27937091137198672</v>
      </c>
    </row>
    <row r="5" spans="1:53" s="6" customFormat="1" ht="15" customHeight="1" x14ac:dyDescent="0.3">
      <c r="A5" s="78" t="s">
        <v>84</v>
      </c>
      <c r="B5" s="41">
        <v>5</v>
      </c>
      <c r="C5" s="41" t="s">
        <v>4</v>
      </c>
      <c r="D5" s="41">
        <v>9201</v>
      </c>
      <c r="E5" s="41" t="s">
        <v>5</v>
      </c>
      <c r="F5" s="7">
        <v>2162</v>
      </c>
      <c r="G5" s="7">
        <v>1528</v>
      </c>
      <c r="H5" s="8">
        <f t="shared" si="0"/>
        <v>0.70675300647548567</v>
      </c>
      <c r="I5" s="7">
        <v>2162</v>
      </c>
      <c r="J5" s="7">
        <v>1528</v>
      </c>
      <c r="K5" s="8">
        <f t="shared" si="1"/>
        <v>0.70675300647548567</v>
      </c>
      <c r="L5" s="7">
        <v>2162</v>
      </c>
      <c r="M5" s="7">
        <v>1528</v>
      </c>
      <c r="N5" s="8">
        <f t="shared" si="2"/>
        <v>0.70675300647548567</v>
      </c>
      <c r="O5" s="7">
        <v>2162</v>
      </c>
      <c r="P5" s="7">
        <v>1528</v>
      </c>
      <c r="Q5" s="8">
        <f t="shared" si="3"/>
        <v>0.70675300647548567</v>
      </c>
      <c r="R5" s="7">
        <v>110</v>
      </c>
      <c r="S5" s="7">
        <v>59</v>
      </c>
      <c r="T5" s="8">
        <f t="shared" si="4"/>
        <v>0.53636363636363638</v>
      </c>
      <c r="U5" s="7">
        <v>110</v>
      </c>
      <c r="V5" s="7">
        <v>59</v>
      </c>
      <c r="W5" s="8">
        <f t="shared" si="5"/>
        <v>0.53636363636363638</v>
      </c>
      <c r="X5" s="7">
        <v>3008</v>
      </c>
      <c r="Y5" s="7">
        <v>2340</v>
      </c>
      <c r="Z5" s="8">
        <f t="shared" si="6"/>
        <v>0.77792553191489366</v>
      </c>
      <c r="AA5" s="7">
        <v>3008</v>
      </c>
      <c r="AB5" s="7">
        <v>2340</v>
      </c>
      <c r="AC5" s="8">
        <f t="shared" si="7"/>
        <v>0.77792553191489366</v>
      </c>
      <c r="AD5" s="7">
        <v>3118</v>
      </c>
      <c r="AE5" s="7">
        <v>2399</v>
      </c>
      <c r="AF5" s="8">
        <f t="shared" si="8"/>
        <v>0.76940346375881974</v>
      </c>
      <c r="AG5" s="7">
        <v>3118</v>
      </c>
      <c r="AH5" s="7">
        <v>2399</v>
      </c>
      <c r="AI5" s="8">
        <f t="shared" si="9"/>
        <v>0.76940346375881974</v>
      </c>
      <c r="AJ5" s="7">
        <v>5280</v>
      </c>
      <c r="AK5" s="7">
        <v>3927</v>
      </c>
      <c r="AL5" s="8">
        <f t="shared" si="10"/>
        <v>0.74375000000000002</v>
      </c>
      <c r="AM5" s="7">
        <v>5280</v>
      </c>
      <c r="AN5" s="7">
        <v>3927</v>
      </c>
      <c r="AO5" s="8">
        <f t="shared" si="11"/>
        <v>0.74375000000000002</v>
      </c>
      <c r="AP5" s="7">
        <v>30679</v>
      </c>
      <c r="AQ5" s="7">
        <v>10391</v>
      </c>
      <c r="AR5" s="8">
        <f t="shared" si="12"/>
        <v>0.33870073991981486</v>
      </c>
      <c r="AS5" s="7">
        <v>39356</v>
      </c>
      <c r="AT5" s="7">
        <v>12623</v>
      </c>
      <c r="AU5" s="8">
        <f t="shared" si="13"/>
        <v>0.32073889622929158</v>
      </c>
      <c r="AV5" s="7">
        <v>35959</v>
      </c>
      <c r="AW5" s="7">
        <v>14318</v>
      </c>
      <c r="AX5" s="8">
        <f t="shared" si="14"/>
        <v>0.39817570010289494</v>
      </c>
      <c r="AY5" s="7">
        <v>44636</v>
      </c>
      <c r="AZ5" s="7">
        <v>16550</v>
      </c>
      <c r="BA5" s="8">
        <f t="shared" si="15"/>
        <v>0.37077695133972577</v>
      </c>
    </row>
    <row r="6" spans="1:53" s="6" customFormat="1" ht="15" customHeight="1" x14ac:dyDescent="0.3">
      <c r="A6" s="78" t="s">
        <v>85</v>
      </c>
      <c r="B6" s="41">
        <v>5</v>
      </c>
      <c r="C6" s="41" t="s">
        <v>4</v>
      </c>
      <c r="D6" s="41">
        <v>9201</v>
      </c>
      <c r="E6" s="41" t="s">
        <v>5</v>
      </c>
      <c r="F6" s="7">
        <v>2162</v>
      </c>
      <c r="G6" s="7">
        <v>1720</v>
      </c>
      <c r="H6" s="8">
        <f t="shared" si="0"/>
        <v>0.79555966697502312</v>
      </c>
      <c r="I6" s="7">
        <v>2162</v>
      </c>
      <c r="J6" s="7">
        <v>1720</v>
      </c>
      <c r="K6" s="8">
        <f t="shared" si="1"/>
        <v>0.79555966697502312</v>
      </c>
      <c r="L6" s="7">
        <v>2162</v>
      </c>
      <c r="M6" s="7">
        <v>1720</v>
      </c>
      <c r="N6" s="8">
        <f t="shared" si="2"/>
        <v>0.79555966697502312</v>
      </c>
      <c r="O6" s="7">
        <v>2162</v>
      </c>
      <c r="P6" s="7">
        <v>1720</v>
      </c>
      <c r="Q6" s="8">
        <f t="shared" si="3"/>
        <v>0.79555966697502312</v>
      </c>
      <c r="R6" s="7">
        <v>110</v>
      </c>
      <c r="S6" s="7">
        <v>96</v>
      </c>
      <c r="T6" s="8">
        <f t="shared" si="4"/>
        <v>0.87272727272727268</v>
      </c>
      <c r="U6" s="7">
        <v>110</v>
      </c>
      <c r="V6" s="7">
        <v>96</v>
      </c>
      <c r="W6" s="8">
        <f t="shared" si="5"/>
        <v>0.87272727272727268</v>
      </c>
      <c r="X6" s="7">
        <v>3008</v>
      </c>
      <c r="Y6" s="7">
        <v>2394</v>
      </c>
      <c r="Z6" s="8">
        <f t="shared" si="6"/>
        <v>0.7958776595744681</v>
      </c>
      <c r="AA6" s="7">
        <v>3008</v>
      </c>
      <c r="AB6" s="7">
        <v>2394</v>
      </c>
      <c r="AC6" s="8">
        <f t="shared" si="7"/>
        <v>0.7958776595744681</v>
      </c>
      <c r="AD6" s="7">
        <v>3118</v>
      </c>
      <c r="AE6" s="7">
        <v>2490</v>
      </c>
      <c r="AF6" s="8">
        <f t="shared" si="8"/>
        <v>0.79858883899935851</v>
      </c>
      <c r="AG6" s="7">
        <v>3118</v>
      </c>
      <c r="AH6" s="7">
        <v>2490</v>
      </c>
      <c r="AI6" s="8">
        <f t="shared" si="9"/>
        <v>0.79858883899935851</v>
      </c>
      <c r="AJ6" s="7">
        <v>5280</v>
      </c>
      <c r="AK6" s="7">
        <v>4210</v>
      </c>
      <c r="AL6" s="8">
        <f t="shared" si="10"/>
        <v>0.79734848484848486</v>
      </c>
      <c r="AM6" s="7">
        <v>5280</v>
      </c>
      <c r="AN6" s="7">
        <v>4210</v>
      </c>
      <c r="AO6" s="8">
        <f t="shared" si="11"/>
        <v>0.79734848484848486</v>
      </c>
      <c r="AP6" s="7">
        <v>30679</v>
      </c>
      <c r="AQ6" s="7">
        <v>12765</v>
      </c>
      <c r="AR6" s="8">
        <f t="shared" si="12"/>
        <v>0.41608266240751002</v>
      </c>
      <c r="AS6" s="7">
        <v>39356</v>
      </c>
      <c r="AT6" s="7">
        <v>16067</v>
      </c>
      <c r="AU6" s="8">
        <f t="shared" si="13"/>
        <v>0.40824778940949286</v>
      </c>
      <c r="AV6" s="7">
        <v>35959</v>
      </c>
      <c r="AW6" s="7">
        <v>16975</v>
      </c>
      <c r="AX6" s="8">
        <f t="shared" si="14"/>
        <v>0.47206540782557915</v>
      </c>
      <c r="AY6" s="7">
        <v>44636</v>
      </c>
      <c r="AZ6" s="7">
        <v>20277</v>
      </c>
      <c r="BA6" s="8">
        <f t="shared" si="15"/>
        <v>0.4542745765749619</v>
      </c>
    </row>
    <row r="7" spans="1:53" s="6" customFormat="1" ht="15" customHeight="1" x14ac:dyDescent="0.3">
      <c r="A7" s="78" t="s">
        <v>86</v>
      </c>
      <c r="B7" s="41">
        <v>5</v>
      </c>
      <c r="C7" s="41" t="s">
        <v>4</v>
      </c>
      <c r="D7" s="41">
        <v>9201</v>
      </c>
      <c r="E7" s="41" t="s">
        <v>5</v>
      </c>
      <c r="F7" s="7">
        <v>2162</v>
      </c>
      <c r="G7" s="7">
        <v>1720</v>
      </c>
      <c r="H7" s="8">
        <f t="shared" si="0"/>
        <v>0.79555966697502312</v>
      </c>
      <c r="I7" s="7">
        <v>2162</v>
      </c>
      <c r="J7" s="7">
        <v>1720</v>
      </c>
      <c r="K7" s="8">
        <f t="shared" si="1"/>
        <v>0.79555966697502312</v>
      </c>
      <c r="L7" s="7">
        <v>2162</v>
      </c>
      <c r="M7" s="7">
        <v>1720</v>
      </c>
      <c r="N7" s="8">
        <f t="shared" si="2"/>
        <v>0.79555966697502312</v>
      </c>
      <c r="O7" s="7">
        <v>2162</v>
      </c>
      <c r="P7" s="7">
        <v>1720</v>
      </c>
      <c r="Q7" s="8">
        <f t="shared" si="3"/>
        <v>0.79555966697502312</v>
      </c>
      <c r="R7" s="7">
        <v>110</v>
      </c>
      <c r="S7" s="7">
        <v>96</v>
      </c>
      <c r="T7" s="8">
        <f t="shared" si="4"/>
        <v>0.87272727272727268</v>
      </c>
      <c r="U7" s="7">
        <v>110</v>
      </c>
      <c r="V7" s="7">
        <v>96</v>
      </c>
      <c r="W7" s="8">
        <f t="shared" si="5"/>
        <v>0.87272727272727268</v>
      </c>
      <c r="X7" s="7">
        <v>3008</v>
      </c>
      <c r="Y7" s="7">
        <v>2461</v>
      </c>
      <c r="Z7" s="8">
        <f t="shared" si="6"/>
        <v>0.81815159574468088</v>
      </c>
      <c r="AA7" s="7">
        <v>3008</v>
      </c>
      <c r="AB7" s="7">
        <v>2461</v>
      </c>
      <c r="AC7" s="8">
        <f t="shared" si="7"/>
        <v>0.81815159574468088</v>
      </c>
      <c r="AD7" s="7">
        <v>3118</v>
      </c>
      <c r="AE7" s="7">
        <v>2557</v>
      </c>
      <c r="AF7" s="8">
        <f t="shared" si="8"/>
        <v>0.82007697241821675</v>
      </c>
      <c r="AG7" s="7">
        <v>3118</v>
      </c>
      <c r="AH7" s="7">
        <v>2557</v>
      </c>
      <c r="AI7" s="8">
        <f t="shared" si="9"/>
        <v>0.82007697241821675</v>
      </c>
      <c r="AJ7" s="7">
        <v>5280</v>
      </c>
      <c r="AK7" s="7">
        <v>4277</v>
      </c>
      <c r="AL7" s="8">
        <f t="shared" si="10"/>
        <v>0.81003787878787881</v>
      </c>
      <c r="AM7" s="7">
        <v>5280</v>
      </c>
      <c r="AN7" s="7">
        <v>4277</v>
      </c>
      <c r="AO7" s="8">
        <f t="shared" si="11"/>
        <v>0.81003787878787881</v>
      </c>
      <c r="AP7" s="7">
        <v>30679</v>
      </c>
      <c r="AQ7" s="7">
        <v>16027</v>
      </c>
      <c r="AR7" s="8">
        <f t="shared" si="12"/>
        <v>0.52240946575833636</v>
      </c>
      <c r="AS7" s="7">
        <v>39356</v>
      </c>
      <c r="AT7" s="7">
        <v>20844</v>
      </c>
      <c r="AU7" s="8">
        <f t="shared" si="13"/>
        <v>0.52962699461327367</v>
      </c>
      <c r="AV7" s="7">
        <v>35959</v>
      </c>
      <c r="AW7" s="7">
        <v>20304</v>
      </c>
      <c r="AX7" s="8">
        <f t="shared" si="14"/>
        <v>0.56464306571372957</v>
      </c>
      <c r="AY7" s="7">
        <v>44636</v>
      </c>
      <c r="AZ7" s="7">
        <v>25121</v>
      </c>
      <c r="BA7" s="8">
        <f t="shared" si="15"/>
        <v>0.56279684559548349</v>
      </c>
    </row>
    <row r="8" spans="1:53" s="58" customFormat="1" ht="15.6" x14ac:dyDescent="0.3">
      <c r="A8" s="78" t="s">
        <v>87</v>
      </c>
      <c r="B8" s="79">
        <v>5</v>
      </c>
      <c r="C8" s="79" t="s">
        <v>4</v>
      </c>
      <c r="D8" s="79">
        <v>9201</v>
      </c>
      <c r="E8" s="79" t="s">
        <v>5</v>
      </c>
      <c r="F8" s="7">
        <v>2589</v>
      </c>
      <c r="G8" s="7">
        <v>1804</v>
      </c>
      <c r="H8" s="8">
        <f t="shared" si="0"/>
        <v>0.69679412900733873</v>
      </c>
      <c r="I8" s="7">
        <v>2589</v>
      </c>
      <c r="J8" s="7">
        <v>1804</v>
      </c>
      <c r="K8" s="8">
        <f t="shared" si="1"/>
        <v>0.69679412900733873</v>
      </c>
      <c r="L8" s="7">
        <v>2589</v>
      </c>
      <c r="M8" s="7">
        <v>1804</v>
      </c>
      <c r="N8" s="8">
        <f t="shared" si="2"/>
        <v>0.69679412900733873</v>
      </c>
      <c r="O8" s="7">
        <v>2589</v>
      </c>
      <c r="P8" s="7">
        <v>1804</v>
      </c>
      <c r="Q8" s="8">
        <f t="shared" si="3"/>
        <v>0.69679412900733873</v>
      </c>
      <c r="R8" s="7">
        <v>110</v>
      </c>
      <c r="S8" s="7">
        <v>96</v>
      </c>
      <c r="T8" s="8">
        <f t="shared" si="4"/>
        <v>0.87272727272727268</v>
      </c>
      <c r="U8" s="7">
        <v>110</v>
      </c>
      <c r="V8" s="7">
        <v>96</v>
      </c>
      <c r="W8" s="8">
        <f t="shared" si="5"/>
        <v>0.87272727272727268</v>
      </c>
      <c r="X8" s="7">
        <v>3008</v>
      </c>
      <c r="Y8" s="7">
        <v>2577</v>
      </c>
      <c r="Z8" s="8">
        <f t="shared" si="6"/>
        <v>0.85671542553191493</v>
      </c>
      <c r="AA8" s="7">
        <v>3008</v>
      </c>
      <c r="AB8" s="7">
        <v>2577</v>
      </c>
      <c r="AC8" s="8">
        <f t="shared" si="7"/>
        <v>0.85671542553191493</v>
      </c>
      <c r="AD8" s="7">
        <v>3118</v>
      </c>
      <c r="AE8" s="7">
        <v>2673</v>
      </c>
      <c r="AF8" s="8">
        <f t="shared" si="8"/>
        <v>0.85728030788967291</v>
      </c>
      <c r="AG8" s="7">
        <v>3118</v>
      </c>
      <c r="AH8" s="7">
        <v>2673</v>
      </c>
      <c r="AI8" s="8">
        <f t="shared" si="9"/>
        <v>0.85728030788967291</v>
      </c>
      <c r="AJ8" s="7">
        <v>5707</v>
      </c>
      <c r="AK8" s="7">
        <v>4477</v>
      </c>
      <c r="AL8" s="8">
        <f t="shared" si="10"/>
        <v>0.78447520588750652</v>
      </c>
      <c r="AM8" s="7">
        <v>5707</v>
      </c>
      <c r="AN8" s="7">
        <v>4477</v>
      </c>
      <c r="AO8" s="8">
        <f t="shared" si="11"/>
        <v>0.78447520588750652</v>
      </c>
      <c r="AP8" s="7">
        <v>39356</v>
      </c>
      <c r="AQ8" s="7">
        <v>25498</v>
      </c>
      <c r="AR8" s="8">
        <f t="shared" si="12"/>
        <v>0.64788088220347595</v>
      </c>
      <c r="AS8" s="7">
        <v>30679</v>
      </c>
      <c r="AT8" s="7">
        <v>19544</v>
      </c>
      <c r="AU8" s="8">
        <f t="shared" si="13"/>
        <v>0.63704814368134555</v>
      </c>
      <c r="AV8" s="7">
        <v>45063</v>
      </c>
      <c r="AW8" s="7">
        <v>29975</v>
      </c>
      <c r="AX8" s="8">
        <f t="shared" si="14"/>
        <v>0.66517985930807977</v>
      </c>
      <c r="AY8" s="7">
        <v>36386</v>
      </c>
      <c r="AZ8" s="7">
        <v>24021</v>
      </c>
      <c r="BA8" s="8">
        <f t="shared" si="15"/>
        <v>0.66017149453086355</v>
      </c>
    </row>
    <row r="9" spans="1:53" s="58" customFormat="1" ht="15.6" x14ac:dyDescent="0.3">
      <c r="A9" s="78" t="s">
        <v>88</v>
      </c>
      <c r="B9" s="79">
        <v>5</v>
      </c>
      <c r="C9" s="79" t="s">
        <v>4</v>
      </c>
      <c r="D9" s="79">
        <v>9201</v>
      </c>
      <c r="E9" s="79" t="s">
        <v>5</v>
      </c>
      <c r="F9" s="11">
        <v>2589</v>
      </c>
      <c r="G9" s="7">
        <v>1815</v>
      </c>
      <c r="H9" s="8">
        <f t="shared" si="0"/>
        <v>0.70104287369640783</v>
      </c>
      <c r="I9" s="11">
        <v>2589</v>
      </c>
      <c r="J9" s="7">
        <v>1815</v>
      </c>
      <c r="K9" s="8">
        <f t="shared" si="1"/>
        <v>0.70104287369640783</v>
      </c>
      <c r="L9" s="11">
        <v>2589</v>
      </c>
      <c r="M9" s="7">
        <v>1815</v>
      </c>
      <c r="N9" s="8">
        <f t="shared" si="2"/>
        <v>0.70104287369640783</v>
      </c>
      <c r="O9" s="11">
        <v>2589</v>
      </c>
      <c r="P9" s="7">
        <v>1815</v>
      </c>
      <c r="Q9" s="8">
        <f t="shared" si="3"/>
        <v>0.70104287369640783</v>
      </c>
      <c r="R9" s="11">
        <v>110</v>
      </c>
      <c r="S9" s="7">
        <v>118</v>
      </c>
      <c r="T9" s="8">
        <f t="shared" si="4"/>
        <v>1.0727272727272728</v>
      </c>
      <c r="U9" s="11">
        <v>110</v>
      </c>
      <c r="V9" s="7">
        <v>118</v>
      </c>
      <c r="W9" s="8">
        <f t="shared" si="5"/>
        <v>1.0727272727272728</v>
      </c>
      <c r="X9" s="11">
        <v>3008</v>
      </c>
      <c r="Y9" s="7">
        <v>2608</v>
      </c>
      <c r="Z9" s="8">
        <f t="shared" si="6"/>
        <v>0.86702127659574468</v>
      </c>
      <c r="AA9" s="11">
        <v>3008</v>
      </c>
      <c r="AB9" s="7">
        <v>2608</v>
      </c>
      <c r="AC9" s="8">
        <f t="shared" si="7"/>
        <v>0.86702127659574468</v>
      </c>
      <c r="AD9" s="11">
        <v>3118</v>
      </c>
      <c r="AE9" s="7">
        <v>2726</v>
      </c>
      <c r="AF9" s="8">
        <f t="shared" si="8"/>
        <v>0.8742783835792175</v>
      </c>
      <c r="AG9" s="11">
        <v>3118</v>
      </c>
      <c r="AH9" s="7">
        <v>2726</v>
      </c>
      <c r="AI9" s="8">
        <f t="shared" si="9"/>
        <v>0.8742783835792175</v>
      </c>
      <c r="AJ9" s="11">
        <v>5707</v>
      </c>
      <c r="AK9" s="7">
        <v>4541</v>
      </c>
      <c r="AL9" s="8">
        <f t="shared" si="10"/>
        <v>0.79568950411775008</v>
      </c>
      <c r="AM9" s="11">
        <v>5707</v>
      </c>
      <c r="AN9" s="7">
        <v>4541</v>
      </c>
      <c r="AO9" s="8">
        <f t="shared" si="11"/>
        <v>0.79568950411775008</v>
      </c>
      <c r="AP9" s="11">
        <v>39356</v>
      </c>
      <c r="AQ9" s="7">
        <v>30200</v>
      </c>
      <c r="AR9" s="8">
        <f t="shared" si="12"/>
        <v>0.76735440593556259</v>
      </c>
      <c r="AS9" s="11">
        <v>30679</v>
      </c>
      <c r="AT9" s="7">
        <v>23199</v>
      </c>
      <c r="AU9" s="8">
        <f t="shared" si="13"/>
        <v>0.75618501254930082</v>
      </c>
      <c r="AV9" s="11">
        <v>45063</v>
      </c>
      <c r="AW9" s="7">
        <v>34741</v>
      </c>
      <c r="AX9" s="8">
        <f t="shared" si="14"/>
        <v>0.77094290215919936</v>
      </c>
      <c r="AY9" s="11">
        <v>36386</v>
      </c>
      <c r="AZ9" s="7">
        <v>27740</v>
      </c>
      <c r="BA9" s="8">
        <f t="shared" si="15"/>
        <v>0.76238113560160503</v>
      </c>
    </row>
    <row r="10" spans="1:53" s="58" customFormat="1" ht="15.6" x14ac:dyDescent="0.3">
      <c r="A10" s="78" t="s">
        <v>89</v>
      </c>
      <c r="B10" s="79">
        <v>5</v>
      </c>
      <c r="C10" s="79" t="s">
        <v>4</v>
      </c>
      <c r="D10" s="79">
        <v>9201</v>
      </c>
      <c r="E10" s="79" t="s">
        <v>5</v>
      </c>
      <c r="F10" s="11">
        <v>2589</v>
      </c>
      <c r="G10" s="7">
        <v>1994</v>
      </c>
      <c r="H10" s="8">
        <f t="shared" si="0"/>
        <v>0.77018153727307836</v>
      </c>
      <c r="I10" s="11">
        <v>2589</v>
      </c>
      <c r="J10" s="7">
        <v>1994</v>
      </c>
      <c r="K10" s="8">
        <f t="shared" si="1"/>
        <v>0.77018153727307836</v>
      </c>
      <c r="L10" s="11">
        <v>2589</v>
      </c>
      <c r="M10" s="7">
        <v>1994</v>
      </c>
      <c r="N10" s="8">
        <f t="shared" si="2"/>
        <v>0.77018153727307836</v>
      </c>
      <c r="O10" s="11">
        <v>2589</v>
      </c>
      <c r="P10" s="7">
        <v>1994</v>
      </c>
      <c r="Q10" s="8">
        <f t="shared" si="3"/>
        <v>0.77018153727307836</v>
      </c>
      <c r="R10" s="11">
        <v>110</v>
      </c>
      <c r="S10" s="7">
        <v>118</v>
      </c>
      <c r="T10" s="8">
        <f t="shared" si="4"/>
        <v>1.0727272727272728</v>
      </c>
      <c r="U10" s="11">
        <v>110</v>
      </c>
      <c r="V10" s="7">
        <v>118</v>
      </c>
      <c r="W10" s="8">
        <f t="shared" si="5"/>
        <v>1.0727272727272728</v>
      </c>
      <c r="X10" s="11">
        <v>3008</v>
      </c>
      <c r="Y10" s="7">
        <v>2739</v>
      </c>
      <c r="Z10" s="8">
        <f t="shared" si="6"/>
        <v>0.91057180851063835</v>
      </c>
      <c r="AA10" s="11">
        <v>3008</v>
      </c>
      <c r="AB10" s="7">
        <v>2739</v>
      </c>
      <c r="AC10" s="8">
        <f t="shared" si="7"/>
        <v>0.91057180851063835</v>
      </c>
      <c r="AD10" s="11">
        <v>3118</v>
      </c>
      <c r="AE10" s="7">
        <v>2857</v>
      </c>
      <c r="AF10" s="8">
        <f t="shared" si="8"/>
        <v>0.91629249518922384</v>
      </c>
      <c r="AG10" s="11">
        <v>3118</v>
      </c>
      <c r="AH10" s="7">
        <v>2857</v>
      </c>
      <c r="AI10" s="8">
        <f t="shared" si="9"/>
        <v>0.91629249518922384</v>
      </c>
      <c r="AJ10" s="11">
        <v>5707</v>
      </c>
      <c r="AK10" s="7">
        <v>4851</v>
      </c>
      <c r="AL10" s="8">
        <f t="shared" si="10"/>
        <v>0.8500087611704924</v>
      </c>
      <c r="AM10" s="11">
        <v>5707</v>
      </c>
      <c r="AN10" s="7">
        <v>4851</v>
      </c>
      <c r="AO10" s="8">
        <f t="shared" si="11"/>
        <v>0.8500087611704924</v>
      </c>
      <c r="AP10" s="11">
        <v>39356</v>
      </c>
      <c r="AQ10" s="7">
        <v>34261</v>
      </c>
      <c r="AR10" s="8">
        <f t="shared" si="12"/>
        <v>0.8705407053562354</v>
      </c>
      <c r="AS10" s="11">
        <v>30679</v>
      </c>
      <c r="AT10" s="7">
        <v>26104</v>
      </c>
      <c r="AU10" s="8">
        <f t="shared" si="13"/>
        <v>0.85087519149907098</v>
      </c>
      <c r="AV10" s="11">
        <v>45063</v>
      </c>
      <c r="AW10" s="7">
        <v>39112</v>
      </c>
      <c r="AX10" s="8">
        <f t="shared" si="14"/>
        <v>0.86794043894103812</v>
      </c>
      <c r="AY10" s="11">
        <v>36386</v>
      </c>
      <c r="AZ10" s="7">
        <v>30955</v>
      </c>
      <c r="BA10" s="8">
        <f t="shared" si="15"/>
        <v>0.85073929533337</v>
      </c>
    </row>
    <row r="11" spans="1:53" s="58" customFormat="1" ht="15.6" x14ac:dyDescent="0.3">
      <c r="A11" s="78" t="s">
        <v>90</v>
      </c>
      <c r="B11" s="79">
        <v>5</v>
      </c>
      <c r="C11" s="79" t="s">
        <v>4</v>
      </c>
      <c r="D11" s="79">
        <v>9201</v>
      </c>
      <c r="E11" s="79" t="s">
        <v>5</v>
      </c>
      <c r="F11" s="11">
        <v>2589</v>
      </c>
      <c r="G11" s="7">
        <v>2109</v>
      </c>
      <c r="H11" s="8">
        <f t="shared" si="0"/>
        <v>0.8146002317497103</v>
      </c>
      <c r="I11" s="11">
        <v>2589</v>
      </c>
      <c r="J11" s="7">
        <v>2109</v>
      </c>
      <c r="K11" s="8">
        <f t="shared" si="1"/>
        <v>0.8146002317497103</v>
      </c>
      <c r="L11" s="11">
        <v>2589</v>
      </c>
      <c r="M11" s="7">
        <v>2109</v>
      </c>
      <c r="N11" s="8">
        <f t="shared" si="2"/>
        <v>0.8146002317497103</v>
      </c>
      <c r="O11" s="11">
        <v>2589</v>
      </c>
      <c r="P11" s="7">
        <v>2109</v>
      </c>
      <c r="Q11" s="8">
        <f t="shared" si="3"/>
        <v>0.8146002317497103</v>
      </c>
      <c r="R11" s="11">
        <v>110</v>
      </c>
      <c r="S11" s="7">
        <v>118</v>
      </c>
      <c r="T11" s="8">
        <f t="shared" si="4"/>
        <v>1.0727272727272728</v>
      </c>
      <c r="U11" s="11">
        <v>110</v>
      </c>
      <c r="V11" s="7">
        <v>118</v>
      </c>
      <c r="W11" s="8">
        <f t="shared" si="5"/>
        <v>1.0727272727272728</v>
      </c>
      <c r="X11" s="11">
        <v>3008</v>
      </c>
      <c r="Y11" s="7">
        <v>2774</v>
      </c>
      <c r="Z11" s="8">
        <f t="shared" si="6"/>
        <v>0.92220744680851063</v>
      </c>
      <c r="AA11" s="11">
        <v>3008</v>
      </c>
      <c r="AB11" s="7">
        <v>2774</v>
      </c>
      <c r="AC11" s="8">
        <f t="shared" si="7"/>
        <v>0.92220744680851063</v>
      </c>
      <c r="AD11" s="11">
        <v>3118</v>
      </c>
      <c r="AE11" s="7">
        <v>2892</v>
      </c>
      <c r="AF11" s="8">
        <f t="shared" si="8"/>
        <v>0.92751763951250799</v>
      </c>
      <c r="AG11" s="11">
        <v>3118</v>
      </c>
      <c r="AH11" s="7">
        <v>2892</v>
      </c>
      <c r="AI11" s="8">
        <f t="shared" si="9"/>
        <v>0.92751763951250799</v>
      </c>
      <c r="AJ11" s="11">
        <v>5707</v>
      </c>
      <c r="AK11" s="7">
        <v>5001</v>
      </c>
      <c r="AL11" s="8">
        <f t="shared" si="10"/>
        <v>0.87629227264762577</v>
      </c>
      <c r="AM11" s="11">
        <v>5707</v>
      </c>
      <c r="AN11" s="7">
        <v>5001</v>
      </c>
      <c r="AO11" s="8">
        <f t="shared" si="11"/>
        <v>0.87629227264762577</v>
      </c>
      <c r="AP11" s="11">
        <v>39356</v>
      </c>
      <c r="AQ11" s="7">
        <v>38482</v>
      </c>
      <c r="AR11" s="8">
        <f t="shared" si="12"/>
        <v>0.97779245858318931</v>
      </c>
      <c r="AS11" s="11">
        <v>30679</v>
      </c>
      <c r="AT11" s="7">
        <v>29084</v>
      </c>
      <c r="AU11" s="8">
        <f t="shared" si="13"/>
        <v>0.94801003944065976</v>
      </c>
      <c r="AV11" s="11">
        <v>45063</v>
      </c>
      <c r="AW11" s="7">
        <v>43483</v>
      </c>
      <c r="AX11" s="8">
        <f t="shared" si="14"/>
        <v>0.96493797572287687</v>
      </c>
      <c r="AY11" s="11">
        <v>36386</v>
      </c>
      <c r="AZ11" s="7">
        <v>34085</v>
      </c>
      <c r="BA11" s="8">
        <f t="shared" si="15"/>
        <v>0.93676139174407735</v>
      </c>
    </row>
    <row r="12" spans="1:53" s="58" customFormat="1" ht="15.6" x14ac:dyDescent="0.3">
      <c r="A12" s="78" t="s">
        <v>91</v>
      </c>
      <c r="B12" s="79">
        <v>5</v>
      </c>
      <c r="C12" s="79" t="s">
        <v>4</v>
      </c>
      <c r="D12" s="79">
        <v>9201</v>
      </c>
      <c r="E12" s="79" t="s">
        <v>5</v>
      </c>
      <c r="F12" s="11">
        <v>2589</v>
      </c>
      <c r="G12" s="7">
        <v>2212</v>
      </c>
      <c r="H12" s="8">
        <f t="shared" si="0"/>
        <v>0.854383932020085</v>
      </c>
      <c r="I12" s="11">
        <v>2589</v>
      </c>
      <c r="J12" s="7">
        <v>2212</v>
      </c>
      <c r="K12" s="8">
        <f t="shared" si="1"/>
        <v>0.854383932020085</v>
      </c>
      <c r="L12" s="11">
        <v>2589</v>
      </c>
      <c r="M12" s="7">
        <v>2212</v>
      </c>
      <c r="N12" s="8">
        <f t="shared" si="2"/>
        <v>0.854383932020085</v>
      </c>
      <c r="O12" s="11">
        <v>2589</v>
      </c>
      <c r="P12" s="7">
        <v>2212</v>
      </c>
      <c r="Q12" s="8">
        <f t="shared" si="3"/>
        <v>0.854383932020085</v>
      </c>
      <c r="R12" s="11">
        <v>110</v>
      </c>
      <c r="S12" s="7">
        <v>118</v>
      </c>
      <c r="T12" s="8">
        <f t="shared" si="4"/>
        <v>1.0727272727272728</v>
      </c>
      <c r="U12" s="11">
        <v>110</v>
      </c>
      <c r="V12" s="7">
        <v>118</v>
      </c>
      <c r="W12" s="8">
        <f t="shared" si="5"/>
        <v>1.0727272727272728</v>
      </c>
      <c r="X12" s="11">
        <v>3008</v>
      </c>
      <c r="Y12" s="7">
        <v>2883</v>
      </c>
      <c r="Z12" s="8">
        <f t="shared" si="6"/>
        <v>0.95844414893617025</v>
      </c>
      <c r="AA12" s="11">
        <v>3008</v>
      </c>
      <c r="AB12" s="7">
        <v>2883</v>
      </c>
      <c r="AC12" s="8">
        <f t="shared" si="7"/>
        <v>0.95844414893617025</v>
      </c>
      <c r="AD12" s="11">
        <v>3118</v>
      </c>
      <c r="AE12" s="7">
        <v>3001</v>
      </c>
      <c r="AF12" s="8">
        <f t="shared" si="8"/>
        <v>0.9624759461193072</v>
      </c>
      <c r="AG12" s="11">
        <v>3118</v>
      </c>
      <c r="AH12" s="7">
        <v>3001</v>
      </c>
      <c r="AI12" s="8">
        <f t="shared" si="9"/>
        <v>0.9624759461193072</v>
      </c>
      <c r="AJ12" s="11">
        <v>5707</v>
      </c>
      <c r="AK12" s="7">
        <v>5213</v>
      </c>
      <c r="AL12" s="8">
        <f t="shared" si="10"/>
        <v>0.91343963553530749</v>
      </c>
      <c r="AM12" s="11">
        <v>5707</v>
      </c>
      <c r="AN12" s="7">
        <v>5213</v>
      </c>
      <c r="AO12" s="8">
        <f t="shared" si="11"/>
        <v>0.91343963553530749</v>
      </c>
      <c r="AP12" s="11">
        <v>39356</v>
      </c>
      <c r="AQ12" s="7">
        <v>39291</v>
      </c>
      <c r="AR12" s="8">
        <f t="shared" si="12"/>
        <v>0.99834840939119829</v>
      </c>
      <c r="AS12" s="11">
        <v>30679</v>
      </c>
      <c r="AT12" s="7">
        <v>29579</v>
      </c>
      <c r="AU12" s="8">
        <f t="shared" si="13"/>
        <v>0.9641448547866619</v>
      </c>
      <c r="AV12" s="11">
        <v>45063</v>
      </c>
      <c r="AW12" s="7">
        <v>44504</v>
      </c>
      <c r="AX12" s="8">
        <f t="shared" si="14"/>
        <v>0.98759514457537223</v>
      </c>
      <c r="AY12" s="11">
        <v>36386</v>
      </c>
      <c r="AZ12" s="7">
        <v>34792</v>
      </c>
      <c r="BA12" s="8">
        <f t="shared" si="15"/>
        <v>0.95619194195569723</v>
      </c>
    </row>
    <row r="13" spans="1:53" s="58" customFormat="1" ht="15.6" x14ac:dyDescent="0.3">
      <c r="A13" s="78" t="s">
        <v>92</v>
      </c>
      <c r="B13" s="79">
        <v>5</v>
      </c>
      <c r="C13" s="79" t="s">
        <v>4</v>
      </c>
      <c r="D13" s="79">
        <v>9201</v>
      </c>
      <c r="E13" s="79" t="s">
        <v>5</v>
      </c>
      <c r="F13" s="10">
        <v>2589</v>
      </c>
      <c r="G13" s="7">
        <v>2359</v>
      </c>
      <c r="H13" s="8">
        <f t="shared" si="0"/>
        <v>0.91116261104673624</v>
      </c>
      <c r="I13" s="10">
        <v>2589</v>
      </c>
      <c r="J13" s="7">
        <v>2359</v>
      </c>
      <c r="K13" s="8">
        <f t="shared" si="1"/>
        <v>0.91116261104673624</v>
      </c>
      <c r="L13" s="10">
        <v>2589</v>
      </c>
      <c r="M13" s="7">
        <v>2359</v>
      </c>
      <c r="N13" s="8">
        <f t="shared" si="2"/>
        <v>0.91116261104673624</v>
      </c>
      <c r="O13" s="10">
        <v>2589</v>
      </c>
      <c r="P13" s="7">
        <v>2359</v>
      </c>
      <c r="Q13" s="8">
        <f t="shared" si="3"/>
        <v>0.91116261104673624</v>
      </c>
      <c r="R13" s="10">
        <v>110</v>
      </c>
      <c r="S13" s="7">
        <v>118</v>
      </c>
      <c r="T13" s="8">
        <f t="shared" si="4"/>
        <v>1.0727272727272728</v>
      </c>
      <c r="U13" s="10">
        <v>110</v>
      </c>
      <c r="V13" s="7">
        <v>118</v>
      </c>
      <c r="W13" s="8">
        <f t="shared" si="5"/>
        <v>1.0727272727272728</v>
      </c>
      <c r="X13" s="10">
        <v>3008</v>
      </c>
      <c r="Y13" s="7">
        <v>2958</v>
      </c>
      <c r="Z13" s="8">
        <f t="shared" si="6"/>
        <v>0.9833776595744681</v>
      </c>
      <c r="AA13" s="10">
        <v>3008</v>
      </c>
      <c r="AB13" s="7">
        <v>2958</v>
      </c>
      <c r="AC13" s="8">
        <f t="shared" si="7"/>
        <v>0.9833776595744681</v>
      </c>
      <c r="AD13" s="10">
        <v>3118</v>
      </c>
      <c r="AE13" s="7">
        <v>3076</v>
      </c>
      <c r="AF13" s="8">
        <f t="shared" si="8"/>
        <v>0.98652982681205903</v>
      </c>
      <c r="AG13" s="10">
        <v>3118</v>
      </c>
      <c r="AH13" s="7">
        <v>3076</v>
      </c>
      <c r="AI13" s="8">
        <f t="shared" si="9"/>
        <v>0.98652982681205903</v>
      </c>
      <c r="AJ13" s="10">
        <v>5707</v>
      </c>
      <c r="AK13" s="7">
        <v>5435</v>
      </c>
      <c r="AL13" s="8">
        <f t="shared" si="10"/>
        <v>0.95233923252146491</v>
      </c>
      <c r="AM13" s="10">
        <v>5707</v>
      </c>
      <c r="AN13" s="7">
        <v>5435</v>
      </c>
      <c r="AO13" s="8">
        <f t="shared" si="11"/>
        <v>0.95233923252146491</v>
      </c>
      <c r="AP13" s="10">
        <v>39356</v>
      </c>
      <c r="AQ13" s="7">
        <v>39328</v>
      </c>
      <c r="AR13" s="8">
        <f t="shared" si="12"/>
        <v>0.99928854558390079</v>
      </c>
      <c r="AS13" s="10">
        <v>30679</v>
      </c>
      <c r="AT13" s="7">
        <v>29604</v>
      </c>
      <c r="AU13" s="8">
        <f t="shared" si="13"/>
        <v>0.9649597444506014</v>
      </c>
      <c r="AV13" s="10">
        <v>45063</v>
      </c>
      <c r="AW13" s="7">
        <v>44763</v>
      </c>
      <c r="AX13" s="8">
        <f t="shared" si="14"/>
        <v>0.99334265361826779</v>
      </c>
      <c r="AY13" s="10">
        <v>36386</v>
      </c>
      <c r="AZ13" s="7">
        <v>35039</v>
      </c>
      <c r="BA13" s="8">
        <f t="shared" si="15"/>
        <v>0.9629802671357115</v>
      </c>
    </row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4FC3-C4F1-44A9-974F-6F9E8C144630}">
  <dimension ref="A1:EA16"/>
  <sheetViews>
    <sheetView topLeftCell="BL1" zoomScale="107" zoomScaleNormal="107" workbookViewId="0">
      <selection activeCell="J15" sqref="J15"/>
    </sheetView>
  </sheetViews>
  <sheetFormatPr baseColWidth="10" defaultRowHeight="14.4" x14ac:dyDescent="0.3"/>
  <cols>
    <col min="8" max="8" width="12.44140625" bestFit="1" customWidth="1"/>
  </cols>
  <sheetData>
    <row r="1" spans="1:131" ht="86.4" customHeight="1" x14ac:dyDescent="0.3">
      <c r="A1" s="83" t="s">
        <v>94</v>
      </c>
      <c r="B1" s="84" t="s">
        <v>8</v>
      </c>
      <c r="C1" s="55" t="s">
        <v>1</v>
      </c>
      <c r="D1" s="55" t="s">
        <v>9</v>
      </c>
      <c r="E1" s="55" t="s">
        <v>10</v>
      </c>
      <c r="F1" s="89" t="s">
        <v>11</v>
      </c>
      <c r="G1" s="89" t="s">
        <v>12</v>
      </c>
      <c r="H1" s="12" t="s">
        <v>13</v>
      </c>
      <c r="I1" s="13" t="s">
        <v>14</v>
      </c>
      <c r="J1" s="13" t="s">
        <v>15</v>
      </c>
      <c r="K1" s="13" t="s">
        <v>16</v>
      </c>
      <c r="L1" s="12" t="s">
        <v>17</v>
      </c>
      <c r="M1" s="12" t="s">
        <v>18</v>
      </c>
      <c r="N1" s="12" t="s">
        <v>19</v>
      </c>
      <c r="O1" s="13" t="s">
        <v>20</v>
      </c>
      <c r="P1" s="13" t="s">
        <v>21</v>
      </c>
      <c r="Q1" s="13" t="s">
        <v>22</v>
      </c>
      <c r="R1" s="12" t="s">
        <v>23</v>
      </c>
      <c r="S1" s="12" t="s">
        <v>24</v>
      </c>
      <c r="T1" s="12" t="s">
        <v>25</v>
      </c>
      <c r="U1" s="13" t="s">
        <v>26</v>
      </c>
      <c r="V1" s="13" t="s">
        <v>27</v>
      </c>
      <c r="W1" s="13" t="s">
        <v>28</v>
      </c>
      <c r="X1" s="12" t="s">
        <v>29</v>
      </c>
      <c r="Y1" s="12" t="s">
        <v>30</v>
      </c>
      <c r="Z1" s="12" t="s">
        <v>31</v>
      </c>
      <c r="AA1" s="13" t="s">
        <v>32</v>
      </c>
      <c r="AB1" s="13" t="s">
        <v>33</v>
      </c>
      <c r="AC1" s="13" t="s">
        <v>34</v>
      </c>
      <c r="AD1" s="12" t="s">
        <v>35</v>
      </c>
      <c r="AE1" s="12" t="s">
        <v>36</v>
      </c>
      <c r="AF1" s="12" t="s">
        <v>37</v>
      </c>
      <c r="AG1" s="13" t="s">
        <v>38</v>
      </c>
      <c r="AH1" s="13" t="s">
        <v>39</v>
      </c>
      <c r="AI1" s="13" t="s">
        <v>40</v>
      </c>
      <c r="AJ1" s="12" t="s">
        <v>41</v>
      </c>
      <c r="AK1" s="12" t="s">
        <v>42</v>
      </c>
      <c r="AL1" s="12" t="s">
        <v>43</v>
      </c>
      <c r="AM1" s="13" t="s">
        <v>44</v>
      </c>
      <c r="AN1" s="13" t="s">
        <v>45</v>
      </c>
      <c r="AO1" s="13" t="s">
        <v>46</v>
      </c>
      <c r="AP1" s="12" t="s">
        <v>47</v>
      </c>
      <c r="AQ1" s="12" t="s">
        <v>48</v>
      </c>
      <c r="AR1" s="12" t="s">
        <v>49</v>
      </c>
      <c r="AS1" s="13" t="s">
        <v>50</v>
      </c>
      <c r="AT1" s="13" t="s">
        <v>51</v>
      </c>
      <c r="AU1" s="13" t="s">
        <v>52</v>
      </c>
      <c r="AV1" s="12" t="s">
        <v>53</v>
      </c>
      <c r="AW1" s="12" t="s">
        <v>54</v>
      </c>
      <c r="AX1" s="12" t="s">
        <v>55</v>
      </c>
      <c r="AY1" s="13" t="s">
        <v>56</v>
      </c>
      <c r="AZ1" s="13" t="s">
        <v>57</v>
      </c>
      <c r="BA1" s="13" t="s">
        <v>58</v>
      </c>
      <c r="BB1" s="12" t="s">
        <v>59</v>
      </c>
      <c r="BC1" s="12" t="s">
        <v>60</v>
      </c>
      <c r="BD1" s="12" t="s">
        <v>61</v>
      </c>
      <c r="BE1" s="13" t="s">
        <v>62</v>
      </c>
      <c r="BF1" s="13" t="s">
        <v>63</v>
      </c>
      <c r="BG1" s="13" t="s">
        <v>64</v>
      </c>
      <c r="BH1" s="12" t="s">
        <v>65</v>
      </c>
      <c r="BI1" s="12" t="s">
        <v>66</v>
      </c>
      <c r="BJ1" s="12" t="s">
        <v>67</v>
      </c>
      <c r="BK1" s="13" t="s">
        <v>68</v>
      </c>
      <c r="BL1" s="13" t="s">
        <v>69</v>
      </c>
      <c r="BM1" s="13" t="s">
        <v>70</v>
      </c>
      <c r="BN1" s="90" t="s">
        <v>467</v>
      </c>
      <c r="BO1" s="90" t="s">
        <v>468</v>
      </c>
      <c r="BP1" s="90" t="s">
        <v>469</v>
      </c>
      <c r="BQ1" s="91" t="s">
        <v>470</v>
      </c>
      <c r="BR1" s="91" t="s">
        <v>471</v>
      </c>
      <c r="BS1" s="91" t="s">
        <v>472</v>
      </c>
      <c r="BT1" s="90" t="s">
        <v>473</v>
      </c>
      <c r="BU1" s="90" t="s">
        <v>474</v>
      </c>
      <c r="BV1" s="90" t="s">
        <v>475</v>
      </c>
      <c r="BW1" s="91" t="s">
        <v>476</v>
      </c>
      <c r="BX1" s="91" t="s">
        <v>477</v>
      </c>
      <c r="BY1" s="91" t="s">
        <v>478</v>
      </c>
      <c r="BZ1" s="90" t="s">
        <v>479</v>
      </c>
      <c r="CA1" s="90" t="s">
        <v>480</v>
      </c>
      <c r="CB1" s="90" t="s">
        <v>481</v>
      </c>
      <c r="CC1" s="91" t="s">
        <v>482</v>
      </c>
      <c r="CD1" s="91" t="s">
        <v>483</v>
      </c>
      <c r="CE1" s="91" t="s">
        <v>484</v>
      </c>
      <c r="CF1" s="90" t="s">
        <v>485</v>
      </c>
      <c r="CG1" s="90" t="s">
        <v>486</v>
      </c>
      <c r="CH1" s="90" t="s">
        <v>487</v>
      </c>
      <c r="CI1" s="91" t="s">
        <v>488</v>
      </c>
      <c r="CJ1" s="91" t="s">
        <v>489</v>
      </c>
      <c r="CK1" s="91" t="s">
        <v>490</v>
      </c>
      <c r="CL1" s="90" t="s">
        <v>491</v>
      </c>
      <c r="CM1" s="90" t="s">
        <v>492</v>
      </c>
      <c r="CN1" s="90" t="s">
        <v>493</v>
      </c>
      <c r="CO1" s="91" t="s">
        <v>494</v>
      </c>
      <c r="CP1" s="91" t="s">
        <v>495</v>
      </c>
      <c r="CQ1" s="91" t="s">
        <v>496</v>
      </c>
      <c r="CR1" s="90" t="s">
        <v>497</v>
      </c>
      <c r="CS1" s="90" t="s">
        <v>498</v>
      </c>
      <c r="CT1" s="90" t="s">
        <v>499</v>
      </c>
      <c r="CU1" s="91" t="s">
        <v>500</v>
      </c>
      <c r="CV1" s="91" t="s">
        <v>501</v>
      </c>
      <c r="CW1" s="91" t="s">
        <v>502</v>
      </c>
      <c r="CX1" s="90" t="s">
        <v>72</v>
      </c>
      <c r="CY1" s="90" t="s">
        <v>73</v>
      </c>
      <c r="CZ1" s="90" t="s">
        <v>74</v>
      </c>
      <c r="DA1" s="91" t="s">
        <v>75</v>
      </c>
      <c r="DB1" s="91" t="s">
        <v>76</v>
      </c>
      <c r="DC1" s="91" t="s">
        <v>77</v>
      </c>
      <c r="DD1" s="90" t="s">
        <v>503</v>
      </c>
      <c r="DE1" s="90" t="s">
        <v>504</v>
      </c>
      <c r="DF1" s="90" t="s">
        <v>505</v>
      </c>
      <c r="DG1" s="91" t="s">
        <v>506</v>
      </c>
      <c r="DH1" s="91" t="s">
        <v>507</v>
      </c>
      <c r="DI1" s="91" t="s">
        <v>508</v>
      </c>
      <c r="DJ1" s="90" t="s">
        <v>509</v>
      </c>
      <c r="DK1" s="90" t="s">
        <v>510</v>
      </c>
      <c r="DL1" s="90" t="s">
        <v>511</v>
      </c>
      <c r="DM1" s="91" t="s">
        <v>512</v>
      </c>
      <c r="DN1" s="91" t="s">
        <v>513</v>
      </c>
      <c r="DO1" s="91" t="s">
        <v>514</v>
      </c>
      <c r="DP1" s="90" t="s">
        <v>515</v>
      </c>
      <c r="DQ1" s="90" t="s">
        <v>71</v>
      </c>
      <c r="DR1" s="90" t="s">
        <v>516</v>
      </c>
      <c r="DS1" s="91" t="s">
        <v>517</v>
      </c>
      <c r="DT1" s="91" t="s">
        <v>518</v>
      </c>
      <c r="DU1" s="91" t="s">
        <v>519</v>
      </c>
      <c r="DV1" s="90" t="s">
        <v>520</v>
      </c>
      <c r="DW1" s="90" t="s">
        <v>521</v>
      </c>
      <c r="DX1" s="90" t="s">
        <v>522</v>
      </c>
      <c r="DY1" s="91" t="s">
        <v>523</v>
      </c>
      <c r="DZ1" s="91" t="s">
        <v>524</v>
      </c>
      <c r="EA1" s="91" t="s">
        <v>525</v>
      </c>
    </row>
    <row r="2" spans="1:131" s="58" customFormat="1" ht="15.6" x14ac:dyDescent="0.3">
      <c r="A2" s="34" t="s">
        <v>82</v>
      </c>
      <c r="B2" s="79">
        <v>5</v>
      </c>
      <c r="C2" s="79" t="s">
        <v>4</v>
      </c>
      <c r="D2" s="79">
        <v>9201</v>
      </c>
      <c r="E2" s="79" t="s">
        <v>5</v>
      </c>
      <c r="F2" s="10">
        <v>0</v>
      </c>
      <c r="G2" s="7">
        <v>0</v>
      </c>
      <c r="H2" s="9">
        <f>IFERROR(G2/F2,0)</f>
        <v>0</v>
      </c>
      <c r="I2" s="10">
        <v>0</v>
      </c>
      <c r="J2" s="7">
        <v>0</v>
      </c>
      <c r="K2" s="9">
        <f>IFERROR(J2/I2,0)</f>
        <v>0</v>
      </c>
      <c r="L2" s="10">
        <v>110</v>
      </c>
      <c r="M2" s="7">
        <v>25</v>
      </c>
      <c r="N2" s="9">
        <f>IFERROR(M2/L2,0)</f>
        <v>0.22727272727272727</v>
      </c>
      <c r="O2" s="10">
        <v>110</v>
      </c>
      <c r="P2" s="7">
        <v>25</v>
      </c>
      <c r="Q2" s="9">
        <f>IFERROR(P2/O2,0)</f>
        <v>0.22727272727272727</v>
      </c>
      <c r="R2" s="10">
        <v>2888</v>
      </c>
      <c r="S2" s="7">
        <v>1364</v>
      </c>
      <c r="T2" s="9">
        <f>IFERROR(S2/R2,0)</f>
        <v>0.47229916897506924</v>
      </c>
      <c r="U2" s="10">
        <v>2888</v>
      </c>
      <c r="V2" s="7">
        <v>1364</v>
      </c>
      <c r="W2" s="9">
        <f>IFERROR(V2/U2,0)</f>
        <v>0.47229916897506924</v>
      </c>
      <c r="X2" s="10" t="s">
        <v>6</v>
      </c>
      <c r="Y2" s="7">
        <v>0</v>
      </c>
      <c r="Z2" s="9">
        <f>IFERROR(Y2/X2,0)</f>
        <v>0</v>
      </c>
      <c r="AA2" s="10" t="s">
        <v>6</v>
      </c>
      <c r="AB2" s="7">
        <v>0</v>
      </c>
      <c r="AC2" s="9">
        <f>IFERROR(AB2/AA2,0)</f>
        <v>0</v>
      </c>
      <c r="AD2" s="10">
        <v>2998</v>
      </c>
      <c r="AE2" s="7">
        <v>1389</v>
      </c>
      <c r="AF2" s="9">
        <f>IFERROR(AE2/AD2,0)</f>
        <v>0.46330887258172115</v>
      </c>
      <c r="AG2" s="10">
        <v>2998</v>
      </c>
      <c r="AH2" s="7">
        <v>1389</v>
      </c>
      <c r="AI2" s="9">
        <f>IFERROR(AH2/AG2,0)</f>
        <v>0.46330887258172115</v>
      </c>
      <c r="AJ2" s="10">
        <v>2614</v>
      </c>
      <c r="AK2" s="7">
        <v>1381</v>
      </c>
      <c r="AL2" s="9">
        <f>IFERROR(AK2/AJ2,0)</f>
        <v>0.52830910482019888</v>
      </c>
      <c r="AM2" s="10">
        <v>2614</v>
      </c>
      <c r="AN2" s="7">
        <v>1381</v>
      </c>
      <c r="AO2" s="9">
        <f>IFERROR(AN2/AM2,0)</f>
        <v>0.52830910482019888</v>
      </c>
      <c r="AP2" s="10">
        <v>2614</v>
      </c>
      <c r="AQ2" s="7">
        <v>1381</v>
      </c>
      <c r="AR2" s="9">
        <f>IFERROR(AQ2/AP2,0)</f>
        <v>0.52830910482019888</v>
      </c>
      <c r="AS2" s="10">
        <v>2614</v>
      </c>
      <c r="AT2" s="7">
        <v>1381</v>
      </c>
      <c r="AU2" s="9">
        <f>IFERROR(AT2/AS2,0)</f>
        <v>0.52830910482019888</v>
      </c>
      <c r="AV2" s="10">
        <v>5612</v>
      </c>
      <c r="AW2" s="7">
        <v>2770</v>
      </c>
      <c r="AX2" s="9">
        <f>IFERROR(AW2/AV2,0)</f>
        <v>0.49358517462580187</v>
      </c>
      <c r="AY2" s="10">
        <v>5612</v>
      </c>
      <c r="AZ2" s="7">
        <v>2770</v>
      </c>
      <c r="BA2" s="9">
        <f>IFERROR(AZ2/AY2,0)</f>
        <v>0.49358517462580187</v>
      </c>
      <c r="BB2" s="10">
        <v>36240</v>
      </c>
      <c r="BC2" s="7">
        <v>5318</v>
      </c>
      <c r="BD2" s="9">
        <f>IFERROR(BC2/BB2,0)</f>
        <v>0.14674392935982339</v>
      </c>
      <c r="BE2" s="10">
        <v>28160</v>
      </c>
      <c r="BF2" s="7">
        <v>5173</v>
      </c>
      <c r="BG2" s="9">
        <f>IFERROR(BF2/BE2,0)</f>
        <v>0.18370028409090908</v>
      </c>
      <c r="BH2" s="10">
        <v>41852</v>
      </c>
      <c r="BI2" s="7">
        <v>8088</v>
      </c>
      <c r="BJ2" s="9">
        <f>IFERROR(BI2/BH2,0)</f>
        <v>0.19325241326579376</v>
      </c>
      <c r="BK2" s="10">
        <v>33772</v>
      </c>
      <c r="BL2" s="7">
        <v>7943</v>
      </c>
      <c r="BM2" s="9">
        <f>IFERROR(BL2/BK2,0)</f>
        <v>0.23519483595878243</v>
      </c>
      <c r="BN2" s="49">
        <v>30</v>
      </c>
      <c r="BO2" s="49">
        <v>0</v>
      </c>
      <c r="BP2" s="48">
        <f>IFERROR(BO2/BN2,0)</f>
        <v>0</v>
      </c>
      <c r="BQ2" s="49">
        <v>30</v>
      </c>
      <c r="BR2" s="49">
        <v>0</v>
      </c>
      <c r="BS2" s="48">
        <f>IFERROR(BR2/BQ2,0)</f>
        <v>0</v>
      </c>
      <c r="BT2" s="49">
        <v>30</v>
      </c>
      <c r="BU2" s="49"/>
      <c r="BV2" s="48">
        <f>IFERROR(BU2/BT2,0)</f>
        <v>0</v>
      </c>
      <c r="BW2" s="49">
        <v>30</v>
      </c>
      <c r="BX2" s="49"/>
      <c r="BY2" s="48">
        <f>IFERROR(BX2/BW2,0)</f>
        <v>0</v>
      </c>
      <c r="BZ2" s="49">
        <v>0</v>
      </c>
      <c r="CA2" s="49"/>
      <c r="CB2" s="48">
        <f>IFERROR(CA2/BZ2,0)</f>
        <v>0</v>
      </c>
      <c r="CC2" s="49">
        <v>0</v>
      </c>
      <c r="CD2" s="49"/>
      <c r="CE2" s="48">
        <f>IFERROR(CD2/CC2,0)</f>
        <v>0</v>
      </c>
      <c r="CF2" s="50">
        <v>60</v>
      </c>
      <c r="CG2" s="92">
        <v>0</v>
      </c>
      <c r="CH2" s="48">
        <f>IFERROR(CG2/CF2,0)</f>
        <v>0</v>
      </c>
      <c r="CI2" s="50">
        <v>60</v>
      </c>
      <c r="CJ2" s="92">
        <v>0</v>
      </c>
      <c r="CK2" s="48">
        <f>IFERROR(CJ2/CI2,0)</f>
        <v>0</v>
      </c>
      <c r="CL2" s="49">
        <v>1050</v>
      </c>
      <c r="CM2" s="49"/>
      <c r="CN2" s="48">
        <f>IFERROR(CM2/CL2,0)</f>
        <v>0</v>
      </c>
      <c r="CO2" s="49">
        <v>805</v>
      </c>
      <c r="CP2" s="49"/>
      <c r="CQ2" s="48">
        <f>IFERROR(CP2/CO2,0)</f>
        <v>0</v>
      </c>
      <c r="CR2" s="49">
        <v>1110</v>
      </c>
      <c r="CS2" s="49">
        <v>0</v>
      </c>
      <c r="CT2" s="93">
        <f>IFERROR(CS2/CR2,0)</f>
        <v>0</v>
      </c>
      <c r="CU2" s="49">
        <v>865</v>
      </c>
      <c r="CV2" s="49">
        <v>0</v>
      </c>
      <c r="CW2" s="93">
        <f>IFERROR(CV2/CU2,0)</f>
        <v>0</v>
      </c>
      <c r="CX2" s="85">
        <v>0</v>
      </c>
      <c r="CY2" s="85">
        <v>0</v>
      </c>
      <c r="CZ2" s="85">
        <f>IFERROR(CY2/CX2,0)</f>
        <v>0</v>
      </c>
      <c r="DA2" s="85">
        <v>0</v>
      </c>
      <c r="DB2" s="85">
        <v>0</v>
      </c>
      <c r="DC2" s="85">
        <f>IFERROR(DB2/DA2,0)</f>
        <v>0</v>
      </c>
      <c r="DD2" s="85">
        <v>0</v>
      </c>
      <c r="DE2" s="85">
        <v>0</v>
      </c>
      <c r="DF2" s="18">
        <f>IFERROR(DE2/DD2,0)</f>
        <v>0</v>
      </c>
      <c r="DG2" s="85">
        <v>0</v>
      </c>
      <c r="DH2" s="85">
        <v>0</v>
      </c>
      <c r="DI2" s="18">
        <f>IFERROR(DH2/DG2,0)</f>
        <v>0</v>
      </c>
      <c r="DJ2" s="46" t="s">
        <v>6</v>
      </c>
      <c r="DK2" s="46">
        <v>0</v>
      </c>
      <c r="DL2" s="18">
        <f>IFERROR(DK2/DJ2,0)</f>
        <v>0</v>
      </c>
      <c r="DM2" s="46" t="s">
        <v>6</v>
      </c>
      <c r="DN2" s="46">
        <v>0</v>
      </c>
      <c r="DO2" s="18">
        <f>IFERROR(DN2/DM2,0)</f>
        <v>0</v>
      </c>
      <c r="DP2" s="46">
        <v>75</v>
      </c>
      <c r="DQ2" s="46"/>
      <c r="DR2" s="18">
        <f>IFERROR(DQ2/DP2,0)</f>
        <v>0</v>
      </c>
      <c r="DS2" s="46">
        <v>58</v>
      </c>
      <c r="DT2" s="46"/>
      <c r="DU2" s="18">
        <f>IFERROR(DT2/DS2,0)</f>
        <v>0</v>
      </c>
      <c r="DV2" s="46">
        <v>75</v>
      </c>
      <c r="DW2" s="46">
        <v>0</v>
      </c>
      <c r="DX2" s="18">
        <f>IFERROR(DW2/DV2,0)</f>
        <v>0</v>
      </c>
      <c r="DY2" s="46">
        <v>58</v>
      </c>
      <c r="DZ2" s="46">
        <v>0</v>
      </c>
      <c r="EA2" s="18">
        <f>IFERROR(DZ2/DY2,0)</f>
        <v>0</v>
      </c>
    </row>
    <row r="3" spans="1:131" s="58" customFormat="1" ht="15.6" x14ac:dyDescent="0.3">
      <c r="A3" s="34" t="s">
        <v>83</v>
      </c>
      <c r="B3" s="79">
        <v>5</v>
      </c>
      <c r="C3" s="79" t="s">
        <v>4</v>
      </c>
      <c r="D3" s="79">
        <v>9201</v>
      </c>
      <c r="E3" s="79" t="s">
        <v>5</v>
      </c>
      <c r="F3" s="10">
        <v>0</v>
      </c>
      <c r="G3" s="7">
        <v>0</v>
      </c>
      <c r="H3" s="9">
        <f t="shared" ref="H3:H12" si="0">IFERROR(G3/F3,0)</f>
        <v>0</v>
      </c>
      <c r="I3" s="10">
        <v>0</v>
      </c>
      <c r="J3" s="7">
        <v>0</v>
      </c>
      <c r="K3" s="9">
        <f t="shared" ref="K3:K12" si="1">IFERROR(J3/I3,0)</f>
        <v>0</v>
      </c>
      <c r="L3" s="10">
        <v>110</v>
      </c>
      <c r="M3" s="7">
        <v>25</v>
      </c>
      <c r="N3" s="9">
        <f t="shared" ref="N3:N12" si="2">IFERROR(M3/L3,0)</f>
        <v>0.22727272727272727</v>
      </c>
      <c r="O3" s="10">
        <v>110</v>
      </c>
      <c r="P3" s="7">
        <v>25</v>
      </c>
      <c r="Q3" s="9">
        <f t="shared" ref="Q3:Q12" si="3">IFERROR(P3/O3,0)</f>
        <v>0.22727272727272727</v>
      </c>
      <c r="R3" s="10">
        <v>2888</v>
      </c>
      <c r="S3" s="7">
        <v>2242</v>
      </c>
      <c r="T3" s="9">
        <f t="shared" ref="T3:T12" si="4">IFERROR(S3/R3,0)</f>
        <v>0.77631578947368418</v>
      </c>
      <c r="U3" s="10">
        <v>2888</v>
      </c>
      <c r="V3" s="7">
        <v>2242</v>
      </c>
      <c r="W3" s="9">
        <f t="shared" ref="W3:W12" si="5">IFERROR(V3/U3,0)</f>
        <v>0.77631578947368418</v>
      </c>
      <c r="X3" s="10" t="s">
        <v>6</v>
      </c>
      <c r="Y3" s="7"/>
      <c r="Z3" s="9">
        <f t="shared" ref="Z3:Z12" si="6">IFERROR(Y3/X3,0)</f>
        <v>0</v>
      </c>
      <c r="AA3" s="10" t="s">
        <v>6</v>
      </c>
      <c r="AB3" s="7">
        <v>0</v>
      </c>
      <c r="AC3" s="9">
        <f t="shared" ref="AC3:AC12" si="7">IFERROR(AB3/AA3,0)</f>
        <v>0</v>
      </c>
      <c r="AD3" s="10">
        <v>2998</v>
      </c>
      <c r="AE3" s="7">
        <v>2267</v>
      </c>
      <c r="AF3" s="9">
        <f t="shared" ref="AF3:AF12" si="8">IFERROR(AE3/AD3,0)</f>
        <v>0.75617078052034692</v>
      </c>
      <c r="AG3" s="10">
        <v>2998</v>
      </c>
      <c r="AH3" s="7">
        <v>2267</v>
      </c>
      <c r="AI3" s="9">
        <f t="shared" ref="AI3:AI12" si="9">IFERROR(AH3/AG3,0)</f>
        <v>0.75617078052034692</v>
      </c>
      <c r="AJ3" s="10">
        <v>2614</v>
      </c>
      <c r="AK3" s="7">
        <v>1385</v>
      </c>
      <c r="AL3" s="9">
        <f t="shared" ref="AL3:AL12" si="10">IFERROR(AK3/AJ3,0)</f>
        <v>0.52983932670237188</v>
      </c>
      <c r="AM3" s="10">
        <v>2614</v>
      </c>
      <c r="AN3" s="7">
        <v>1385</v>
      </c>
      <c r="AO3" s="9">
        <f t="shared" ref="AO3:AO12" si="11">IFERROR(AN3/AM3,0)</f>
        <v>0.52983932670237188</v>
      </c>
      <c r="AP3" s="10">
        <v>2614</v>
      </c>
      <c r="AQ3" s="7">
        <v>1385</v>
      </c>
      <c r="AR3" s="9">
        <f t="shared" ref="AR3:AR12" si="12">IFERROR(AQ3/AP3,0)</f>
        <v>0.52983932670237188</v>
      </c>
      <c r="AS3" s="10">
        <v>2614</v>
      </c>
      <c r="AT3" s="7">
        <v>1385</v>
      </c>
      <c r="AU3" s="9">
        <f t="shared" ref="AU3:AU12" si="13">IFERROR(AT3/AS3,0)</f>
        <v>0.52983932670237188</v>
      </c>
      <c r="AV3" s="10">
        <v>5612</v>
      </c>
      <c r="AW3" s="7">
        <v>3652</v>
      </c>
      <c r="AX3" s="9">
        <f t="shared" ref="AX3:AX12" si="14">IFERROR(AW3/AV3,0)</f>
        <v>0.65074839629365644</v>
      </c>
      <c r="AY3" s="10">
        <v>5612</v>
      </c>
      <c r="AZ3" s="7">
        <v>3652</v>
      </c>
      <c r="BA3" s="9">
        <f t="shared" ref="BA3:BA12" si="15">IFERROR(AZ3/AY3,0)</f>
        <v>0.65074839629365644</v>
      </c>
      <c r="BB3" s="10">
        <v>36240</v>
      </c>
      <c r="BC3" s="7">
        <v>6050</v>
      </c>
      <c r="BD3" s="9">
        <f t="shared" ref="BD3:BD12" si="16">IFERROR(BC3/BB3,0)</f>
        <v>0.16694260485651213</v>
      </c>
      <c r="BE3" s="10">
        <v>28160</v>
      </c>
      <c r="BF3" s="7">
        <v>5833</v>
      </c>
      <c r="BG3" s="9">
        <f t="shared" ref="BG3:BG12" si="17">IFERROR(BF3/BE3,0)</f>
        <v>0.20713778409090908</v>
      </c>
      <c r="BH3" s="10">
        <v>41852</v>
      </c>
      <c r="BI3" s="7">
        <v>9702</v>
      </c>
      <c r="BJ3" s="9">
        <f t="shared" ref="BJ3:BJ12" si="18">IFERROR(BI3/BH3,0)</f>
        <v>0.23181687852432381</v>
      </c>
      <c r="BK3" s="10">
        <v>33772</v>
      </c>
      <c r="BL3" s="7">
        <v>9485</v>
      </c>
      <c r="BM3" s="9">
        <f t="shared" ref="BM3:BM12" si="19">IFERROR(BL3/BK3,0)</f>
        <v>0.28085396186189743</v>
      </c>
      <c r="BN3" s="49">
        <v>30</v>
      </c>
      <c r="BO3" s="49">
        <v>0</v>
      </c>
      <c r="BP3" s="48">
        <f t="shared" ref="BP3:BP12" si="20">IFERROR(BO3/BN3,0)</f>
        <v>0</v>
      </c>
      <c r="BQ3" s="49">
        <v>30</v>
      </c>
      <c r="BR3" s="49">
        <v>0</v>
      </c>
      <c r="BS3" s="48">
        <f t="shared" ref="BS3:BS12" si="21">IFERROR(BR3/BQ3,0)</f>
        <v>0</v>
      </c>
      <c r="BT3" s="49">
        <v>30</v>
      </c>
      <c r="BU3" s="49">
        <v>34</v>
      </c>
      <c r="BV3" s="48">
        <f t="shared" ref="BV3:BV12" si="22">IFERROR(BU3/BT3,0)</f>
        <v>1.1333333333333333</v>
      </c>
      <c r="BW3" s="49">
        <v>30</v>
      </c>
      <c r="BX3" s="49">
        <v>34</v>
      </c>
      <c r="BY3" s="48">
        <f t="shared" ref="BY3:BY12" si="23">IFERROR(BX3/BW3,0)</f>
        <v>1.1333333333333333</v>
      </c>
      <c r="BZ3" s="49">
        <v>0</v>
      </c>
      <c r="CA3" s="49">
        <v>0</v>
      </c>
      <c r="CB3" s="48">
        <f t="shared" ref="CB3:CB12" si="24">IFERROR(CA3/BZ3,0)</f>
        <v>0</v>
      </c>
      <c r="CC3" s="49">
        <v>0</v>
      </c>
      <c r="CD3" s="49">
        <v>0</v>
      </c>
      <c r="CE3" s="48">
        <f t="shared" ref="CE3:CE12" si="25">IFERROR(CD3/CC3,0)</f>
        <v>0</v>
      </c>
      <c r="CF3" s="50">
        <v>60</v>
      </c>
      <c r="CG3" s="49">
        <v>34</v>
      </c>
      <c r="CH3" s="48">
        <f t="shared" ref="CH3:CH12" si="26">IFERROR(CG3/CF3,0)</f>
        <v>0.56666666666666665</v>
      </c>
      <c r="CI3" s="50">
        <v>60</v>
      </c>
      <c r="CJ3" s="49">
        <v>34</v>
      </c>
      <c r="CK3" s="48">
        <f t="shared" ref="CK3:CK12" si="27">IFERROR(CJ3/CI3,0)</f>
        <v>0.56666666666666665</v>
      </c>
      <c r="CL3" s="49">
        <v>1050</v>
      </c>
      <c r="CM3" s="49">
        <v>0</v>
      </c>
      <c r="CN3" s="48">
        <f t="shared" ref="CN3:CN11" si="28">IFERROR(CM3/CL3,0)</f>
        <v>0</v>
      </c>
      <c r="CO3" s="49">
        <v>805</v>
      </c>
      <c r="CP3" s="49">
        <v>0</v>
      </c>
      <c r="CQ3" s="48">
        <f t="shared" ref="CQ3:CQ12" si="29">IFERROR(CP3/CO3,0)</f>
        <v>0</v>
      </c>
      <c r="CR3" s="49">
        <v>1110</v>
      </c>
      <c r="CS3" s="49">
        <v>34</v>
      </c>
      <c r="CT3" s="93">
        <f t="shared" ref="CT3:CT12" si="30">IFERROR(CS3/CR3,0)</f>
        <v>3.063063063063063E-2</v>
      </c>
      <c r="CU3" s="49">
        <v>865</v>
      </c>
      <c r="CV3" s="49">
        <v>34</v>
      </c>
      <c r="CW3" s="93">
        <f t="shared" ref="CW3:CW12" si="31">IFERROR(CV3/CU3,0)</f>
        <v>3.9306358381502891E-2</v>
      </c>
      <c r="CX3" s="85">
        <v>0</v>
      </c>
      <c r="CY3" s="85">
        <v>0</v>
      </c>
      <c r="CZ3" s="85">
        <f t="shared" ref="CZ3:CZ12" si="32">IFERROR(CY3/CX3,0)</f>
        <v>0</v>
      </c>
      <c r="DA3" s="85">
        <v>0</v>
      </c>
      <c r="DB3" s="85">
        <v>0</v>
      </c>
      <c r="DC3" s="85">
        <f t="shared" ref="DC3:DC12" si="33">IFERROR(DB3/DA3,0)</f>
        <v>0</v>
      </c>
      <c r="DD3" s="85">
        <v>0</v>
      </c>
      <c r="DE3" s="85">
        <v>0</v>
      </c>
      <c r="DF3" s="18">
        <f t="shared" ref="DF3:DF8" si="34">IFERROR(DE3/DD3,0)</f>
        <v>0</v>
      </c>
      <c r="DG3" s="85">
        <v>0</v>
      </c>
      <c r="DH3" s="85">
        <v>0</v>
      </c>
      <c r="DI3" s="18">
        <f t="shared" ref="DI3:DI12" si="35">IFERROR(DH3/DG3,0)</f>
        <v>0</v>
      </c>
      <c r="DJ3" s="46" t="s">
        <v>6</v>
      </c>
      <c r="DK3" s="46">
        <v>0</v>
      </c>
      <c r="DL3" s="18">
        <f t="shared" ref="DL3:DL12" si="36">IFERROR(DK3/DJ3,0)</f>
        <v>0</v>
      </c>
      <c r="DM3" s="46" t="s">
        <v>6</v>
      </c>
      <c r="DN3" s="46">
        <v>0</v>
      </c>
      <c r="DO3" s="18">
        <f t="shared" ref="DO3:DO12" si="37">IFERROR(DN3/DM3,0)</f>
        <v>0</v>
      </c>
      <c r="DP3" s="46">
        <v>75</v>
      </c>
      <c r="DQ3" s="46">
        <v>0</v>
      </c>
      <c r="DR3" s="18">
        <f t="shared" ref="DR3:DR12" si="38">IFERROR(DQ3/DP3,0)</f>
        <v>0</v>
      </c>
      <c r="DS3" s="46">
        <v>58</v>
      </c>
      <c r="DT3" s="46">
        <v>0</v>
      </c>
      <c r="DU3" s="18">
        <f t="shared" ref="DU3:DU12" si="39">IFERROR(DT3/DS3,0)</f>
        <v>0</v>
      </c>
      <c r="DV3" s="46">
        <v>75</v>
      </c>
      <c r="DW3" s="46">
        <v>0</v>
      </c>
      <c r="DX3" s="18">
        <f t="shared" ref="DX3:DX12" si="40">IFERROR(DW3/DV3,0)</f>
        <v>0</v>
      </c>
      <c r="DY3" s="46">
        <v>58</v>
      </c>
      <c r="DZ3" s="46">
        <v>0</v>
      </c>
      <c r="EA3" s="18">
        <f t="shared" ref="EA3:EA12" si="41">IFERROR(DZ3/DY3,0)</f>
        <v>0</v>
      </c>
    </row>
    <row r="4" spans="1:131" s="58" customFormat="1" ht="15.6" x14ac:dyDescent="0.3">
      <c r="A4" s="34" t="s">
        <v>84</v>
      </c>
      <c r="B4" s="79">
        <v>5</v>
      </c>
      <c r="C4" s="79" t="s">
        <v>4</v>
      </c>
      <c r="D4" s="79">
        <v>9201</v>
      </c>
      <c r="E4" s="79" t="s">
        <v>5</v>
      </c>
      <c r="F4" s="10">
        <v>0</v>
      </c>
      <c r="G4" s="7">
        <v>0</v>
      </c>
      <c r="H4" s="9">
        <f t="shared" si="0"/>
        <v>0</v>
      </c>
      <c r="I4" s="10">
        <v>0</v>
      </c>
      <c r="J4" s="7">
        <v>0</v>
      </c>
      <c r="K4" s="9">
        <f t="shared" si="1"/>
        <v>0</v>
      </c>
      <c r="L4" s="10">
        <v>110</v>
      </c>
      <c r="M4" s="7">
        <v>75</v>
      </c>
      <c r="N4" s="9">
        <f t="shared" si="2"/>
        <v>0.68181818181818177</v>
      </c>
      <c r="O4" s="10">
        <v>110</v>
      </c>
      <c r="P4" s="7">
        <v>75</v>
      </c>
      <c r="Q4" s="9">
        <f t="shared" si="3"/>
        <v>0.68181818181818177</v>
      </c>
      <c r="R4" s="10">
        <v>2888</v>
      </c>
      <c r="S4" s="7">
        <v>2325</v>
      </c>
      <c r="T4" s="9">
        <f t="shared" si="4"/>
        <v>0.80505540166204981</v>
      </c>
      <c r="U4" s="10">
        <v>2888</v>
      </c>
      <c r="V4" s="7">
        <v>2325</v>
      </c>
      <c r="W4" s="9">
        <f t="shared" si="5"/>
        <v>0.80505540166204981</v>
      </c>
      <c r="X4" s="10" t="s">
        <v>6</v>
      </c>
      <c r="Y4" s="7">
        <v>0</v>
      </c>
      <c r="Z4" s="9">
        <f t="shared" si="6"/>
        <v>0</v>
      </c>
      <c r="AA4" s="10" t="s">
        <v>6</v>
      </c>
      <c r="AB4" s="7">
        <v>0</v>
      </c>
      <c r="AC4" s="9">
        <f t="shared" si="7"/>
        <v>0</v>
      </c>
      <c r="AD4" s="10">
        <v>2998</v>
      </c>
      <c r="AE4" s="7">
        <v>2400</v>
      </c>
      <c r="AF4" s="9">
        <f t="shared" si="8"/>
        <v>0.80053368912608402</v>
      </c>
      <c r="AG4" s="10">
        <v>2998</v>
      </c>
      <c r="AH4" s="7">
        <v>2400</v>
      </c>
      <c r="AI4" s="9">
        <f t="shared" si="9"/>
        <v>0.80053368912608402</v>
      </c>
      <c r="AJ4" s="10">
        <v>2614</v>
      </c>
      <c r="AK4" s="7">
        <v>1505</v>
      </c>
      <c r="AL4" s="9">
        <f t="shared" si="10"/>
        <v>0.57574598316755932</v>
      </c>
      <c r="AM4" s="10">
        <v>2614</v>
      </c>
      <c r="AN4" s="7">
        <v>1505</v>
      </c>
      <c r="AO4" s="9">
        <f t="shared" si="11"/>
        <v>0.57574598316755932</v>
      </c>
      <c r="AP4" s="10">
        <v>2614</v>
      </c>
      <c r="AQ4" s="7">
        <v>1505</v>
      </c>
      <c r="AR4" s="9">
        <f t="shared" si="12"/>
        <v>0.57574598316755932</v>
      </c>
      <c r="AS4" s="10">
        <v>2614</v>
      </c>
      <c r="AT4" s="7">
        <v>1505</v>
      </c>
      <c r="AU4" s="9">
        <f t="shared" si="13"/>
        <v>0.57574598316755932</v>
      </c>
      <c r="AV4" s="10">
        <v>5612</v>
      </c>
      <c r="AW4" s="7">
        <v>3905</v>
      </c>
      <c r="AX4" s="9">
        <f t="shared" si="14"/>
        <v>0.69583036350677119</v>
      </c>
      <c r="AY4" s="10">
        <v>5612</v>
      </c>
      <c r="AZ4" s="7">
        <v>3905</v>
      </c>
      <c r="BA4" s="9">
        <f t="shared" si="15"/>
        <v>0.69583036350677119</v>
      </c>
      <c r="BB4" s="10">
        <v>36240</v>
      </c>
      <c r="BC4" s="7">
        <v>9836</v>
      </c>
      <c r="BD4" s="9">
        <f t="shared" si="16"/>
        <v>0.27141280353200881</v>
      </c>
      <c r="BE4" s="10">
        <v>28160</v>
      </c>
      <c r="BF4" s="7">
        <v>9289</v>
      </c>
      <c r="BG4" s="9">
        <f t="shared" si="17"/>
        <v>0.32986505681818185</v>
      </c>
      <c r="BH4" s="10">
        <v>41852</v>
      </c>
      <c r="BI4" s="7">
        <v>13741</v>
      </c>
      <c r="BJ4" s="9">
        <f t="shared" si="18"/>
        <v>0.32832361655356973</v>
      </c>
      <c r="BK4" s="10">
        <v>33772</v>
      </c>
      <c r="BL4" s="7">
        <v>13194</v>
      </c>
      <c r="BM4" s="9">
        <f t="shared" si="19"/>
        <v>0.3906786687196494</v>
      </c>
      <c r="BN4" s="49">
        <v>30</v>
      </c>
      <c r="BO4" s="49">
        <v>50</v>
      </c>
      <c r="BP4" s="48">
        <f t="shared" si="20"/>
        <v>1.6666666666666667</v>
      </c>
      <c r="BQ4" s="49">
        <v>30</v>
      </c>
      <c r="BR4" s="49">
        <v>50</v>
      </c>
      <c r="BS4" s="48">
        <f t="shared" si="21"/>
        <v>1.6666666666666667</v>
      </c>
      <c r="BT4" s="49">
        <v>30</v>
      </c>
      <c r="BU4" s="49">
        <v>34</v>
      </c>
      <c r="BV4" s="48">
        <f t="shared" si="22"/>
        <v>1.1333333333333333</v>
      </c>
      <c r="BW4" s="49">
        <v>30</v>
      </c>
      <c r="BX4" s="49">
        <v>34</v>
      </c>
      <c r="BY4" s="48">
        <f t="shared" si="23"/>
        <v>1.1333333333333333</v>
      </c>
      <c r="BZ4" s="49">
        <v>0</v>
      </c>
      <c r="CA4" s="49">
        <v>0</v>
      </c>
      <c r="CB4" s="48">
        <f t="shared" si="24"/>
        <v>0</v>
      </c>
      <c r="CC4" s="49">
        <v>0</v>
      </c>
      <c r="CD4" s="49">
        <v>0</v>
      </c>
      <c r="CE4" s="48">
        <f t="shared" si="25"/>
        <v>0</v>
      </c>
      <c r="CF4" s="50">
        <v>60</v>
      </c>
      <c r="CG4" s="49">
        <v>84</v>
      </c>
      <c r="CH4" s="48">
        <f t="shared" si="26"/>
        <v>1.4</v>
      </c>
      <c r="CI4" s="50">
        <v>60</v>
      </c>
      <c r="CJ4" s="49">
        <v>84</v>
      </c>
      <c r="CK4" s="48">
        <f t="shared" si="27"/>
        <v>1.4</v>
      </c>
      <c r="CL4" s="49">
        <v>1050</v>
      </c>
      <c r="CM4" s="49">
        <v>130</v>
      </c>
      <c r="CN4" s="48">
        <f t="shared" si="28"/>
        <v>0.12380952380952381</v>
      </c>
      <c r="CO4" s="49">
        <v>805</v>
      </c>
      <c r="CP4" s="49">
        <v>130</v>
      </c>
      <c r="CQ4" s="48">
        <f t="shared" si="29"/>
        <v>0.16149068322981366</v>
      </c>
      <c r="CR4" s="49">
        <v>1110</v>
      </c>
      <c r="CS4" s="49">
        <v>214</v>
      </c>
      <c r="CT4" s="93">
        <f t="shared" si="30"/>
        <v>0.19279279279279279</v>
      </c>
      <c r="CU4" s="49">
        <v>865</v>
      </c>
      <c r="CV4" s="49">
        <v>214</v>
      </c>
      <c r="CW4" s="93">
        <f t="shared" si="31"/>
        <v>0.24739884393063583</v>
      </c>
      <c r="CX4" s="85">
        <v>0</v>
      </c>
      <c r="CY4" s="85">
        <v>0</v>
      </c>
      <c r="CZ4" s="85">
        <f t="shared" si="32"/>
        <v>0</v>
      </c>
      <c r="DA4" s="85">
        <v>0</v>
      </c>
      <c r="DB4" s="85">
        <v>0</v>
      </c>
      <c r="DC4" s="85">
        <f t="shared" si="33"/>
        <v>0</v>
      </c>
      <c r="DD4" s="85">
        <v>0</v>
      </c>
      <c r="DE4" s="85">
        <v>0</v>
      </c>
      <c r="DF4" s="18">
        <f t="shared" si="34"/>
        <v>0</v>
      </c>
      <c r="DG4" s="85">
        <v>0</v>
      </c>
      <c r="DH4" s="85">
        <v>0</v>
      </c>
      <c r="DI4" s="18">
        <f t="shared" si="35"/>
        <v>0</v>
      </c>
      <c r="DJ4" s="46" t="s">
        <v>6</v>
      </c>
      <c r="DK4" s="46">
        <v>0</v>
      </c>
      <c r="DL4" s="18">
        <f t="shared" si="36"/>
        <v>0</v>
      </c>
      <c r="DM4" s="46" t="s">
        <v>6</v>
      </c>
      <c r="DN4" s="46">
        <v>0</v>
      </c>
      <c r="DO4" s="18">
        <f t="shared" si="37"/>
        <v>0</v>
      </c>
      <c r="DP4" s="46">
        <v>75</v>
      </c>
      <c r="DQ4" s="46">
        <v>37</v>
      </c>
      <c r="DR4" s="18">
        <f t="shared" si="38"/>
        <v>0.49333333333333335</v>
      </c>
      <c r="DS4" s="46">
        <v>58</v>
      </c>
      <c r="DT4" s="47">
        <v>29</v>
      </c>
      <c r="DU4" s="18">
        <f t="shared" si="39"/>
        <v>0.5</v>
      </c>
      <c r="DV4" s="46">
        <v>75</v>
      </c>
      <c r="DW4" s="46">
        <v>37</v>
      </c>
      <c r="DX4" s="18">
        <f t="shared" si="40"/>
        <v>0.49333333333333335</v>
      </c>
      <c r="DY4" s="46">
        <v>58</v>
      </c>
      <c r="DZ4" s="46">
        <v>37</v>
      </c>
      <c r="EA4" s="18">
        <f t="shared" si="41"/>
        <v>0.63793103448275867</v>
      </c>
    </row>
    <row r="5" spans="1:131" s="58" customFormat="1" ht="15.6" x14ac:dyDescent="0.3">
      <c r="A5" s="34" t="s">
        <v>85</v>
      </c>
      <c r="B5" s="79">
        <v>5</v>
      </c>
      <c r="C5" s="79" t="s">
        <v>4</v>
      </c>
      <c r="D5" s="79">
        <v>9201</v>
      </c>
      <c r="E5" s="79" t="s">
        <v>5</v>
      </c>
      <c r="F5" s="10">
        <v>0</v>
      </c>
      <c r="G5" s="7">
        <v>0</v>
      </c>
      <c r="H5" s="9">
        <f t="shared" si="0"/>
        <v>0</v>
      </c>
      <c r="I5" s="10">
        <v>0</v>
      </c>
      <c r="J5" s="7">
        <v>0</v>
      </c>
      <c r="K5" s="9">
        <f t="shared" si="1"/>
        <v>0</v>
      </c>
      <c r="L5" s="10">
        <v>110</v>
      </c>
      <c r="M5" s="7">
        <v>75</v>
      </c>
      <c r="N5" s="9">
        <f t="shared" si="2"/>
        <v>0.68181818181818177</v>
      </c>
      <c r="O5" s="10">
        <v>110</v>
      </c>
      <c r="P5" s="7">
        <v>75</v>
      </c>
      <c r="Q5" s="9">
        <f t="shared" si="3"/>
        <v>0.68181818181818177</v>
      </c>
      <c r="R5" s="10">
        <v>2888</v>
      </c>
      <c r="S5" s="7">
        <v>2325</v>
      </c>
      <c r="T5" s="9">
        <f t="shared" si="4"/>
        <v>0.80505540166204981</v>
      </c>
      <c r="U5" s="10">
        <v>2888</v>
      </c>
      <c r="V5" s="7">
        <v>2325</v>
      </c>
      <c r="W5" s="9">
        <f t="shared" si="5"/>
        <v>0.80505540166204981</v>
      </c>
      <c r="X5" s="10" t="s">
        <v>6</v>
      </c>
      <c r="Y5" s="7">
        <v>0</v>
      </c>
      <c r="Z5" s="9">
        <f t="shared" si="6"/>
        <v>0</v>
      </c>
      <c r="AA5" s="10" t="s">
        <v>6</v>
      </c>
      <c r="AB5" s="7">
        <v>0</v>
      </c>
      <c r="AC5" s="9">
        <f t="shared" si="7"/>
        <v>0</v>
      </c>
      <c r="AD5" s="10">
        <v>2998</v>
      </c>
      <c r="AE5" s="7">
        <v>2400</v>
      </c>
      <c r="AF5" s="9">
        <f t="shared" si="8"/>
        <v>0.80053368912608402</v>
      </c>
      <c r="AG5" s="10">
        <v>2998</v>
      </c>
      <c r="AH5" s="7">
        <v>2400</v>
      </c>
      <c r="AI5" s="9">
        <f t="shared" si="9"/>
        <v>0.80053368912608402</v>
      </c>
      <c r="AJ5" s="10">
        <v>2614</v>
      </c>
      <c r="AK5" s="7">
        <v>1505</v>
      </c>
      <c r="AL5" s="9">
        <f t="shared" si="10"/>
        <v>0.57574598316755932</v>
      </c>
      <c r="AM5" s="10">
        <v>2614</v>
      </c>
      <c r="AN5" s="7">
        <v>1505</v>
      </c>
      <c r="AO5" s="9">
        <f t="shared" si="11"/>
        <v>0.57574598316755932</v>
      </c>
      <c r="AP5" s="10">
        <v>2614</v>
      </c>
      <c r="AQ5" s="7">
        <v>1505</v>
      </c>
      <c r="AR5" s="9">
        <f t="shared" si="12"/>
        <v>0.57574598316755932</v>
      </c>
      <c r="AS5" s="10">
        <v>2614</v>
      </c>
      <c r="AT5" s="7">
        <v>1505</v>
      </c>
      <c r="AU5" s="9">
        <f t="shared" si="13"/>
        <v>0.57574598316755932</v>
      </c>
      <c r="AV5" s="10">
        <v>5612</v>
      </c>
      <c r="AW5" s="7">
        <v>3905</v>
      </c>
      <c r="AX5" s="9">
        <f t="shared" si="14"/>
        <v>0.69583036350677119</v>
      </c>
      <c r="AY5" s="10">
        <v>5612</v>
      </c>
      <c r="AZ5" s="7">
        <v>3905</v>
      </c>
      <c r="BA5" s="9">
        <f t="shared" si="15"/>
        <v>0.69583036350677119</v>
      </c>
      <c r="BB5" s="10">
        <v>36240</v>
      </c>
      <c r="BC5" s="7">
        <v>9836</v>
      </c>
      <c r="BD5" s="9">
        <f t="shared" si="16"/>
        <v>0.27141280353200881</v>
      </c>
      <c r="BE5" s="10">
        <v>28160</v>
      </c>
      <c r="BF5" s="7">
        <v>9289</v>
      </c>
      <c r="BG5" s="9">
        <f t="shared" si="17"/>
        <v>0.32986505681818185</v>
      </c>
      <c r="BH5" s="10">
        <v>41852</v>
      </c>
      <c r="BI5" s="7">
        <v>13741</v>
      </c>
      <c r="BJ5" s="9">
        <f t="shared" si="18"/>
        <v>0.32832361655356973</v>
      </c>
      <c r="BK5" s="10">
        <v>33772</v>
      </c>
      <c r="BL5" s="7">
        <v>13194</v>
      </c>
      <c r="BM5" s="9">
        <f t="shared" si="19"/>
        <v>0.3906786687196494</v>
      </c>
      <c r="BN5" s="49">
        <v>30</v>
      </c>
      <c r="BO5" s="49">
        <v>51</v>
      </c>
      <c r="BP5" s="48">
        <f t="shared" si="20"/>
        <v>1.7</v>
      </c>
      <c r="BQ5" s="49">
        <v>30</v>
      </c>
      <c r="BR5" s="49">
        <v>51</v>
      </c>
      <c r="BS5" s="48">
        <f t="shared" si="21"/>
        <v>1.7</v>
      </c>
      <c r="BT5" s="49">
        <v>30</v>
      </c>
      <c r="BU5" s="49">
        <v>34</v>
      </c>
      <c r="BV5" s="48">
        <f t="shared" si="22"/>
        <v>1.1333333333333333</v>
      </c>
      <c r="BW5" s="49">
        <v>30</v>
      </c>
      <c r="BX5" s="49">
        <v>34</v>
      </c>
      <c r="BY5" s="48">
        <f t="shared" si="23"/>
        <v>1.1333333333333333</v>
      </c>
      <c r="BZ5" s="49">
        <v>0</v>
      </c>
      <c r="CA5" s="49">
        <v>0</v>
      </c>
      <c r="CB5" s="48">
        <f t="shared" si="24"/>
        <v>0</v>
      </c>
      <c r="CC5" s="49">
        <v>0</v>
      </c>
      <c r="CD5" s="49">
        <v>0</v>
      </c>
      <c r="CE5" s="48">
        <f t="shared" si="25"/>
        <v>0</v>
      </c>
      <c r="CF5" s="50">
        <v>60</v>
      </c>
      <c r="CG5" s="49">
        <v>85</v>
      </c>
      <c r="CH5" s="48">
        <f t="shared" si="26"/>
        <v>1.4166666666666667</v>
      </c>
      <c r="CI5" s="50">
        <v>60</v>
      </c>
      <c r="CJ5" s="49">
        <v>85</v>
      </c>
      <c r="CK5" s="48">
        <f t="shared" si="27"/>
        <v>1.4166666666666667</v>
      </c>
      <c r="CL5" s="49">
        <v>1050</v>
      </c>
      <c r="CM5" s="49">
        <v>190</v>
      </c>
      <c r="CN5" s="48">
        <f t="shared" si="28"/>
        <v>0.18095238095238095</v>
      </c>
      <c r="CO5" s="49">
        <v>805</v>
      </c>
      <c r="CP5" s="49">
        <v>162</v>
      </c>
      <c r="CQ5" s="48">
        <f t="shared" si="29"/>
        <v>0.20124223602484473</v>
      </c>
      <c r="CR5" s="49">
        <v>1110</v>
      </c>
      <c r="CS5" s="49">
        <v>275</v>
      </c>
      <c r="CT5" s="93">
        <f t="shared" si="30"/>
        <v>0.24774774774774774</v>
      </c>
      <c r="CU5" s="49">
        <v>865</v>
      </c>
      <c r="CV5" s="49">
        <v>247</v>
      </c>
      <c r="CW5" s="93">
        <f t="shared" si="31"/>
        <v>0.2855491329479769</v>
      </c>
      <c r="CX5" s="85">
        <v>0</v>
      </c>
      <c r="CY5" s="85">
        <v>0</v>
      </c>
      <c r="CZ5" s="85">
        <f t="shared" si="32"/>
        <v>0</v>
      </c>
      <c r="DA5" s="85">
        <v>0</v>
      </c>
      <c r="DB5" s="85">
        <v>0</v>
      </c>
      <c r="DC5" s="85">
        <f t="shared" si="33"/>
        <v>0</v>
      </c>
      <c r="DD5" s="85">
        <v>0</v>
      </c>
      <c r="DE5" s="85">
        <v>0</v>
      </c>
      <c r="DF5" s="18">
        <f t="shared" si="34"/>
        <v>0</v>
      </c>
      <c r="DG5" s="85">
        <v>0</v>
      </c>
      <c r="DH5" s="85">
        <v>0</v>
      </c>
      <c r="DI5" s="18">
        <f t="shared" si="35"/>
        <v>0</v>
      </c>
      <c r="DJ5" s="46" t="s">
        <v>6</v>
      </c>
      <c r="DK5" s="46">
        <v>0</v>
      </c>
      <c r="DL5" s="18">
        <f t="shared" si="36"/>
        <v>0</v>
      </c>
      <c r="DM5" s="46" t="s">
        <v>6</v>
      </c>
      <c r="DN5" s="46">
        <v>0</v>
      </c>
      <c r="DO5" s="18">
        <f t="shared" si="37"/>
        <v>0</v>
      </c>
      <c r="DP5" s="46">
        <v>75</v>
      </c>
      <c r="DQ5" s="46">
        <v>37</v>
      </c>
      <c r="DR5" s="18">
        <f t="shared" si="38"/>
        <v>0.49333333333333335</v>
      </c>
      <c r="DS5" s="46">
        <v>58</v>
      </c>
      <c r="DT5" s="47">
        <v>37</v>
      </c>
      <c r="DU5" s="18">
        <f t="shared" si="39"/>
        <v>0.63793103448275867</v>
      </c>
      <c r="DV5" s="46">
        <v>75</v>
      </c>
      <c r="DW5" s="46">
        <v>37</v>
      </c>
      <c r="DX5" s="18">
        <f t="shared" si="40"/>
        <v>0.49333333333333335</v>
      </c>
      <c r="DY5" s="46">
        <v>58</v>
      </c>
      <c r="DZ5" s="46">
        <v>37</v>
      </c>
      <c r="EA5" s="18">
        <f t="shared" si="41"/>
        <v>0.63793103448275867</v>
      </c>
    </row>
    <row r="6" spans="1:131" s="58" customFormat="1" ht="15.6" x14ac:dyDescent="0.3">
      <c r="A6" s="34" t="s">
        <v>86</v>
      </c>
      <c r="B6" s="24">
        <v>5</v>
      </c>
      <c r="C6" s="24" t="s">
        <v>4</v>
      </c>
      <c r="D6" s="24">
        <v>9201</v>
      </c>
      <c r="E6" s="24" t="s">
        <v>5</v>
      </c>
      <c r="F6" s="10">
        <v>0</v>
      </c>
      <c r="G6" s="7">
        <v>0</v>
      </c>
      <c r="H6" s="9">
        <f t="shared" si="0"/>
        <v>0</v>
      </c>
      <c r="I6" s="10">
        <v>0</v>
      </c>
      <c r="J6" s="7">
        <v>0</v>
      </c>
      <c r="K6" s="9">
        <f t="shared" si="1"/>
        <v>0</v>
      </c>
      <c r="L6" s="17">
        <v>110</v>
      </c>
      <c r="M6" s="17">
        <v>76</v>
      </c>
      <c r="N6" s="9">
        <f t="shared" si="2"/>
        <v>0.69090909090909092</v>
      </c>
      <c r="O6" s="17">
        <v>110</v>
      </c>
      <c r="P6" s="17">
        <v>76</v>
      </c>
      <c r="Q6" s="9">
        <f t="shared" si="3"/>
        <v>0.69090909090909092</v>
      </c>
      <c r="R6" s="17">
        <v>2888</v>
      </c>
      <c r="S6" s="17">
        <v>2678</v>
      </c>
      <c r="T6" s="9">
        <f t="shared" si="4"/>
        <v>0.92728531855955676</v>
      </c>
      <c r="U6" s="17">
        <v>2888</v>
      </c>
      <c r="V6" s="17">
        <v>2678</v>
      </c>
      <c r="W6" s="9">
        <f t="shared" si="5"/>
        <v>0.92728531855955676</v>
      </c>
      <c r="X6" s="17" t="s">
        <v>6</v>
      </c>
      <c r="Y6" s="17">
        <v>0</v>
      </c>
      <c r="Z6" s="9">
        <f t="shared" si="6"/>
        <v>0</v>
      </c>
      <c r="AA6" s="17" t="s">
        <v>6</v>
      </c>
      <c r="AB6" s="17">
        <v>0</v>
      </c>
      <c r="AC6" s="9">
        <f t="shared" si="7"/>
        <v>0</v>
      </c>
      <c r="AD6" s="94">
        <v>2998</v>
      </c>
      <c r="AE6" s="94">
        <v>2754</v>
      </c>
      <c r="AF6" s="9">
        <f t="shared" si="8"/>
        <v>0.91861240827218149</v>
      </c>
      <c r="AG6" s="94">
        <v>2998</v>
      </c>
      <c r="AH6" s="94">
        <v>2754</v>
      </c>
      <c r="AI6" s="9">
        <f t="shared" si="9"/>
        <v>0.91861240827218149</v>
      </c>
      <c r="AJ6" s="17">
        <v>2614</v>
      </c>
      <c r="AK6" s="17">
        <v>1855</v>
      </c>
      <c r="AL6" s="9">
        <f t="shared" si="10"/>
        <v>0.7096403978576894</v>
      </c>
      <c r="AM6" s="17">
        <v>2614</v>
      </c>
      <c r="AN6" s="17">
        <v>1855</v>
      </c>
      <c r="AO6" s="9">
        <f t="shared" si="11"/>
        <v>0.7096403978576894</v>
      </c>
      <c r="AP6" s="17">
        <v>2614</v>
      </c>
      <c r="AQ6" s="17">
        <v>1855</v>
      </c>
      <c r="AR6" s="9">
        <f t="shared" si="12"/>
        <v>0.7096403978576894</v>
      </c>
      <c r="AS6" s="17">
        <v>2614</v>
      </c>
      <c r="AT6" s="17">
        <v>1855</v>
      </c>
      <c r="AU6" s="9">
        <f t="shared" si="13"/>
        <v>0.7096403978576894</v>
      </c>
      <c r="AV6" s="17">
        <v>5612</v>
      </c>
      <c r="AW6" s="17">
        <v>4609</v>
      </c>
      <c r="AX6" s="9">
        <f t="shared" si="14"/>
        <v>0.82127583749109057</v>
      </c>
      <c r="AY6" s="17">
        <v>5612</v>
      </c>
      <c r="AZ6" s="17">
        <v>4609</v>
      </c>
      <c r="BA6" s="9">
        <f t="shared" si="15"/>
        <v>0.82127583749109057</v>
      </c>
      <c r="BB6" s="17">
        <v>36240</v>
      </c>
      <c r="BC6" s="17">
        <v>17409</v>
      </c>
      <c r="BD6" s="9">
        <f t="shared" si="16"/>
        <v>0.48038079470198675</v>
      </c>
      <c r="BE6" s="17">
        <v>28160</v>
      </c>
      <c r="BF6" s="17">
        <v>15724</v>
      </c>
      <c r="BG6" s="9">
        <f t="shared" si="17"/>
        <v>0.55838068181818179</v>
      </c>
      <c r="BH6" s="17">
        <v>41852</v>
      </c>
      <c r="BI6" s="17">
        <v>22018</v>
      </c>
      <c r="BJ6" s="9">
        <f t="shared" si="18"/>
        <v>0.52609194303736972</v>
      </c>
      <c r="BK6" s="17">
        <v>33772</v>
      </c>
      <c r="BL6" s="17">
        <v>20333</v>
      </c>
      <c r="BM6" s="9">
        <f t="shared" si="19"/>
        <v>0.60206680090015396</v>
      </c>
      <c r="BN6" s="49">
        <v>30</v>
      </c>
      <c r="BO6" s="49">
        <v>51</v>
      </c>
      <c r="BP6" s="48">
        <f t="shared" si="20"/>
        <v>1.7</v>
      </c>
      <c r="BQ6" s="49">
        <v>30</v>
      </c>
      <c r="BR6" s="49">
        <v>51</v>
      </c>
      <c r="BS6" s="48">
        <f t="shared" si="21"/>
        <v>1.7</v>
      </c>
      <c r="BT6" s="49">
        <v>30</v>
      </c>
      <c r="BU6" s="49">
        <v>34</v>
      </c>
      <c r="BV6" s="48">
        <f t="shared" si="22"/>
        <v>1.1333333333333333</v>
      </c>
      <c r="BW6" s="49">
        <v>30</v>
      </c>
      <c r="BX6" s="49">
        <v>34</v>
      </c>
      <c r="BY6" s="48">
        <f t="shared" si="23"/>
        <v>1.1333333333333333</v>
      </c>
      <c r="BZ6" s="49">
        <v>0</v>
      </c>
      <c r="CA6" s="49">
        <v>0</v>
      </c>
      <c r="CB6" s="48">
        <f t="shared" si="24"/>
        <v>0</v>
      </c>
      <c r="CC6" s="49">
        <v>0</v>
      </c>
      <c r="CD6" s="49">
        <v>0</v>
      </c>
      <c r="CE6" s="48">
        <f t="shared" si="25"/>
        <v>0</v>
      </c>
      <c r="CF6" s="50">
        <v>60</v>
      </c>
      <c r="CG6" s="49">
        <v>85</v>
      </c>
      <c r="CH6" s="48">
        <f t="shared" si="26"/>
        <v>1.4166666666666667</v>
      </c>
      <c r="CI6" s="50">
        <v>60</v>
      </c>
      <c r="CJ6" s="49">
        <v>85</v>
      </c>
      <c r="CK6" s="48">
        <f t="shared" si="27"/>
        <v>1.4166666666666667</v>
      </c>
      <c r="CL6" s="49">
        <v>1050</v>
      </c>
      <c r="CM6" s="49">
        <v>304</v>
      </c>
      <c r="CN6" s="48">
        <f t="shared" si="28"/>
        <v>0.28952380952380952</v>
      </c>
      <c r="CO6" s="49">
        <v>805</v>
      </c>
      <c r="CP6" s="49">
        <v>259</v>
      </c>
      <c r="CQ6" s="48">
        <f t="shared" si="29"/>
        <v>0.32173913043478258</v>
      </c>
      <c r="CR6" s="49">
        <v>1110</v>
      </c>
      <c r="CS6" s="49">
        <v>389</v>
      </c>
      <c r="CT6" s="93">
        <f t="shared" si="30"/>
        <v>0.35045045045045042</v>
      </c>
      <c r="CU6" s="49">
        <v>865</v>
      </c>
      <c r="CV6" s="49">
        <v>344</v>
      </c>
      <c r="CW6" s="93">
        <f t="shared" si="31"/>
        <v>0.39768786127167632</v>
      </c>
      <c r="CX6" s="85">
        <v>0</v>
      </c>
      <c r="CY6" s="85">
        <v>0</v>
      </c>
      <c r="CZ6" s="85">
        <f t="shared" si="32"/>
        <v>0</v>
      </c>
      <c r="DA6" s="85">
        <v>0</v>
      </c>
      <c r="DB6" s="85">
        <v>0</v>
      </c>
      <c r="DC6" s="85">
        <f t="shared" si="33"/>
        <v>0</v>
      </c>
      <c r="DD6" s="85">
        <v>0</v>
      </c>
      <c r="DE6" s="85">
        <v>0</v>
      </c>
      <c r="DF6" s="18">
        <f t="shared" si="34"/>
        <v>0</v>
      </c>
      <c r="DG6" s="85">
        <v>0</v>
      </c>
      <c r="DH6" s="85">
        <v>0</v>
      </c>
      <c r="DI6" s="18">
        <f t="shared" si="35"/>
        <v>0</v>
      </c>
      <c r="DJ6" s="46" t="s">
        <v>6</v>
      </c>
      <c r="DK6" s="46">
        <v>0</v>
      </c>
      <c r="DL6" s="18">
        <f t="shared" si="36"/>
        <v>0</v>
      </c>
      <c r="DM6" s="46" t="s">
        <v>6</v>
      </c>
      <c r="DN6" s="46">
        <v>0</v>
      </c>
      <c r="DO6" s="18">
        <f t="shared" si="37"/>
        <v>0</v>
      </c>
      <c r="DP6" s="46">
        <v>75</v>
      </c>
      <c r="DQ6" s="46">
        <v>37</v>
      </c>
      <c r="DR6" s="18">
        <f t="shared" si="38"/>
        <v>0.49333333333333335</v>
      </c>
      <c r="DS6" s="46">
        <v>58</v>
      </c>
      <c r="DT6" s="46">
        <v>37</v>
      </c>
      <c r="DU6" s="18">
        <f t="shared" si="39"/>
        <v>0.63793103448275867</v>
      </c>
      <c r="DV6" s="46">
        <v>75</v>
      </c>
      <c r="DW6" s="46">
        <v>37</v>
      </c>
      <c r="DX6" s="18">
        <f t="shared" si="40"/>
        <v>0.49333333333333335</v>
      </c>
      <c r="DY6" s="46">
        <v>58</v>
      </c>
      <c r="DZ6" s="46">
        <v>37</v>
      </c>
      <c r="EA6" s="18">
        <f t="shared" si="41"/>
        <v>0.63793103448275867</v>
      </c>
    </row>
    <row r="7" spans="1:131" s="58" customFormat="1" ht="15.6" x14ac:dyDescent="0.3">
      <c r="A7" s="34" t="s">
        <v>87</v>
      </c>
      <c r="B7" s="24">
        <v>5</v>
      </c>
      <c r="C7" s="24" t="s">
        <v>4</v>
      </c>
      <c r="D7" s="24">
        <v>9201</v>
      </c>
      <c r="E7" s="24" t="s">
        <v>5</v>
      </c>
      <c r="F7" s="10">
        <v>0</v>
      </c>
      <c r="G7" s="7">
        <v>0</v>
      </c>
      <c r="H7" s="9">
        <f t="shared" si="0"/>
        <v>0</v>
      </c>
      <c r="I7" s="10">
        <v>0</v>
      </c>
      <c r="J7" s="7">
        <v>0</v>
      </c>
      <c r="K7" s="9">
        <f t="shared" si="1"/>
        <v>0</v>
      </c>
      <c r="L7" s="17">
        <v>110</v>
      </c>
      <c r="M7" s="17">
        <v>76</v>
      </c>
      <c r="N7" s="9">
        <f t="shared" si="2"/>
        <v>0.69090909090909092</v>
      </c>
      <c r="O7" s="17">
        <v>110</v>
      </c>
      <c r="P7" s="17">
        <v>76</v>
      </c>
      <c r="Q7" s="9">
        <f t="shared" si="3"/>
        <v>0.69090909090909092</v>
      </c>
      <c r="R7" s="17">
        <v>2888</v>
      </c>
      <c r="S7" s="17">
        <v>2728</v>
      </c>
      <c r="T7" s="9">
        <f t="shared" si="4"/>
        <v>0.94459833795013848</v>
      </c>
      <c r="U7" s="17">
        <v>2888</v>
      </c>
      <c r="V7" s="17">
        <v>2728</v>
      </c>
      <c r="W7" s="9">
        <f t="shared" si="5"/>
        <v>0.94459833795013848</v>
      </c>
      <c r="X7" s="17" t="s">
        <v>6</v>
      </c>
      <c r="Y7" s="17">
        <v>0</v>
      </c>
      <c r="Z7" s="9">
        <f t="shared" si="6"/>
        <v>0</v>
      </c>
      <c r="AA7" s="17" t="s">
        <v>6</v>
      </c>
      <c r="AB7" s="17">
        <v>0</v>
      </c>
      <c r="AC7" s="9">
        <f t="shared" si="7"/>
        <v>0</v>
      </c>
      <c r="AD7" s="94">
        <v>2998</v>
      </c>
      <c r="AE7" s="94">
        <v>2804</v>
      </c>
      <c r="AF7" s="9">
        <f t="shared" si="8"/>
        <v>0.93529019346230824</v>
      </c>
      <c r="AG7" s="94">
        <v>2998</v>
      </c>
      <c r="AH7" s="94">
        <v>2804</v>
      </c>
      <c r="AI7" s="9">
        <f t="shared" si="9"/>
        <v>0.93529019346230824</v>
      </c>
      <c r="AJ7" s="17">
        <v>2614</v>
      </c>
      <c r="AK7" s="17">
        <v>1913</v>
      </c>
      <c r="AL7" s="9">
        <f t="shared" si="10"/>
        <v>0.73182861514919662</v>
      </c>
      <c r="AM7" s="17">
        <v>2614</v>
      </c>
      <c r="AN7" s="17">
        <v>1913</v>
      </c>
      <c r="AO7" s="9">
        <f t="shared" si="11"/>
        <v>0.73182861514919662</v>
      </c>
      <c r="AP7" s="17">
        <v>2614</v>
      </c>
      <c r="AQ7" s="17">
        <v>1913</v>
      </c>
      <c r="AR7" s="9">
        <f t="shared" si="12"/>
        <v>0.73182861514919662</v>
      </c>
      <c r="AS7" s="17">
        <v>2614</v>
      </c>
      <c r="AT7" s="17">
        <v>1913</v>
      </c>
      <c r="AU7" s="9">
        <f t="shared" si="13"/>
        <v>0.73182861514919662</v>
      </c>
      <c r="AV7" s="17">
        <v>5612</v>
      </c>
      <c r="AW7" s="17">
        <v>4717</v>
      </c>
      <c r="AX7" s="9">
        <f t="shared" si="14"/>
        <v>0.84052031361368496</v>
      </c>
      <c r="AY7" s="17">
        <v>5612</v>
      </c>
      <c r="AZ7" s="17">
        <v>4717</v>
      </c>
      <c r="BA7" s="9">
        <f t="shared" si="15"/>
        <v>0.84052031361368496</v>
      </c>
      <c r="BB7" s="17">
        <v>36240</v>
      </c>
      <c r="BC7" s="17">
        <v>19274</v>
      </c>
      <c r="BD7" s="9">
        <f t="shared" si="16"/>
        <v>0.53184326710816776</v>
      </c>
      <c r="BE7" s="17">
        <v>28160</v>
      </c>
      <c r="BF7" s="17">
        <v>17095</v>
      </c>
      <c r="BG7" s="9">
        <f t="shared" si="17"/>
        <v>0.60706676136363635</v>
      </c>
      <c r="BH7" s="17">
        <v>41852</v>
      </c>
      <c r="BI7" s="17">
        <v>23991</v>
      </c>
      <c r="BJ7" s="9">
        <f t="shared" si="18"/>
        <v>0.57323425403803885</v>
      </c>
      <c r="BK7" s="17">
        <v>33772</v>
      </c>
      <c r="BL7" s="17">
        <v>21812</v>
      </c>
      <c r="BM7" s="9">
        <f t="shared" si="19"/>
        <v>0.6458604761340756</v>
      </c>
      <c r="BN7" s="49">
        <v>30</v>
      </c>
      <c r="BO7" s="49">
        <v>51</v>
      </c>
      <c r="BP7" s="48">
        <f t="shared" si="20"/>
        <v>1.7</v>
      </c>
      <c r="BQ7" s="49">
        <v>30</v>
      </c>
      <c r="BR7" s="49">
        <v>51</v>
      </c>
      <c r="BS7" s="48">
        <f t="shared" si="21"/>
        <v>1.7</v>
      </c>
      <c r="BT7" s="49">
        <v>30</v>
      </c>
      <c r="BU7" s="49">
        <v>34</v>
      </c>
      <c r="BV7" s="48">
        <f t="shared" si="22"/>
        <v>1.1333333333333333</v>
      </c>
      <c r="BW7" s="49">
        <v>30</v>
      </c>
      <c r="BX7" s="49">
        <v>34</v>
      </c>
      <c r="BY7" s="48">
        <f t="shared" si="23"/>
        <v>1.1333333333333333</v>
      </c>
      <c r="BZ7" s="49">
        <v>0</v>
      </c>
      <c r="CA7" s="49">
        <v>0</v>
      </c>
      <c r="CB7" s="48">
        <f t="shared" si="24"/>
        <v>0</v>
      </c>
      <c r="CC7" s="49">
        <v>0</v>
      </c>
      <c r="CD7" s="49">
        <v>34</v>
      </c>
      <c r="CE7" s="48">
        <f t="shared" si="25"/>
        <v>0</v>
      </c>
      <c r="CF7" s="50">
        <v>60</v>
      </c>
      <c r="CG7" s="49">
        <v>85</v>
      </c>
      <c r="CH7" s="48">
        <f t="shared" si="26"/>
        <v>1.4166666666666667</v>
      </c>
      <c r="CI7" s="50">
        <v>60</v>
      </c>
      <c r="CJ7" s="49">
        <v>85</v>
      </c>
      <c r="CK7" s="48">
        <f t="shared" si="27"/>
        <v>1.4166666666666667</v>
      </c>
      <c r="CL7" s="49">
        <v>1050</v>
      </c>
      <c r="CM7" s="49">
        <v>576</v>
      </c>
      <c r="CN7" s="48">
        <f t="shared" si="28"/>
        <v>0.5485714285714286</v>
      </c>
      <c r="CO7" s="49">
        <v>805</v>
      </c>
      <c r="CP7" s="49">
        <v>464</v>
      </c>
      <c r="CQ7" s="48">
        <f t="shared" si="29"/>
        <v>0.57639751552795027</v>
      </c>
      <c r="CR7" s="49">
        <v>1110</v>
      </c>
      <c r="CS7" s="49">
        <v>661</v>
      </c>
      <c r="CT7" s="93">
        <f t="shared" si="30"/>
        <v>0.59549549549549552</v>
      </c>
      <c r="CU7" s="49">
        <v>865</v>
      </c>
      <c r="CV7" s="49">
        <v>549</v>
      </c>
      <c r="CW7" s="93">
        <f t="shared" si="31"/>
        <v>0.63468208092485545</v>
      </c>
      <c r="CX7" s="85">
        <v>0</v>
      </c>
      <c r="CY7" s="85">
        <v>0</v>
      </c>
      <c r="CZ7" s="85">
        <f t="shared" si="32"/>
        <v>0</v>
      </c>
      <c r="DA7" s="85">
        <v>0</v>
      </c>
      <c r="DB7" s="85">
        <v>0</v>
      </c>
      <c r="DC7" s="85">
        <f t="shared" si="33"/>
        <v>0</v>
      </c>
      <c r="DD7" s="85">
        <v>0</v>
      </c>
      <c r="DE7" s="85">
        <v>0</v>
      </c>
      <c r="DF7" s="18">
        <f t="shared" si="34"/>
        <v>0</v>
      </c>
      <c r="DG7" s="85">
        <v>0</v>
      </c>
      <c r="DH7" s="85">
        <v>0</v>
      </c>
      <c r="DI7" s="18">
        <f t="shared" si="35"/>
        <v>0</v>
      </c>
      <c r="DJ7" s="88" t="s">
        <v>6</v>
      </c>
      <c r="DK7" s="88"/>
      <c r="DL7" s="18">
        <f t="shared" si="36"/>
        <v>0</v>
      </c>
      <c r="DM7" s="88" t="s">
        <v>6</v>
      </c>
      <c r="DN7" s="88">
        <v>0</v>
      </c>
      <c r="DO7" s="18">
        <f t="shared" si="37"/>
        <v>0</v>
      </c>
      <c r="DP7" s="88">
        <v>75</v>
      </c>
      <c r="DQ7" s="88">
        <v>37</v>
      </c>
      <c r="DR7" s="18">
        <f t="shared" si="38"/>
        <v>0.49333333333333335</v>
      </c>
      <c r="DS7" s="88">
        <v>58</v>
      </c>
      <c r="DT7" s="88">
        <v>37</v>
      </c>
      <c r="DU7" s="18">
        <f t="shared" si="39"/>
        <v>0.63793103448275867</v>
      </c>
      <c r="DV7" s="88">
        <v>75</v>
      </c>
      <c r="DW7" s="88">
        <v>37</v>
      </c>
      <c r="DX7" s="18">
        <f t="shared" si="40"/>
        <v>0.49333333333333335</v>
      </c>
      <c r="DY7" s="88">
        <v>58</v>
      </c>
      <c r="DZ7" s="88">
        <v>37</v>
      </c>
      <c r="EA7" s="18">
        <f t="shared" si="41"/>
        <v>0.63793103448275867</v>
      </c>
    </row>
    <row r="8" spans="1:131" s="58" customFormat="1" ht="15.6" x14ac:dyDescent="0.3">
      <c r="A8" s="34" t="s">
        <v>88</v>
      </c>
      <c r="B8" s="24">
        <v>5</v>
      </c>
      <c r="C8" s="24" t="s">
        <v>4</v>
      </c>
      <c r="D8" s="24">
        <v>9201</v>
      </c>
      <c r="E8" s="24" t="s">
        <v>5</v>
      </c>
      <c r="F8" s="10">
        <v>0</v>
      </c>
      <c r="G8" s="7">
        <v>0</v>
      </c>
      <c r="H8" s="9">
        <f t="shared" si="0"/>
        <v>0</v>
      </c>
      <c r="I8" s="10">
        <v>0</v>
      </c>
      <c r="J8" s="7">
        <v>0</v>
      </c>
      <c r="K8" s="9">
        <f t="shared" si="1"/>
        <v>0</v>
      </c>
      <c r="L8" s="17">
        <v>110</v>
      </c>
      <c r="M8" s="17">
        <v>76</v>
      </c>
      <c r="N8" s="9">
        <f t="shared" si="2"/>
        <v>0.69090909090909092</v>
      </c>
      <c r="O8" s="17">
        <v>110</v>
      </c>
      <c r="P8" s="17">
        <v>76</v>
      </c>
      <c r="Q8" s="9">
        <f t="shared" si="3"/>
        <v>0.69090909090909092</v>
      </c>
      <c r="R8" s="17">
        <v>2888</v>
      </c>
      <c r="S8" s="17">
        <v>2747</v>
      </c>
      <c r="T8" s="9">
        <f t="shared" si="4"/>
        <v>0.95117728531855961</v>
      </c>
      <c r="U8" s="17">
        <v>2888</v>
      </c>
      <c r="V8" s="17">
        <v>2747</v>
      </c>
      <c r="W8" s="9">
        <f t="shared" si="5"/>
        <v>0.95117728531855961</v>
      </c>
      <c r="X8" s="17" t="s">
        <v>6</v>
      </c>
      <c r="Y8" s="17">
        <v>0</v>
      </c>
      <c r="Z8" s="9">
        <f t="shared" si="6"/>
        <v>0</v>
      </c>
      <c r="AA8" s="17" t="s">
        <v>6</v>
      </c>
      <c r="AB8" s="17">
        <v>0</v>
      </c>
      <c r="AC8" s="9">
        <f t="shared" si="7"/>
        <v>0</v>
      </c>
      <c r="AD8" s="94">
        <v>2998</v>
      </c>
      <c r="AE8" s="94">
        <v>2823</v>
      </c>
      <c r="AF8" s="9">
        <f t="shared" si="8"/>
        <v>0.94162775183455638</v>
      </c>
      <c r="AG8" s="94">
        <v>2998</v>
      </c>
      <c r="AH8" s="94">
        <v>2823</v>
      </c>
      <c r="AI8" s="9">
        <f t="shared" si="9"/>
        <v>0.94162775183455638</v>
      </c>
      <c r="AJ8" s="17">
        <v>2614</v>
      </c>
      <c r="AK8" s="17">
        <v>1913</v>
      </c>
      <c r="AL8" s="9">
        <f t="shared" si="10"/>
        <v>0.73182861514919662</v>
      </c>
      <c r="AM8" s="17">
        <v>2614</v>
      </c>
      <c r="AN8" s="17">
        <v>1913</v>
      </c>
      <c r="AO8" s="9">
        <f t="shared" si="11"/>
        <v>0.73182861514919662</v>
      </c>
      <c r="AP8" s="17">
        <v>2614</v>
      </c>
      <c r="AQ8" s="17">
        <v>1913</v>
      </c>
      <c r="AR8" s="9">
        <f t="shared" si="12"/>
        <v>0.73182861514919662</v>
      </c>
      <c r="AS8" s="17">
        <v>2614</v>
      </c>
      <c r="AT8" s="17">
        <v>1913</v>
      </c>
      <c r="AU8" s="9">
        <f t="shared" si="13"/>
        <v>0.73182861514919662</v>
      </c>
      <c r="AV8" s="17">
        <v>5612</v>
      </c>
      <c r="AW8" s="17">
        <v>4736</v>
      </c>
      <c r="AX8" s="9">
        <f t="shared" si="14"/>
        <v>0.8439059158945118</v>
      </c>
      <c r="AY8" s="17">
        <v>5612</v>
      </c>
      <c r="AZ8" s="17">
        <v>4736</v>
      </c>
      <c r="BA8" s="9">
        <f t="shared" si="15"/>
        <v>0.8439059158945118</v>
      </c>
      <c r="BB8" s="17">
        <v>36240</v>
      </c>
      <c r="BC8" s="17">
        <v>20056</v>
      </c>
      <c r="BD8" s="9">
        <f t="shared" si="16"/>
        <v>0.55342163355408391</v>
      </c>
      <c r="BE8" s="17">
        <v>28160</v>
      </c>
      <c r="BF8" s="17">
        <v>17498</v>
      </c>
      <c r="BG8" s="9">
        <f t="shared" si="17"/>
        <v>0.62137784090909087</v>
      </c>
      <c r="BH8" s="17">
        <v>41852</v>
      </c>
      <c r="BI8" s="17">
        <v>24792</v>
      </c>
      <c r="BJ8" s="9">
        <f t="shared" si="18"/>
        <v>0.59237312434292266</v>
      </c>
      <c r="BK8" s="17">
        <v>33772</v>
      </c>
      <c r="BL8" s="17">
        <v>22234</v>
      </c>
      <c r="BM8" s="9">
        <f t="shared" si="19"/>
        <v>0.65835603458486325</v>
      </c>
      <c r="BN8" s="86">
        <v>30</v>
      </c>
      <c r="BO8" s="86">
        <v>51</v>
      </c>
      <c r="BP8" s="48">
        <f t="shared" si="20"/>
        <v>1.7</v>
      </c>
      <c r="BQ8" s="86">
        <v>30</v>
      </c>
      <c r="BR8" s="86">
        <v>51</v>
      </c>
      <c r="BS8" s="48">
        <f t="shared" si="21"/>
        <v>1.7</v>
      </c>
      <c r="BT8" s="86">
        <v>30</v>
      </c>
      <c r="BU8" s="87">
        <v>34</v>
      </c>
      <c r="BV8" s="48">
        <f t="shared" si="22"/>
        <v>1.1333333333333333</v>
      </c>
      <c r="BW8" s="86">
        <v>30</v>
      </c>
      <c r="BX8" s="86">
        <v>34</v>
      </c>
      <c r="BY8" s="48">
        <f t="shared" si="23"/>
        <v>1.1333333333333333</v>
      </c>
      <c r="BZ8" s="86"/>
      <c r="CA8" s="86"/>
      <c r="CB8" s="48">
        <f t="shared" si="24"/>
        <v>0</v>
      </c>
      <c r="CC8" s="86"/>
      <c r="CD8" s="86"/>
      <c r="CE8" s="48">
        <f t="shared" si="25"/>
        <v>0</v>
      </c>
      <c r="CF8" s="86">
        <v>60</v>
      </c>
      <c r="CG8" s="86">
        <v>85</v>
      </c>
      <c r="CH8" s="48">
        <f t="shared" si="26"/>
        <v>1.4166666666666667</v>
      </c>
      <c r="CI8" s="86">
        <v>60</v>
      </c>
      <c r="CJ8" s="86">
        <v>85</v>
      </c>
      <c r="CK8" s="48">
        <f t="shared" si="27"/>
        <v>1.4166666666666667</v>
      </c>
      <c r="CL8" s="86">
        <v>1050</v>
      </c>
      <c r="CM8" s="86">
        <v>632</v>
      </c>
      <c r="CN8" s="48">
        <f t="shared" si="28"/>
        <v>0.60190476190476194</v>
      </c>
      <c r="CO8" s="86">
        <v>805</v>
      </c>
      <c r="CP8" s="86">
        <v>475</v>
      </c>
      <c r="CQ8" s="48">
        <f t="shared" si="29"/>
        <v>0.59006211180124224</v>
      </c>
      <c r="CR8" s="86">
        <v>1110</v>
      </c>
      <c r="CS8" s="86">
        <v>717</v>
      </c>
      <c r="CT8" s="93">
        <f t="shared" si="30"/>
        <v>0.6459459459459459</v>
      </c>
      <c r="CU8" s="86">
        <v>865</v>
      </c>
      <c r="CV8" s="86">
        <v>560</v>
      </c>
      <c r="CW8" s="93">
        <f t="shared" si="31"/>
        <v>0.64739884393063585</v>
      </c>
      <c r="CX8" s="85">
        <v>0</v>
      </c>
      <c r="CY8" s="85">
        <v>0</v>
      </c>
      <c r="CZ8" s="85">
        <f t="shared" si="32"/>
        <v>0</v>
      </c>
      <c r="DA8" s="85">
        <v>0</v>
      </c>
      <c r="DB8" s="85">
        <v>0</v>
      </c>
      <c r="DC8" s="85">
        <f t="shared" si="33"/>
        <v>0</v>
      </c>
      <c r="DD8" s="85">
        <v>0</v>
      </c>
      <c r="DE8" s="85">
        <v>0</v>
      </c>
      <c r="DF8" s="18">
        <f t="shared" si="34"/>
        <v>0</v>
      </c>
      <c r="DG8" s="85">
        <v>0</v>
      </c>
      <c r="DH8" s="85">
        <v>0</v>
      </c>
      <c r="DI8" s="18">
        <f t="shared" si="35"/>
        <v>0</v>
      </c>
      <c r="DJ8" s="88" t="s">
        <v>6</v>
      </c>
      <c r="DK8" s="88">
        <v>0</v>
      </c>
      <c r="DL8" s="18">
        <f t="shared" si="36"/>
        <v>0</v>
      </c>
      <c r="DM8" s="88" t="s">
        <v>6</v>
      </c>
      <c r="DN8" s="88">
        <v>0</v>
      </c>
      <c r="DO8" s="18">
        <f t="shared" si="37"/>
        <v>0</v>
      </c>
      <c r="DP8" s="88">
        <v>75</v>
      </c>
      <c r="DQ8" s="88">
        <v>37</v>
      </c>
      <c r="DR8" s="18">
        <f t="shared" si="38"/>
        <v>0.49333333333333335</v>
      </c>
      <c r="DS8" s="88">
        <v>58</v>
      </c>
      <c r="DT8" s="88">
        <v>37</v>
      </c>
      <c r="DU8" s="18">
        <f t="shared" si="39"/>
        <v>0.63793103448275867</v>
      </c>
      <c r="DV8" s="88">
        <v>75</v>
      </c>
      <c r="DW8" s="88">
        <v>37</v>
      </c>
      <c r="DX8" s="18">
        <f t="shared" si="40"/>
        <v>0.49333333333333335</v>
      </c>
      <c r="DY8" s="88">
        <v>58</v>
      </c>
      <c r="DZ8" s="88">
        <v>37</v>
      </c>
      <c r="EA8" s="18">
        <f t="shared" si="41"/>
        <v>0.63793103448275867</v>
      </c>
    </row>
    <row r="9" spans="1:131" s="58" customFormat="1" ht="15.6" x14ac:dyDescent="0.3">
      <c r="A9" s="34" t="s">
        <v>89</v>
      </c>
      <c r="B9" s="24">
        <v>5</v>
      </c>
      <c r="C9" s="24" t="s">
        <v>4</v>
      </c>
      <c r="D9" s="24">
        <v>9201</v>
      </c>
      <c r="E9" s="24" t="s">
        <v>5</v>
      </c>
      <c r="F9" s="10">
        <v>0</v>
      </c>
      <c r="G9" s="7">
        <v>0</v>
      </c>
      <c r="H9" s="9">
        <f t="shared" si="0"/>
        <v>0</v>
      </c>
      <c r="I9" s="10">
        <v>0</v>
      </c>
      <c r="J9" s="7">
        <v>0</v>
      </c>
      <c r="K9" s="9">
        <f t="shared" si="1"/>
        <v>0</v>
      </c>
      <c r="L9" s="17">
        <v>110</v>
      </c>
      <c r="M9" s="17">
        <v>76</v>
      </c>
      <c r="N9" s="9">
        <f t="shared" si="2"/>
        <v>0.69090909090909092</v>
      </c>
      <c r="O9" s="17">
        <v>110</v>
      </c>
      <c r="P9" s="17">
        <v>76</v>
      </c>
      <c r="Q9" s="9">
        <f t="shared" si="3"/>
        <v>0.69090909090909092</v>
      </c>
      <c r="R9" s="17">
        <v>2888</v>
      </c>
      <c r="S9" s="17">
        <v>2827</v>
      </c>
      <c r="T9" s="9">
        <f t="shared" si="4"/>
        <v>0.97887811634349031</v>
      </c>
      <c r="U9" s="17">
        <v>2888</v>
      </c>
      <c r="V9" s="17">
        <v>2827</v>
      </c>
      <c r="W9" s="9">
        <f t="shared" si="5"/>
        <v>0.97887811634349031</v>
      </c>
      <c r="X9" s="17" t="s">
        <v>6</v>
      </c>
      <c r="Y9" s="17">
        <v>0</v>
      </c>
      <c r="Z9" s="9">
        <f t="shared" si="6"/>
        <v>0</v>
      </c>
      <c r="AA9" s="17" t="s">
        <v>6</v>
      </c>
      <c r="AB9" s="17">
        <v>0</v>
      </c>
      <c r="AC9" s="9">
        <f t="shared" si="7"/>
        <v>0</v>
      </c>
      <c r="AD9" s="95">
        <v>2998</v>
      </c>
      <c r="AE9" s="95">
        <v>2903</v>
      </c>
      <c r="AF9" s="9">
        <f t="shared" si="8"/>
        <v>0.96831220813875918</v>
      </c>
      <c r="AG9" s="95">
        <v>2998</v>
      </c>
      <c r="AH9" s="95">
        <v>2903</v>
      </c>
      <c r="AI9" s="9">
        <f t="shared" si="9"/>
        <v>0.96831220813875918</v>
      </c>
      <c r="AJ9" s="17">
        <v>2614</v>
      </c>
      <c r="AK9" s="17">
        <v>2004</v>
      </c>
      <c r="AL9" s="9">
        <f t="shared" si="10"/>
        <v>0.7666411629686305</v>
      </c>
      <c r="AM9" s="17">
        <v>2614</v>
      </c>
      <c r="AN9" s="17">
        <v>2004</v>
      </c>
      <c r="AO9" s="9">
        <f t="shared" si="11"/>
        <v>0.7666411629686305</v>
      </c>
      <c r="AP9" s="17">
        <v>2614</v>
      </c>
      <c r="AQ9" s="17">
        <v>2004</v>
      </c>
      <c r="AR9" s="9">
        <f t="shared" si="12"/>
        <v>0.7666411629686305</v>
      </c>
      <c r="AS9" s="17">
        <v>2614</v>
      </c>
      <c r="AT9" s="17">
        <v>2004</v>
      </c>
      <c r="AU9" s="9">
        <f t="shared" si="13"/>
        <v>0.7666411629686305</v>
      </c>
      <c r="AV9" s="17">
        <v>5612</v>
      </c>
      <c r="AW9" s="17">
        <v>4907</v>
      </c>
      <c r="AX9" s="9">
        <f t="shared" si="14"/>
        <v>0.874376336421953</v>
      </c>
      <c r="AY9" s="17">
        <v>5612</v>
      </c>
      <c r="AZ9" s="17">
        <v>4907</v>
      </c>
      <c r="BA9" s="9">
        <f t="shared" si="15"/>
        <v>0.874376336421953</v>
      </c>
      <c r="BB9" s="17">
        <v>36240</v>
      </c>
      <c r="BC9" s="17">
        <v>24255</v>
      </c>
      <c r="BD9" s="9">
        <f t="shared" si="16"/>
        <v>0.66928807947019864</v>
      </c>
      <c r="BE9" s="17">
        <v>28160</v>
      </c>
      <c r="BF9" s="17">
        <v>20770</v>
      </c>
      <c r="BG9" s="9">
        <f t="shared" si="17"/>
        <v>0.73757102272727271</v>
      </c>
      <c r="BH9" s="17">
        <v>41852</v>
      </c>
      <c r="BI9" s="17">
        <v>29162</v>
      </c>
      <c r="BJ9" s="9">
        <f t="shared" si="18"/>
        <v>0.69678868393386217</v>
      </c>
      <c r="BK9" s="17">
        <v>33772</v>
      </c>
      <c r="BL9" s="17">
        <v>25677</v>
      </c>
      <c r="BM9" s="9">
        <f t="shared" si="19"/>
        <v>0.76030439417268747</v>
      </c>
      <c r="BN9" s="17">
        <v>30</v>
      </c>
      <c r="BO9" s="17">
        <v>51</v>
      </c>
      <c r="BP9" s="48">
        <f t="shared" si="20"/>
        <v>1.7</v>
      </c>
      <c r="BQ9" s="17">
        <v>30</v>
      </c>
      <c r="BR9" s="17">
        <v>51</v>
      </c>
      <c r="BS9" s="48">
        <f t="shared" si="21"/>
        <v>1.7</v>
      </c>
      <c r="BT9" s="17">
        <v>30</v>
      </c>
      <c r="BU9" s="17">
        <v>34</v>
      </c>
      <c r="BV9" s="48">
        <f t="shared" si="22"/>
        <v>1.1333333333333333</v>
      </c>
      <c r="BW9" s="17">
        <v>30</v>
      </c>
      <c r="BX9" s="17">
        <v>34</v>
      </c>
      <c r="BY9" s="48">
        <f t="shared" si="23"/>
        <v>1.1333333333333333</v>
      </c>
      <c r="BZ9" s="17" t="s">
        <v>6</v>
      </c>
      <c r="CA9" s="17"/>
      <c r="CB9" s="48">
        <f t="shared" si="24"/>
        <v>0</v>
      </c>
      <c r="CC9" s="17" t="s">
        <v>6</v>
      </c>
      <c r="CD9" s="17"/>
      <c r="CE9" s="48">
        <f t="shared" si="25"/>
        <v>0</v>
      </c>
      <c r="CF9" s="17">
        <v>60</v>
      </c>
      <c r="CG9" s="17">
        <v>85</v>
      </c>
      <c r="CH9" s="48">
        <f t="shared" si="26"/>
        <v>1.4166666666666667</v>
      </c>
      <c r="CI9" s="17">
        <v>60</v>
      </c>
      <c r="CJ9" s="17">
        <v>85</v>
      </c>
      <c r="CK9" s="48">
        <f t="shared" si="27"/>
        <v>1.4166666666666667</v>
      </c>
      <c r="CL9" s="17">
        <v>1050</v>
      </c>
      <c r="CM9" s="17">
        <v>1003</v>
      </c>
      <c r="CN9" s="48">
        <f t="shared" si="28"/>
        <v>0.95523809523809522</v>
      </c>
      <c r="CO9" s="17">
        <v>805</v>
      </c>
      <c r="CP9" s="17">
        <v>654</v>
      </c>
      <c r="CQ9" s="48">
        <f t="shared" si="29"/>
        <v>0.81242236024844716</v>
      </c>
      <c r="CR9" s="17">
        <v>1050</v>
      </c>
      <c r="CS9" s="17">
        <v>978</v>
      </c>
      <c r="CT9" s="93">
        <f t="shared" si="30"/>
        <v>0.93142857142857138</v>
      </c>
      <c r="CU9" s="17">
        <v>805</v>
      </c>
      <c r="CV9" s="17">
        <v>629</v>
      </c>
      <c r="CW9" s="93">
        <f t="shared" si="31"/>
        <v>0.7813664596273292</v>
      </c>
      <c r="CX9" s="17" t="s">
        <v>6</v>
      </c>
      <c r="CY9" s="17">
        <v>25</v>
      </c>
      <c r="CZ9" s="85">
        <f t="shared" si="32"/>
        <v>0</v>
      </c>
      <c r="DA9" s="17" t="s">
        <v>6</v>
      </c>
      <c r="DB9" s="17">
        <v>25</v>
      </c>
      <c r="DC9" s="85">
        <f t="shared" si="33"/>
        <v>0</v>
      </c>
      <c r="DD9" s="17">
        <v>1110</v>
      </c>
      <c r="DE9" s="17">
        <v>1088</v>
      </c>
      <c r="DF9" s="18">
        <f>IFERROR(DE9/DD9,0)</f>
        <v>0.98018018018018016</v>
      </c>
      <c r="DG9" s="17">
        <v>865</v>
      </c>
      <c r="DH9" s="17">
        <v>739</v>
      </c>
      <c r="DI9" s="18">
        <f t="shared" si="35"/>
        <v>0.8543352601156069</v>
      </c>
      <c r="DJ9" s="17" t="s">
        <v>6</v>
      </c>
      <c r="DK9" s="17"/>
      <c r="DL9" s="18">
        <f t="shared" si="36"/>
        <v>0</v>
      </c>
      <c r="DM9" s="17" t="s">
        <v>6</v>
      </c>
      <c r="DN9" s="17"/>
      <c r="DO9" s="18">
        <f t="shared" si="37"/>
        <v>0</v>
      </c>
      <c r="DP9" s="17">
        <v>75</v>
      </c>
      <c r="DQ9" s="17">
        <v>37</v>
      </c>
      <c r="DR9" s="18">
        <f t="shared" si="38"/>
        <v>0.49333333333333335</v>
      </c>
      <c r="DS9" s="17">
        <v>58</v>
      </c>
      <c r="DT9" s="17">
        <v>37</v>
      </c>
      <c r="DU9" s="18">
        <f t="shared" si="39"/>
        <v>0.63793103448275867</v>
      </c>
      <c r="DV9" s="17">
        <v>75</v>
      </c>
      <c r="DW9" s="17">
        <v>37</v>
      </c>
      <c r="DX9" s="18">
        <f t="shared" si="40"/>
        <v>0.49333333333333335</v>
      </c>
      <c r="DY9" s="17">
        <v>58</v>
      </c>
      <c r="DZ9" s="17">
        <v>37</v>
      </c>
      <c r="EA9" s="18">
        <f t="shared" si="41"/>
        <v>0.63793103448275867</v>
      </c>
    </row>
    <row r="10" spans="1:131" s="58" customFormat="1" ht="15.6" x14ac:dyDescent="0.3">
      <c r="A10" s="34" t="s">
        <v>90</v>
      </c>
      <c r="B10" s="24">
        <v>6</v>
      </c>
      <c r="C10" s="24" t="s">
        <v>4</v>
      </c>
      <c r="D10" s="24">
        <v>9202</v>
      </c>
      <c r="E10" s="24" t="s">
        <v>5</v>
      </c>
      <c r="F10" s="10">
        <v>0</v>
      </c>
      <c r="G10" s="7">
        <v>0</v>
      </c>
      <c r="H10" s="9">
        <f t="shared" si="0"/>
        <v>0</v>
      </c>
      <c r="I10" s="10">
        <v>0</v>
      </c>
      <c r="J10" s="7">
        <v>0</v>
      </c>
      <c r="K10" s="9">
        <f t="shared" si="1"/>
        <v>0</v>
      </c>
      <c r="L10" s="17"/>
      <c r="M10" s="17">
        <v>0</v>
      </c>
      <c r="N10" s="9">
        <f t="shared" si="2"/>
        <v>0</v>
      </c>
      <c r="O10" s="17"/>
      <c r="P10" s="17"/>
      <c r="Q10" s="9">
        <f t="shared" si="3"/>
        <v>0</v>
      </c>
      <c r="R10" s="17"/>
      <c r="S10" s="17"/>
      <c r="T10" s="9">
        <f t="shared" si="4"/>
        <v>0</v>
      </c>
      <c r="U10" s="17"/>
      <c r="V10" s="17"/>
      <c r="W10" s="9">
        <f t="shared" si="5"/>
        <v>0</v>
      </c>
      <c r="X10" s="17"/>
      <c r="Y10" s="17"/>
      <c r="Z10" s="9">
        <f t="shared" si="6"/>
        <v>0</v>
      </c>
      <c r="AA10" s="17"/>
      <c r="AB10" s="17"/>
      <c r="AC10" s="9">
        <f t="shared" si="7"/>
        <v>0</v>
      </c>
      <c r="AD10" s="95"/>
      <c r="AE10" s="95"/>
      <c r="AF10" s="9">
        <f t="shared" si="8"/>
        <v>0</v>
      </c>
      <c r="AG10" s="95"/>
      <c r="AH10" s="95"/>
      <c r="AI10" s="9">
        <f t="shared" si="9"/>
        <v>0</v>
      </c>
      <c r="AJ10" s="17"/>
      <c r="AK10" s="17"/>
      <c r="AL10" s="9">
        <f t="shared" si="10"/>
        <v>0</v>
      </c>
      <c r="AM10" s="17"/>
      <c r="AN10" s="17"/>
      <c r="AO10" s="9">
        <f t="shared" si="11"/>
        <v>0</v>
      </c>
      <c r="AP10" s="17"/>
      <c r="AQ10" s="17"/>
      <c r="AR10" s="9">
        <f t="shared" si="12"/>
        <v>0</v>
      </c>
      <c r="AS10" s="17"/>
      <c r="AT10" s="17"/>
      <c r="AU10" s="9">
        <f t="shared" si="13"/>
        <v>0</v>
      </c>
      <c r="AV10" s="17"/>
      <c r="AW10" s="17"/>
      <c r="AX10" s="9">
        <f t="shared" si="14"/>
        <v>0</v>
      </c>
      <c r="AY10" s="17"/>
      <c r="AZ10" s="17"/>
      <c r="BA10" s="9">
        <f t="shared" si="15"/>
        <v>0</v>
      </c>
      <c r="BB10" s="17"/>
      <c r="BC10" s="17"/>
      <c r="BD10" s="9">
        <f t="shared" si="16"/>
        <v>0</v>
      </c>
      <c r="BE10" s="17"/>
      <c r="BF10" s="17"/>
      <c r="BG10" s="9">
        <f t="shared" si="17"/>
        <v>0</v>
      </c>
      <c r="BH10" s="17"/>
      <c r="BI10" s="17"/>
      <c r="BJ10" s="9">
        <f t="shared" si="18"/>
        <v>0</v>
      </c>
      <c r="BK10" s="17"/>
      <c r="BL10" s="17"/>
      <c r="BM10" s="9">
        <f t="shared" si="19"/>
        <v>0</v>
      </c>
      <c r="BN10" s="17">
        <v>30</v>
      </c>
      <c r="BO10" s="17">
        <v>51</v>
      </c>
      <c r="BP10" s="48">
        <f t="shared" si="20"/>
        <v>1.7</v>
      </c>
      <c r="BQ10" s="17">
        <v>30</v>
      </c>
      <c r="BR10" s="17">
        <v>51</v>
      </c>
      <c r="BS10" s="48">
        <f t="shared" si="21"/>
        <v>1.7</v>
      </c>
      <c r="BT10" s="17">
        <v>30</v>
      </c>
      <c r="BU10" s="17">
        <v>34</v>
      </c>
      <c r="BV10" s="48">
        <f t="shared" si="22"/>
        <v>1.1333333333333333</v>
      </c>
      <c r="BW10" s="17">
        <v>30</v>
      </c>
      <c r="BX10" s="17">
        <v>34</v>
      </c>
      <c r="BY10" s="48">
        <f t="shared" si="23"/>
        <v>1.1333333333333333</v>
      </c>
      <c r="BZ10" s="17" t="s">
        <v>6</v>
      </c>
      <c r="CA10" s="17">
        <v>0</v>
      </c>
      <c r="CB10" s="48">
        <f t="shared" si="24"/>
        <v>0</v>
      </c>
      <c r="CC10" s="17" t="s">
        <v>6</v>
      </c>
      <c r="CD10" s="17">
        <v>0</v>
      </c>
      <c r="CE10" s="48">
        <f t="shared" si="25"/>
        <v>0</v>
      </c>
      <c r="CF10" s="17">
        <v>60</v>
      </c>
      <c r="CG10" s="17">
        <v>85</v>
      </c>
      <c r="CH10" s="48">
        <f t="shared" si="26"/>
        <v>1.4166666666666667</v>
      </c>
      <c r="CI10" s="17">
        <v>60</v>
      </c>
      <c r="CJ10" s="17">
        <v>85</v>
      </c>
      <c r="CK10" s="48">
        <f t="shared" si="27"/>
        <v>1.4166666666666667</v>
      </c>
      <c r="CL10" s="17">
        <v>1050</v>
      </c>
      <c r="CM10" s="17">
        <v>1103</v>
      </c>
      <c r="CN10" s="48">
        <f t="shared" si="28"/>
        <v>1.0504761904761906</v>
      </c>
      <c r="CO10" s="17">
        <v>805</v>
      </c>
      <c r="CP10" s="17">
        <v>690</v>
      </c>
      <c r="CQ10" s="48">
        <f t="shared" si="29"/>
        <v>0.8571428571428571</v>
      </c>
      <c r="CR10" s="17">
        <v>1050</v>
      </c>
      <c r="CS10" s="17">
        <v>1078</v>
      </c>
      <c r="CT10" s="93">
        <f t="shared" si="30"/>
        <v>1.0266666666666666</v>
      </c>
      <c r="CU10" s="17">
        <v>805</v>
      </c>
      <c r="CV10" s="17">
        <v>665</v>
      </c>
      <c r="CW10" s="93">
        <f t="shared" si="31"/>
        <v>0.82608695652173914</v>
      </c>
      <c r="CX10" s="17" t="s">
        <v>6</v>
      </c>
      <c r="CY10" s="17">
        <v>25</v>
      </c>
      <c r="CZ10" s="85">
        <f t="shared" si="32"/>
        <v>0</v>
      </c>
      <c r="DA10" s="17" t="s">
        <v>6</v>
      </c>
      <c r="DB10" s="17">
        <v>25</v>
      </c>
      <c r="DC10" s="85">
        <f t="shared" si="33"/>
        <v>0</v>
      </c>
      <c r="DD10" s="17">
        <v>1110</v>
      </c>
      <c r="DE10" s="17">
        <v>1188</v>
      </c>
      <c r="DF10" s="18">
        <f t="shared" ref="DF10:DF12" si="42">IFERROR(DE10/DD10,0)</f>
        <v>1.0702702702702702</v>
      </c>
      <c r="DG10" s="17">
        <v>865</v>
      </c>
      <c r="DH10" s="17">
        <v>775</v>
      </c>
      <c r="DI10" s="18">
        <f t="shared" si="35"/>
        <v>0.89595375722543358</v>
      </c>
      <c r="DJ10" s="17" t="s">
        <v>6</v>
      </c>
      <c r="DK10" s="17">
        <v>0</v>
      </c>
      <c r="DL10" s="18">
        <f t="shared" si="36"/>
        <v>0</v>
      </c>
      <c r="DM10" s="17" t="s">
        <v>6</v>
      </c>
      <c r="DN10" s="17">
        <v>0</v>
      </c>
      <c r="DO10" s="18">
        <f t="shared" si="37"/>
        <v>0</v>
      </c>
      <c r="DP10" s="17">
        <v>75</v>
      </c>
      <c r="DQ10" s="17">
        <v>99</v>
      </c>
      <c r="DR10" s="18">
        <f t="shared" si="38"/>
        <v>1.32</v>
      </c>
      <c r="DS10" s="17">
        <v>58</v>
      </c>
      <c r="DT10" s="17">
        <v>99</v>
      </c>
      <c r="DU10" s="18">
        <f t="shared" si="39"/>
        <v>1.7068965517241379</v>
      </c>
      <c r="DV10" s="17">
        <v>75</v>
      </c>
      <c r="DW10" s="17">
        <v>99</v>
      </c>
      <c r="DX10" s="18">
        <f t="shared" si="40"/>
        <v>1.32</v>
      </c>
      <c r="DY10" s="17">
        <v>58</v>
      </c>
      <c r="DZ10" s="17">
        <v>99</v>
      </c>
      <c r="EA10" s="18">
        <f t="shared" si="41"/>
        <v>1.7068965517241379</v>
      </c>
    </row>
    <row r="11" spans="1:131" s="58" customFormat="1" ht="15.6" x14ac:dyDescent="0.3">
      <c r="A11" s="34" t="s">
        <v>95</v>
      </c>
      <c r="B11" s="24">
        <v>7</v>
      </c>
      <c r="C11" s="24" t="s">
        <v>4</v>
      </c>
      <c r="D11" s="24">
        <v>9203</v>
      </c>
      <c r="E11" s="24" t="s">
        <v>5</v>
      </c>
      <c r="F11" s="10">
        <v>0</v>
      </c>
      <c r="G11" s="7">
        <v>0</v>
      </c>
      <c r="H11" s="9">
        <f t="shared" si="0"/>
        <v>0</v>
      </c>
      <c r="I11" s="10">
        <v>0</v>
      </c>
      <c r="J11" s="7">
        <v>0</v>
      </c>
      <c r="K11" s="9">
        <f t="shared" si="1"/>
        <v>0</v>
      </c>
      <c r="L11" s="17">
        <v>110</v>
      </c>
      <c r="M11" s="17">
        <v>103</v>
      </c>
      <c r="N11" s="9">
        <f t="shared" si="2"/>
        <v>0.9363636363636364</v>
      </c>
      <c r="O11" s="17">
        <v>110</v>
      </c>
      <c r="P11" s="17">
        <v>103</v>
      </c>
      <c r="Q11" s="9">
        <f t="shared" si="3"/>
        <v>0.9363636363636364</v>
      </c>
      <c r="R11" s="17">
        <v>2888</v>
      </c>
      <c r="S11" s="17">
        <v>2869</v>
      </c>
      <c r="T11" s="9">
        <f t="shared" si="4"/>
        <v>0.99342105263157898</v>
      </c>
      <c r="U11" s="17">
        <v>2888</v>
      </c>
      <c r="V11" s="17">
        <v>2869</v>
      </c>
      <c r="W11" s="9">
        <f t="shared" si="5"/>
        <v>0.99342105263157898</v>
      </c>
      <c r="X11" s="17" t="s">
        <v>6</v>
      </c>
      <c r="Y11" s="17">
        <v>0</v>
      </c>
      <c r="Z11" s="9">
        <f t="shared" si="6"/>
        <v>0</v>
      </c>
      <c r="AA11" s="17" t="s">
        <v>6</v>
      </c>
      <c r="AB11" s="17">
        <v>0</v>
      </c>
      <c r="AC11" s="9">
        <f t="shared" si="7"/>
        <v>0</v>
      </c>
      <c r="AD11" s="95">
        <v>2998</v>
      </c>
      <c r="AE11" s="95">
        <v>2972</v>
      </c>
      <c r="AF11" s="9">
        <f t="shared" si="8"/>
        <v>0.99132755170113407</v>
      </c>
      <c r="AG11" s="95">
        <v>2998</v>
      </c>
      <c r="AH11" s="95">
        <v>2972</v>
      </c>
      <c r="AI11" s="9">
        <f t="shared" si="9"/>
        <v>0.99132755170113407</v>
      </c>
      <c r="AJ11" s="17">
        <v>2614</v>
      </c>
      <c r="AK11" s="17">
        <v>2313</v>
      </c>
      <c r="AL11" s="9">
        <f t="shared" si="10"/>
        <v>0.88485080336648814</v>
      </c>
      <c r="AM11" s="17">
        <v>2614</v>
      </c>
      <c r="AN11" s="17">
        <v>2312</v>
      </c>
      <c r="AO11" s="9">
        <f t="shared" si="11"/>
        <v>0.88446824789594491</v>
      </c>
      <c r="AP11" s="17">
        <v>2614</v>
      </c>
      <c r="AQ11" s="17">
        <v>2313</v>
      </c>
      <c r="AR11" s="9">
        <f t="shared" si="12"/>
        <v>0.88485080336648814</v>
      </c>
      <c r="AS11" s="17">
        <v>2614</v>
      </c>
      <c r="AT11" s="17">
        <v>2312</v>
      </c>
      <c r="AU11" s="9">
        <f t="shared" si="13"/>
        <v>0.88446824789594491</v>
      </c>
      <c r="AV11" s="17">
        <v>5612</v>
      </c>
      <c r="AW11" s="17">
        <v>5285</v>
      </c>
      <c r="AX11" s="9">
        <f t="shared" si="14"/>
        <v>0.94173200285103353</v>
      </c>
      <c r="AY11" s="17">
        <v>5612</v>
      </c>
      <c r="AZ11" s="17">
        <v>5284</v>
      </c>
      <c r="BA11" s="9">
        <f t="shared" si="15"/>
        <v>0.9415538132573058</v>
      </c>
      <c r="BB11" s="17">
        <v>36240</v>
      </c>
      <c r="BC11" s="17">
        <v>31589</v>
      </c>
      <c r="BD11" s="9">
        <f t="shared" si="16"/>
        <v>0.87166114790286975</v>
      </c>
      <c r="BE11" s="17">
        <v>28160</v>
      </c>
      <c r="BF11" s="17">
        <v>26605</v>
      </c>
      <c r="BG11" s="9">
        <f t="shared" si="17"/>
        <v>0.94477982954545459</v>
      </c>
      <c r="BH11" s="17">
        <v>41852</v>
      </c>
      <c r="BI11" s="17">
        <v>36874</v>
      </c>
      <c r="BJ11" s="9">
        <f t="shared" si="18"/>
        <v>0.88105705820510372</v>
      </c>
      <c r="BK11" s="17">
        <v>33772</v>
      </c>
      <c r="BL11" s="17">
        <v>31889</v>
      </c>
      <c r="BM11" s="9">
        <f t="shared" si="19"/>
        <v>0.94424375222077461</v>
      </c>
      <c r="BN11" s="17">
        <v>30</v>
      </c>
      <c r="BO11" s="17">
        <v>51</v>
      </c>
      <c r="BP11" s="48">
        <f t="shared" si="20"/>
        <v>1.7</v>
      </c>
      <c r="BQ11" s="17">
        <v>30</v>
      </c>
      <c r="BR11" s="17">
        <v>51</v>
      </c>
      <c r="BS11" s="48">
        <f t="shared" si="21"/>
        <v>1.7</v>
      </c>
      <c r="BT11" s="17">
        <v>30</v>
      </c>
      <c r="BU11" s="17">
        <v>34</v>
      </c>
      <c r="BV11" s="48">
        <f t="shared" si="22"/>
        <v>1.1333333333333333</v>
      </c>
      <c r="BW11" s="17">
        <v>30</v>
      </c>
      <c r="BX11" s="17">
        <v>34</v>
      </c>
      <c r="BY11" s="48">
        <f t="shared" si="23"/>
        <v>1.1333333333333333</v>
      </c>
      <c r="BZ11" s="17" t="s">
        <v>6</v>
      </c>
      <c r="CA11" s="17">
        <v>0</v>
      </c>
      <c r="CB11" s="48">
        <f t="shared" si="24"/>
        <v>0</v>
      </c>
      <c r="CC11" s="17" t="s">
        <v>6</v>
      </c>
      <c r="CD11" s="17">
        <v>0</v>
      </c>
      <c r="CE11" s="48">
        <f t="shared" si="25"/>
        <v>0</v>
      </c>
      <c r="CF11" s="17">
        <v>60</v>
      </c>
      <c r="CG11" s="17">
        <v>85</v>
      </c>
      <c r="CH11" s="48">
        <f t="shared" si="26"/>
        <v>1.4166666666666667</v>
      </c>
      <c r="CI11" s="17">
        <v>60</v>
      </c>
      <c r="CJ11" s="17">
        <v>85</v>
      </c>
      <c r="CK11" s="48">
        <f t="shared" si="27"/>
        <v>1.4166666666666667</v>
      </c>
      <c r="CL11" s="17">
        <v>1050</v>
      </c>
      <c r="CM11" s="17">
        <v>1103</v>
      </c>
      <c r="CN11" s="48">
        <f t="shared" si="28"/>
        <v>1.0504761904761906</v>
      </c>
      <c r="CO11" s="17">
        <v>805</v>
      </c>
      <c r="CP11" s="17">
        <v>690</v>
      </c>
      <c r="CQ11" s="48">
        <f t="shared" si="29"/>
        <v>0.8571428571428571</v>
      </c>
      <c r="CR11" s="17">
        <v>1050</v>
      </c>
      <c r="CS11" s="17">
        <v>1078</v>
      </c>
      <c r="CT11" s="93">
        <f t="shared" si="30"/>
        <v>1.0266666666666666</v>
      </c>
      <c r="CU11" s="17">
        <v>805</v>
      </c>
      <c r="CV11" s="17">
        <v>665</v>
      </c>
      <c r="CW11" s="93">
        <f t="shared" si="31"/>
        <v>0.82608695652173914</v>
      </c>
      <c r="CX11" s="17" t="s">
        <v>6</v>
      </c>
      <c r="CY11" s="17">
        <v>25</v>
      </c>
      <c r="CZ11" s="85">
        <f t="shared" si="32"/>
        <v>0</v>
      </c>
      <c r="DA11" s="17" t="s">
        <v>6</v>
      </c>
      <c r="DB11" s="17">
        <v>25</v>
      </c>
      <c r="DC11" s="85">
        <f t="shared" si="33"/>
        <v>0</v>
      </c>
      <c r="DD11" s="17">
        <v>1110</v>
      </c>
      <c r="DE11" s="17">
        <v>1188</v>
      </c>
      <c r="DF11" s="18">
        <f t="shared" si="42"/>
        <v>1.0702702702702702</v>
      </c>
      <c r="DG11" s="17">
        <v>865</v>
      </c>
      <c r="DH11" s="17">
        <v>775</v>
      </c>
      <c r="DI11" s="18">
        <f t="shared" si="35"/>
        <v>0.89595375722543358</v>
      </c>
      <c r="DJ11" s="17" t="s">
        <v>6</v>
      </c>
      <c r="DK11" s="17">
        <v>0</v>
      </c>
      <c r="DL11" s="18">
        <f t="shared" si="36"/>
        <v>0</v>
      </c>
      <c r="DM11" s="17" t="s">
        <v>6</v>
      </c>
      <c r="DN11" s="17">
        <v>0</v>
      </c>
      <c r="DO11" s="18">
        <f t="shared" si="37"/>
        <v>0</v>
      </c>
      <c r="DP11" s="17">
        <v>75</v>
      </c>
      <c r="DQ11" s="17">
        <v>99</v>
      </c>
      <c r="DR11" s="18">
        <f t="shared" si="38"/>
        <v>1.32</v>
      </c>
      <c r="DS11" s="17">
        <v>58</v>
      </c>
      <c r="DT11" s="17">
        <v>99</v>
      </c>
      <c r="DU11" s="18">
        <f t="shared" si="39"/>
        <v>1.7068965517241379</v>
      </c>
      <c r="DV11" s="17">
        <v>75</v>
      </c>
      <c r="DW11" s="17">
        <v>99</v>
      </c>
      <c r="DX11" s="18">
        <f t="shared" si="40"/>
        <v>1.32</v>
      </c>
      <c r="DY11" s="17">
        <v>58</v>
      </c>
      <c r="DZ11" s="17">
        <v>99</v>
      </c>
      <c r="EA11" s="18">
        <f t="shared" si="41"/>
        <v>1.7068965517241379</v>
      </c>
    </row>
    <row r="12" spans="1:131" s="58" customFormat="1" ht="15.6" x14ac:dyDescent="0.3">
      <c r="A12" s="34" t="s">
        <v>92</v>
      </c>
      <c r="B12" s="24">
        <v>5</v>
      </c>
      <c r="C12" s="24" t="s">
        <v>4</v>
      </c>
      <c r="D12" s="24">
        <v>9201</v>
      </c>
      <c r="E12" s="24" t="s">
        <v>5</v>
      </c>
      <c r="F12" s="10">
        <v>0</v>
      </c>
      <c r="G12" s="7">
        <v>0</v>
      </c>
      <c r="H12" s="9">
        <f t="shared" si="0"/>
        <v>0</v>
      </c>
      <c r="I12" s="10">
        <v>0</v>
      </c>
      <c r="J12" s="7">
        <v>0</v>
      </c>
      <c r="K12" s="9">
        <f t="shared" si="1"/>
        <v>0</v>
      </c>
      <c r="L12" s="17">
        <v>110</v>
      </c>
      <c r="M12" s="17">
        <v>76</v>
      </c>
      <c r="N12" s="9">
        <f t="shared" si="2"/>
        <v>0.69090909090909092</v>
      </c>
      <c r="O12" s="17">
        <v>110</v>
      </c>
      <c r="P12" s="17">
        <v>76</v>
      </c>
      <c r="Q12" s="9">
        <f t="shared" si="3"/>
        <v>0.69090909090909092</v>
      </c>
      <c r="R12" s="17">
        <v>2888</v>
      </c>
      <c r="S12" s="17">
        <v>2846</v>
      </c>
      <c r="T12" s="9">
        <f t="shared" si="4"/>
        <v>0.98545706371191133</v>
      </c>
      <c r="U12" s="17">
        <v>2888</v>
      </c>
      <c r="V12" s="17">
        <v>2846</v>
      </c>
      <c r="W12" s="9">
        <f t="shared" si="5"/>
        <v>0.98545706371191133</v>
      </c>
      <c r="X12" s="17" t="s">
        <v>6</v>
      </c>
      <c r="Y12" s="17">
        <v>0</v>
      </c>
      <c r="Z12" s="9">
        <f t="shared" si="6"/>
        <v>0</v>
      </c>
      <c r="AA12" s="17" t="s">
        <v>6</v>
      </c>
      <c r="AB12" s="17">
        <v>0</v>
      </c>
      <c r="AC12" s="9">
        <f t="shared" si="7"/>
        <v>0</v>
      </c>
      <c r="AD12" s="95">
        <v>2998</v>
      </c>
      <c r="AE12" s="95">
        <v>2922</v>
      </c>
      <c r="AF12" s="9">
        <f t="shared" si="8"/>
        <v>0.97464976651100732</v>
      </c>
      <c r="AG12" s="95">
        <v>2998</v>
      </c>
      <c r="AH12" s="95">
        <v>2922</v>
      </c>
      <c r="AI12" s="9">
        <f t="shared" si="9"/>
        <v>0.97464976651100732</v>
      </c>
      <c r="AJ12" s="17">
        <v>2614</v>
      </c>
      <c r="AK12" s="17">
        <v>2243</v>
      </c>
      <c r="AL12" s="9">
        <f t="shared" si="10"/>
        <v>0.85807192042846214</v>
      </c>
      <c r="AM12" s="17">
        <v>2614</v>
      </c>
      <c r="AN12" s="17">
        <v>2242</v>
      </c>
      <c r="AO12" s="9">
        <f t="shared" si="11"/>
        <v>0.85768936495791892</v>
      </c>
      <c r="AP12" s="17">
        <v>2614</v>
      </c>
      <c r="AQ12" s="17">
        <v>2243</v>
      </c>
      <c r="AR12" s="9">
        <f t="shared" si="12"/>
        <v>0.85807192042846214</v>
      </c>
      <c r="AS12" s="17">
        <v>2614</v>
      </c>
      <c r="AT12" s="17">
        <v>2242</v>
      </c>
      <c r="AU12" s="9">
        <f t="shared" si="13"/>
        <v>0.85768936495791892</v>
      </c>
      <c r="AV12" s="17">
        <v>5612</v>
      </c>
      <c r="AW12" s="17">
        <v>5165</v>
      </c>
      <c r="AX12" s="9">
        <f t="shared" si="14"/>
        <v>0.9203492516037064</v>
      </c>
      <c r="AY12" s="17">
        <v>5612</v>
      </c>
      <c r="AZ12" s="17">
        <v>5164</v>
      </c>
      <c r="BA12" s="9">
        <f t="shared" si="15"/>
        <v>0.92017106200997867</v>
      </c>
      <c r="BB12" s="17">
        <v>36240</v>
      </c>
      <c r="BC12" s="17">
        <v>31482</v>
      </c>
      <c r="BD12" s="9">
        <f t="shared" si="16"/>
        <v>0.86870860927152316</v>
      </c>
      <c r="BE12" s="17">
        <v>28160</v>
      </c>
      <c r="BF12" s="17">
        <v>26548</v>
      </c>
      <c r="BG12" s="9">
        <f t="shared" si="17"/>
        <v>0.94275568181818181</v>
      </c>
      <c r="BH12" s="17">
        <v>41852</v>
      </c>
      <c r="BI12" s="17">
        <v>36647</v>
      </c>
      <c r="BJ12" s="9">
        <f t="shared" si="18"/>
        <v>0.87563318359935005</v>
      </c>
      <c r="BK12" s="17">
        <v>33772</v>
      </c>
      <c r="BL12" s="17">
        <v>31712</v>
      </c>
      <c r="BM12" s="9">
        <f t="shared" si="19"/>
        <v>0.9390027241501836</v>
      </c>
      <c r="BN12" s="17">
        <v>30</v>
      </c>
      <c r="BO12" s="17">
        <v>78</v>
      </c>
      <c r="BP12" s="48">
        <f t="shared" si="20"/>
        <v>2.6</v>
      </c>
      <c r="BQ12" s="17">
        <v>30</v>
      </c>
      <c r="BR12" s="17">
        <v>78</v>
      </c>
      <c r="BS12" s="48">
        <f t="shared" si="21"/>
        <v>2.6</v>
      </c>
      <c r="BT12" s="17">
        <v>30</v>
      </c>
      <c r="BU12" s="17">
        <v>34</v>
      </c>
      <c r="BV12" s="48">
        <f t="shared" si="22"/>
        <v>1.1333333333333333</v>
      </c>
      <c r="BW12" s="17">
        <v>30</v>
      </c>
      <c r="BX12" s="17">
        <v>34</v>
      </c>
      <c r="BY12" s="48">
        <f t="shared" si="23"/>
        <v>1.1333333333333333</v>
      </c>
      <c r="BZ12" s="17" t="s">
        <v>6</v>
      </c>
      <c r="CA12" s="17">
        <v>0</v>
      </c>
      <c r="CB12" s="48">
        <f t="shared" si="24"/>
        <v>0</v>
      </c>
      <c r="CC12" s="17" t="s">
        <v>6</v>
      </c>
      <c r="CD12" s="17">
        <v>0</v>
      </c>
      <c r="CE12" s="48">
        <f t="shared" si="25"/>
        <v>0</v>
      </c>
      <c r="CF12" s="17">
        <v>60</v>
      </c>
      <c r="CG12" s="17">
        <v>112</v>
      </c>
      <c r="CH12" s="48">
        <f t="shared" si="26"/>
        <v>1.8666666666666667</v>
      </c>
      <c r="CI12" s="17">
        <v>60</v>
      </c>
      <c r="CJ12" s="17">
        <v>112</v>
      </c>
      <c r="CK12" s="48">
        <f t="shared" si="27"/>
        <v>1.8666666666666667</v>
      </c>
      <c r="CL12" s="17">
        <v>1050</v>
      </c>
      <c r="CM12" s="17">
        <v>1114</v>
      </c>
      <c r="CN12" s="18">
        <v>1.0609523809523809</v>
      </c>
      <c r="CO12" s="17">
        <v>805</v>
      </c>
      <c r="CP12" s="17">
        <v>701</v>
      </c>
      <c r="CQ12" s="48">
        <f t="shared" si="29"/>
        <v>0.87080745341614907</v>
      </c>
      <c r="CR12" s="17">
        <v>1050</v>
      </c>
      <c r="CS12" s="17">
        <v>1114</v>
      </c>
      <c r="CT12" s="93">
        <f t="shared" si="30"/>
        <v>1.0609523809523809</v>
      </c>
      <c r="CU12" s="17">
        <v>805</v>
      </c>
      <c r="CV12" s="17">
        <v>701</v>
      </c>
      <c r="CW12" s="93">
        <f t="shared" si="31"/>
        <v>0.87080745341614907</v>
      </c>
      <c r="CX12" s="17" t="s">
        <v>6</v>
      </c>
      <c r="CY12" s="17" t="s">
        <v>6</v>
      </c>
      <c r="CZ12" s="85">
        <f t="shared" si="32"/>
        <v>0</v>
      </c>
      <c r="DA12" s="17" t="s">
        <v>6</v>
      </c>
      <c r="DB12" s="17">
        <v>0</v>
      </c>
      <c r="DC12" s="85">
        <f t="shared" si="33"/>
        <v>0</v>
      </c>
      <c r="DD12" s="17">
        <v>1110</v>
      </c>
      <c r="DE12" s="17">
        <v>1226</v>
      </c>
      <c r="DF12" s="18">
        <f t="shared" si="42"/>
        <v>1.1045045045045045</v>
      </c>
      <c r="DG12" s="17">
        <v>865</v>
      </c>
      <c r="DH12" s="17">
        <v>813</v>
      </c>
      <c r="DI12" s="18">
        <f t="shared" si="35"/>
        <v>0.93988439306358385</v>
      </c>
      <c r="DJ12" s="17" t="s">
        <v>6</v>
      </c>
      <c r="DK12" s="17">
        <v>0</v>
      </c>
      <c r="DL12" s="18">
        <f t="shared" si="36"/>
        <v>0</v>
      </c>
      <c r="DM12" s="17" t="s">
        <v>6</v>
      </c>
      <c r="DN12" s="17">
        <v>0</v>
      </c>
      <c r="DO12" s="18">
        <f t="shared" si="37"/>
        <v>0</v>
      </c>
      <c r="DP12" s="17">
        <v>75</v>
      </c>
      <c r="DQ12" s="17">
        <v>189</v>
      </c>
      <c r="DR12" s="18">
        <f t="shared" si="38"/>
        <v>2.52</v>
      </c>
      <c r="DS12" s="17">
        <v>58</v>
      </c>
      <c r="DT12" s="17">
        <v>189</v>
      </c>
      <c r="DU12" s="18">
        <f t="shared" si="39"/>
        <v>3.2586206896551726</v>
      </c>
      <c r="DV12" s="17">
        <v>75</v>
      </c>
      <c r="DW12" s="17">
        <v>189</v>
      </c>
      <c r="DX12" s="18">
        <f t="shared" si="40"/>
        <v>2.52</v>
      </c>
      <c r="DY12" s="17">
        <v>58</v>
      </c>
      <c r="DZ12" s="17">
        <v>189</v>
      </c>
      <c r="EA12" s="18">
        <f t="shared" si="41"/>
        <v>3.2586206896551726</v>
      </c>
    </row>
    <row r="15" spans="1:131" x14ac:dyDescent="0.3">
      <c r="B15" s="51"/>
      <c r="C15" s="52"/>
      <c r="D15" s="51"/>
      <c r="E15" s="52"/>
      <c r="F15" s="52"/>
      <c r="G15" s="53"/>
      <c r="H15" s="53"/>
      <c r="I15" s="54"/>
      <c r="J15" s="53"/>
      <c r="K15" s="53"/>
      <c r="L15" s="54"/>
      <c r="M15" s="53"/>
      <c r="N15" s="53"/>
      <c r="O15" s="54"/>
      <c r="P15" s="53"/>
      <c r="Q15" s="53"/>
      <c r="R15" s="54"/>
      <c r="S15" s="53"/>
      <c r="T15" s="53"/>
      <c r="U15" s="54"/>
      <c r="V15" s="53"/>
      <c r="W15" s="53"/>
      <c r="X15" s="54"/>
      <c r="Y15" s="53"/>
      <c r="Z15" s="53"/>
      <c r="AA15" s="54"/>
      <c r="AB15" s="53"/>
      <c r="AC15" s="53"/>
      <c r="AD15" s="54"/>
      <c r="AE15" s="53"/>
      <c r="AF15" s="53"/>
      <c r="AG15" s="54"/>
      <c r="AH15" s="53"/>
      <c r="AI15" s="53"/>
      <c r="AJ15" s="54"/>
      <c r="AK15" s="53"/>
      <c r="AL15" s="53"/>
      <c r="AM15" s="54"/>
      <c r="AN15" s="53"/>
      <c r="AO15" s="53"/>
      <c r="AP15" s="54"/>
      <c r="AQ15" s="53"/>
      <c r="AR15" s="53"/>
      <c r="AS15" s="54"/>
      <c r="AT15" s="53"/>
      <c r="AU15" s="53"/>
      <c r="AV15" s="54"/>
      <c r="AW15" s="53"/>
      <c r="AX15" s="53"/>
      <c r="AY15" s="54"/>
      <c r="AZ15" s="53"/>
      <c r="BA15" s="53"/>
      <c r="BB15" s="54"/>
    </row>
    <row r="16" spans="1:131" x14ac:dyDescent="0.3">
      <c r="B16" s="51"/>
      <c r="C16" s="52"/>
      <c r="D16" s="51"/>
      <c r="E16" s="52"/>
      <c r="F16" s="52"/>
      <c r="G16" s="53"/>
      <c r="H16" s="53"/>
      <c r="I16" s="54"/>
      <c r="J16" s="53"/>
      <c r="K16" s="53"/>
      <c r="L16" s="54"/>
      <c r="M16" s="53"/>
      <c r="N16" s="53"/>
      <c r="O16" s="54"/>
      <c r="P16" s="53"/>
      <c r="Q16" s="53"/>
      <c r="R16" s="54"/>
      <c r="S16" s="53"/>
      <c r="T16" s="53"/>
      <c r="U16" s="54"/>
      <c r="V16" s="53"/>
      <c r="W16" s="53"/>
      <c r="X16" s="54"/>
      <c r="Y16" s="53"/>
      <c r="Z16" s="53"/>
      <c r="AA16" s="54"/>
      <c r="AB16" s="53"/>
      <c r="AC16" s="53"/>
      <c r="AD16" s="54"/>
      <c r="AE16" s="53"/>
      <c r="AF16" s="53"/>
      <c r="AG16" s="54"/>
      <c r="AH16" s="53"/>
      <c r="AI16" s="53"/>
      <c r="AJ16" s="54"/>
      <c r="AK16" s="53"/>
      <c r="AL16" s="53"/>
      <c r="AM16" s="54"/>
      <c r="AN16" s="53"/>
      <c r="AO16" s="53"/>
      <c r="AP16" s="54"/>
      <c r="AQ16" s="53"/>
      <c r="AR16" s="53"/>
      <c r="AS16" s="54"/>
      <c r="AT16" s="53"/>
      <c r="AU16" s="53"/>
      <c r="AV16" s="54"/>
      <c r="AW16" s="53"/>
      <c r="AX16" s="53"/>
      <c r="AY16" s="54"/>
      <c r="AZ16" s="53"/>
      <c r="BA16" s="53"/>
      <c r="BB16" s="54"/>
    </row>
  </sheetData>
  <conditionalFormatting sqref="BT9:BU9 BW9:BX9 CL9:CM9 CO9:CP9 DP9:DQ9 DS9:DT9 CL11:CM11 CO11:CP11 BT11:BU12 BW11:BX12 CL12:CP12 I15:I16 L15:L16 O15:O16 R15:R16 U15:U16 X15:X16 AA15:AA16 AD15:AD16 AG15:AG16 AJ15:AJ16 AM15:AM16 AP15:AP16 AS15:AS16 AV15:AV16 AY15:AY16 BB15:BB16">
    <cfRule type="containsBlanks" priority="437" stopIfTrue="1">
      <formula>LEN(TRIM(I9))=0</formula>
    </cfRule>
  </conditionalFormatting>
  <conditionalFormatting sqref="DF2:DF12">
    <cfRule type="containsBlanks" priority="9" stopIfTrue="1">
      <formula>LEN(TRIM(DF2))=0</formula>
    </cfRule>
  </conditionalFormatting>
  <conditionalFormatting sqref="DI2:DI12">
    <cfRule type="containsBlanks" priority="7" stopIfTrue="1">
      <formula>LEN(TRIM(DI2))=0</formula>
    </cfRule>
  </conditionalFormatting>
  <conditionalFormatting sqref="DL2:DL12">
    <cfRule type="containsBlanks" priority="6" stopIfTrue="1">
      <formula>LEN(TRIM(DL2))=0</formula>
    </cfRule>
  </conditionalFormatting>
  <conditionalFormatting sqref="DO2:DO12">
    <cfRule type="containsBlanks" priority="5" stopIfTrue="1">
      <formula>LEN(TRIM(DO2))=0</formula>
    </cfRule>
  </conditionalFormatting>
  <conditionalFormatting sqref="DR2:DR12">
    <cfRule type="containsBlanks" priority="4" stopIfTrue="1">
      <formula>LEN(TRIM(DR2))=0</formula>
    </cfRule>
  </conditionalFormatting>
  <conditionalFormatting sqref="DU2:DU12">
    <cfRule type="containsBlanks" priority="3" stopIfTrue="1">
      <formula>LEN(TRIM(DU2))=0</formula>
    </cfRule>
  </conditionalFormatting>
  <conditionalFormatting sqref="DX2:DX12">
    <cfRule type="containsBlanks" priority="2" stopIfTrue="1">
      <formula>LEN(TRIM(DX2))=0</formula>
    </cfRule>
  </conditionalFormatting>
  <conditionalFormatting sqref="EA2:EA12">
    <cfRule type="containsBlanks" priority="1" stopIfTrue="1">
      <formula>LEN(TRIM(EA2))=0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87A6-139B-43D7-B5A6-197FAD8E73E9}">
  <dimension ref="A1:EY16"/>
  <sheetViews>
    <sheetView topLeftCell="EI1" zoomScale="96" zoomScaleNormal="96" workbookViewId="0">
      <selection activeCell="DV1" sqref="DV1:ED1048576"/>
    </sheetView>
  </sheetViews>
  <sheetFormatPr baseColWidth="10" defaultRowHeight="14.4" x14ac:dyDescent="0.3"/>
  <sheetData>
    <row r="1" spans="1:155" s="58" customFormat="1" ht="187.2" x14ac:dyDescent="0.3">
      <c r="A1" s="80" t="s">
        <v>80</v>
      </c>
      <c r="B1" s="22" t="s">
        <v>78</v>
      </c>
      <c r="C1" s="22" t="s">
        <v>1</v>
      </c>
      <c r="D1" s="22" t="s">
        <v>9</v>
      </c>
      <c r="E1" s="22" t="s">
        <v>3</v>
      </c>
      <c r="F1" s="15" t="s">
        <v>146</v>
      </c>
      <c r="G1" s="15" t="s">
        <v>147</v>
      </c>
      <c r="H1" s="15" t="s">
        <v>148</v>
      </c>
      <c r="I1" s="15" t="s">
        <v>149</v>
      </c>
      <c r="J1" s="15" t="s">
        <v>150</v>
      </c>
      <c r="K1" s="15" t="s">
        <v>151</v>
      </c>
      <c r="L1" s="15" t="s">
        <v>152</v>
      </c>
      <c r="M1" s="15" t="s">
        <v>153</v>
      </c>
      <c r="N1" s="15" t="s">
        <v>154</v>
      </c>
      <c r="O1" s="15" t="s">
        <v>155</v>
      </c>
      <c r="P1" s="15" t="s">
        <v>156</v>
      </c>
      <c r="Q1" s="15" t="s">
        <v>157</v>
      </c>
      <c r="R1" s="15" t="s">
        <v>158</v>
      </c>
      <c r="S1" s="15" t="s">
        <v>159</v>
      </c>
      <c r="T1" s="15" t="s">
        <v>160</v>
      </c>
      <c r="U1" s="15" t="s">
        <v>161</v>
      </c>
      <c r="V1" s="15" t="s">
        <v>162</v>
      </c>
      <c r="W1" s="15" t="s">
        <v>163</v>
      </c>
      <c r="X1" s="15" t="s">
        <v>164</v>
      </c>
      <c r="Y1" s="15" t="s">
        <v>165</v>
      </c>
      <c r="Z1" s="15" t="s">
        <v>166</v>
      </c>
      <c r="AA1" s="15" t="s">
        <v>167</v>
      </c>
      <c r="AB1" s="15" t="s">
        <v>168</v>
      </c>
      <c r="AC1" s="15" t="s">
        <v>169</v>
      </c>
      <c r="AD1" s="15" t="s">
        <v>170</v>
      </c>
      <c r="AE1" s="15" t="s">
        <v>171</v>
      </c>
      <c r="AF1" s="15" t="s">
        <v>172</v>
      </c>
      <c r="AG1" s="15" t="s">
        <v>173</v>
      </c>
      <c r="AH1" s="15" t="s">
        <v>174</v>
      </c>
      <c r="AI1" s="15" t="s">
        <v>175</v>
      </c>
      <c r="AJ1" s="15" t="s">
        <v>176</v>
      </c>
      <c r="AK1" s="15" t="s">
        <v>177</v>
      </c>
      <c r="AL1" s="15" t="s">
        <v>178</v>
      </c>
      <c r="AM1" s="15" t="s">
        <v>179</v>
      </c>
      <c r="AN1" s="15" t="s">
        <v>180</v>
      </c>
      <c r="AO1" s="15" t="s">
        <v>181</v>
      </c>
      <c r="AP1" s="15" t="s">
        <v>182</v>
      </c>
      <c r="AQ1" s="15" t="s">
        <v>183</v>
      </c>
      <c r="AR1" s="15" t="s">
        <v>184</v>
      </c>
      <c r="AS1" s="15" t="s">
        <v>185</v>
      </c>
      <c r="AT1" s="15" t="s">
        <v>186</v>
      </c>
      <c r="AU1" s="15" t="s">
        <v>187</v>
      </c>
      <c r="AV1" s="15" t="s">
        <v>188</v>
      </c>
      <c r="AW1" s="15" t="s">
        <v>189</v>
      </c>
      <c r="AX1" s="15" t="s">
        <v>190</v>
      </c>
      <c r="AY1" s="15" t="s">
        <v>191</v>
      </c>
      <c r="AZ1" s="15" t="s">
        <v>192</v>
      </c>
      <c r="BA1" s="15" t="s">
        <v>193</v>
      </c>
      <c r="BB1" s="15" t="s">
        <v>194</v>
      </c>
      <c r="BC1" s="15" t="s">
        <v>195</v>
      </c>
      <c r="BD1" s="15" t="s">
        <v>196</v>
      </c>
      <c r="BE1" s="15" t="s">
        <v>197</v>
      </c>
      <c r="BF1" s="15" t="s">
        <v>198</v>
      </c>
      <c r="BG1" s="15" t="s">
        <v>199</v>
      </c>
      <c r="BH1" s="15" t="s">
        <v>200</v>
      </c>
      <c r="BI1" s="15" t="s">
        <v>201</v>
      </c>
      <c r="BJ1" s="15" t="s">
        <v>202</v>
      </c>
      <c r="BK1" s="15" t="s">
        <v>203</v>
      </c>
      <c r="BL1" s="15" t="s">
        <v>204</v>
      </c>
      <c r="BM1" s="15" t="s">
        <v>205</v>
      </c>
      <c r="BN1" s="15" t="s">
        <v>206</v>
      </c>
      <c r="BO1" s="15" t="s">
        <v>207</v>
      </c>
      <c r="BP1" s="15" t="s">
        <v>208</v>
      </c>
      <c r="BQ1" s="15" t="s">
        <v>209</v>
      </c>
      <c r="BR1" s="15" t="s">
        <v>210</v>
      </c>
      <c r="BS1" s="15" t="s">
        <v>211</v>
      </c>
      <c r="BT1" s="15" t="s">
        <v>212</v>
      </c>
      <c r="BU1" s="15" t="s">
        <v>213</v>
      </c>
      <c r="BV1" s="15" t="s">
        <v>214</v>
      </c>
      <c r="BW1" s="15" t="s">
        <v>215</v>
      </c>
      <c r="BX1" s="15" t="s">
        <v>216</v>
      </c>
      <c r="BY1" s="15" t="s">
        <v>217</v>
      </c>
      <c r="BZ1" s="15" t="s">
        <v>218</v>
      </c>
      <c r="CA1" s="15" t="s">
        <v>219</v>
      </c>
      <c r="CB1" s="15" t="s">
        <v>220</v>
      </c>
      <c r="CC1" s="15" t="s">
        <v>221</v>
      </c>
      <c r="CD1" s="15" t="s">
        <v>222</v>
      </c>
      <c r="CE1" s="15" t="s">
        <v>223</v>
      </c>
      <c r="CF1" s="15" t="s">
        <v>224</v>
      </c>
      <c r="CG1" s="15" t="s">
        <v>225</v>
      </c>
      <c r="CH1" s="15" t="s">
        <v>226</v>
      </c>
      <c r="CI1" s="15" t="s">
        <v>227</v>
      </c>
      <c r="CJ1" s="15" t="s">
        <v>228</v>
      </c>
      <c r="CK1" s="15" t="s">
        <v>229</v>
      </c>
      <c r="CL1" s="15" t="s">
        <v>230</v>
      </c>
      <c r="CM1" s="15" t="s">
        <v>231</v>
      </c>
      <c r="CN1" s="15" t="s">
        <v>232</v>
      </c>
      <c r="CO1" s="15" t="s">
        <v>233</v>
      </c>
      <c r="CP1" s="15" t="s">
        <v>234</v>
      </c>
      <c r="CQ1" s="15" t="s">
        <v>235</v>
      </c>
      <c r="CR1" s="21" t="s">
        <v>236</v>
      </c>
      <c r="CS1" s="21" t="s">
        <v>237</v>
      </c>
      <c r="CT1" s="21" t="s">
        <v>238</v>
      </c>
      <c r="CU1" s="14" t="s">
        <v>239</v>
      </c>
      <c r="CV1" s="14" t="s">
        <v>240</v>
      </c>
      <c r="CW1" s="14" t="s">
        <v>241</v>
      </c>
      <c r="CX1" s="21" t="s">
        <v>242</v>
      </c>
      <c r="CY1" s="21" t="s">
        <v>243</v>
      </c>
      <c r="CZ1" s="21" t="s">
        <v>244</v>
      </c>
      <c r="DA1" s="14" t="s">
        <v>245</v>
      </c>
      <c r="DB1" s="14" t="s">
        <v>246</v>
      </c>
      <c r="DC1" s="14" t="s">
        <v>247</v>
      </c>
      <c r="DD1" s="21" t="s">
        <v>248</v>
      </c>
      <c r="DE1" s="21" t="s">
        <v>249</v>
      </c>
      <c r="DF1" s="21" t="s">
        <v>250</v>
      </c>
      <c r="DG1" s="14" t="s">
        <v>251</v>
      </c>
      <c r="DH1" s="14" t="s">
        <v>252</v>
      </c>
      <c r="DI1" s="14" t="s">
        <v>253</v>
      </c>
      <c r="DJ1" s="21" t="s">
        <v>254</v>
      </c>
      <c r="DK1" s="21" t="s">
        <v>255</v>
      </c>
      <c r="DL1" s="21" t="s">
        <v>256</v>
      </c>
      <c r="DM1" s="14" t="s">
        <v>257</v>
      </c>
      <c r="DN1" s="14" t="s">
        <v>258</v>
      </c>
      <c r="DO1" s="14" t="s">
        <v>259</v>
      </c>
      <c r="DP1" s="21" t="s">
        <v>260</v>
      </c>
      <c r="DQ1" s="21" t="s">
        <v>261</v>
      </c>
      <c r="DR1" s="21" t="s">
        <v>262</v>
      </c>
      <c r="DS1" s="14" t="s">
        <v>263</v>
      </c>
      <c r="DT1" s="14" t="s">
        <v>264</v>
      </c>
      <c r="DU1" s="14" t="s">
        <v>265</v>
      </c>
      <c r="DV1" s="21" t="s">
        <v>266</v>
      </c>
      <c r="DW1" s="21" t="s">
        <v>267</v>
      </c>
      <c r="DX1" s="21" t="s">
        <v>268</v>
      </c>
      <c r="DY1" s="21" t="s">
        <v>269</v>
      </c>
      <c r="DZ1" s="21" t="s">
        <v>270</v>
      </c>
      <c r="EA1" s="21" t="s">
        <v>271</v>
      </c>
      <c r="EB1" s="21" t="s">
        <v>272</v>
      </c>
      <c r="EC1" s="21" t="s">
        <v>273</v>
      </c>
      <c r="ED1" s="21" t="s">
        <v>274</v>
      </c>
      <c r="EE1" s="21" t="s">
        <v>275</v>
      </c>
      <c r="EF1" s="21" t="s">
        <v>276</v>
      </c>
      <c r="EG1" s="21" t="s">
        <v>277</v>
      </c>
      <c r="EH1" s="14" t="s">
        <v>278</v>
      </c>
      <c r="EI1" s="14" t="s">
        <v>279</v>
      </c>
      <c r="EJ1" s="14" t="s">
        <v>280</v>
      </c>
      <c r="EK1" s="14" t="s">
        <v>281</v>
      </c>
      <c r="EL1" s="14" t="s">
        <v>282</v>
      </c>
      <c r="EM1" s="14" t="s">
        <v>283</v>
      </c>
      <c r="EN1" s="14" t="s">
        <v>284</v>
      </c>
      <c r="EO1" s="14" t="s">
        <v>285</v>
      </c>
      <c r="EP1" s="14" t="s">
        <v>286</v>
      </c>
      <c r="EQ1" s="21" t="s">
        <v>287</v>
      </c>
      <c r="ER1" s="21" t="s">
        <v>288</v>
      </c>
      <c r="ES1" s="21" t="s">
        <v>289</v>
      </c>
      <c r="ET1" s="21" t="s">
        <v>290</v>
      </c>
      <c r="EU1" s="21" t="s">
        <v>291</v>
      </c>
      <c r="EV1" s="21" t="s">
        <v>292</v>
      </c>
      <c r="EW1" s="21" t="s">
        <v>293</v>
      </c>
      <c r="EX1" s="21" t="s">
        <v>294</v>
      </c>
      <c r="EY1" s="21" t="s">
        <v>295</v>
      </c>
    </row>
    <row r="2" spans="1:155" s="58" customFormat="1" x14ac:dyDescent="0.3">
      <c r="A2" s="34" t="s">
        <v>81</v>
      </c>
      <c r="B2" s="20">
        <v>5</v>
      </c>
      <c r="C2" s="20" t="s">
        <v>4</v>
      </c>
      <c r="D2" s="20">
        <v>9201</v>
      </c>
      <c r="E2" s="20" t="s">
        <v>79</v>
      </c>
      <c r="F2" s="56">
        <v>1293</v>
      </c>
      <c r="G2" s="56">
        <v>700</v>
      </c>
      <c r="H2" s="19">
        <f>IFERROR(G2/F2,0)</f>
        <v>0.54137664346481051</v>
      </c>
      <c r="I2" s="56">
        <v>0</v>
      </c>
      <c r="J2" s="56">
        <v>0</v>
      </c>
      <c r="K2" s="19">
        <f>IFERROR(J2/I2,0)</f>
        <v>0</v>
      </c>
      <c r="L2" s="56">
        <v>0</v>
      </c>
      <c r="M2" s="56">
        <v>0</v>
      </c>
      <c r="N2" s="19">
        <f>IFERROR(M2/L2,0)</f>
        <v>0</v>
      </c>
      <c r="O2" s="56">
        <v>0</v>
      </c>
      <c r="P2" s="56">
        <v>0</v>
      </c>
      <c r="Q2" s="19">
        <f>IFERROR(P2/O2,0)</f>
        <v>0</v>
      </c>
      <c r="R2" s="56">
        <v>2485</v>
      </c>
      <c r="S2" s="56">
        <v>1280</v>
      </c>
      <c r="T2" s="19">
        <f>IFERROR(S2/R2,0)</f>
        <v>0.51509054325955739</v>
      </c>
      <c r="U2" s="56">
        <v>2485</v>
      </c>
      <c r="V2" s="56">
        <v>1280</v>
      </c>
      <c r="W2" s="19">
        <f>IFERROR(V2/U2,0)</f>
        <v>0.51509054325955739</v>
      </c>
      <c r="X2" s="56">
        <v>90</v>
      </c>
      <c r="Y2" s="56">
        <v>0</v>
      </c>
      <c r="Z2" s="19">
        <f>IFERROR(Y2/X2,0)</f>
        <v>0</v>
      </c>
      <c r="AA2" s="56">
        <v>45</v>
      </c>
      <c r="AB2" s="56">
        <v>56</v>
      </c>
      <c r="AC2" s="19">
        <f>IFERROR(AB2/AA2,0)</f>
        <v>1.2444444444444445</v>
      </c>
      <c r="AD2" s="56">
        <v>0</v>
      </c>
      <c r="AE2" s="56">
        <v>0</v>
      </c>
      <c r="AF2" s="19">
        <f>IFERROR(AE2/AD2,0)</f>
        <v>0</v>
      </c>
      <c r="AG2" s="56">
        <v>135</v>
      </c>
      <c r="AH2" s="56">
        <v>56</v>
      </c>
      <c r="AI2" s="19">
        <f>IFERROR(AH2/AG2,0)</f>
        <v>0.4148148148148148</v>
      </c>
      <c r="AJ2" s="56">
        <v>0</v>
      </c>
      <c r="AK2" s="56">
        <v>0</v>
      </c>
      <c r="AL2" s="19">
        <f>IFERROR(AK2/AJ2,0)</f>
        <v>0</v>
      </c>
      <c r="AM2" s="56">
        <v>0</v>
      </c>
      <c r="AN2" s="56">
        <v>0</v>
      </c>
      <c r="AO2" s="19">
        <f>IFERROR(AN2/AM2,0)</f>
        <v>0</v>
      </c>
      <c r="AP2" s="56">
        <v>0</v>
      </c>
      <c r="AQ2" s="56">
        <v>0</v>
      </c>
      <c r="AR2" s="19">
        <f>IFERROR(AQ2/AP2,0)</f>
        <v>0</v>
      </c>
      <c r="AS2" s="56">
        <v>0</v>
      </c>
      <c r="AT2" s="56">
        <v>0</v>
      </c>
      <c r="AU2" s="19">
        <f>IFERROR(AT2/AS2,0)</f>
        <v>0</v>
      </c>
      <c r="AV2" s="56">
        <v>898</v>
      </c>
      <c r="AW2" s="56">
        <v>311</v>
      </c>
      <c r="AX2" s="19">
        <f>IFERROR(AW2/AV2,0)</f>
        <v>0.34632516703786193</v>
      </c>
      <c r="AY2" s="56">
        <v>33</v>
      </c>
      <c r="AZ2" s="56">
        <v>18</v>
      </c>
      <c r="BA2" s="19">
        <f>IFERROR(AZ2/AY2,0)</f>
        <v>0.54545454545454541</v>
      </c>
      <c r="BB2" s="56">
        <v>0</v>
      </c>
      <c r="BC2" s="56">
        <v>0</v>
      </c>
      <c r="BD2" s="19">
        <f>IFERROR(BC2/BB2,0)</f>
        <v>0</v>
      </c>
      <c r="BE2" s="56">
        <v>1480</v>
      </c>
      <c r="BF2" s="56">
        <v>697</v>
      </c>
      <c r="BG2" s="19">
        <f>IFERROR(BF2/BE2,0)</f>
        <v>0.47094594594594597</v>
      </c>
      <c r="BH2" s="56">
        <v>2811</v>
      </c>
      <c r="BI2" s="56">
        <v>1218</v>
      </c>
      <c r="BJ2" s="19">
        <f>IFERROR(BI2/BH2,0)</f>
        <v>0.43329775880469584</v>
      </c>
      <c r="BK2" s="56">
        <v>0</v>
      </c>
      <c r="BL2" s="56">
        <v>0</v>
      </c>
      <c r="BM2" s="19">
        <f>IFERROR(BL2/BK2,0)</f>
        <v>0</v>
      </c>
      <c r="BN2" s="56">
        <v>2946</v>
      </c>
      <c r="BO2" s="56">
        <v>1274</v>
      </c>
      <c r="BP2" s="19">
        <f>IFERROR(BO2/BN2,0)</f>
        <v>0.43245078071961984</v>
      </c>
      <c r="BQ2" s="56">
        <v>5431</v>
      </c>
      <c r="BR2" s="56">
        <v>2554</v>
      </c>
      <c r="BS2" s="19">
        <f>IFERROR(BR2/BQ2,0)</f>
        <v>0.47026330325906829</v>
      </c>
      <c r="BT2" s="56">
        <v>1320</v>
      </c>
      <c r="BU2" s="56">
        <v>0</v>
      </c>
      <c r="BV2" s="19">
        <f>IFERROR(BU2/BT2,0)</f>
        <v>0</v>
      </c>
      <c r="BW2" s="56">
        <v>9000</v>
      </c>
      <c r="BX2" s="56">
        <v>0</v>
      </c>
      <c r="BY2" s="19">
        <f>IFERROR(BX2/BW2,0)</f>
        <v>0</v>
      </c>
      <c r="BZ2" s="56">
        <v>1725</v>
      </c>
      <c r="CA2" s="56">
        <v>0</v>
      </c>
      <c r="CB2" s="19">
        <f>IFERROR(CA2/BZ2,0)</f>
        <v>0</v>
      </c>
      <c r="CC2" s="56">
        <v>600</v>
      </c>
      <c r="CD2" s="56">
        <v>0</v>
      </c>
      <c r="CE2" s="19">
        <f>IFERROR(CD2/CC2,0)</f>
        <v>0</v>
      </c>
      <c r="CF2" s="56">
        <v>32355</v>
      </c>
      <c r="CG2" s="56">
        <v>0</v>
      </c>
      <c r="CH2" s="19">
        <f>IFERROR(CG2/CF2,0)</f>
        <v>0</v>
      </c>
      <c r="CI2" s="56">
        <v>37786</v>
      </c>
      <c r="CJ2" s="56">
        <v>2554</v>
      </c>
      <c r="CK2" s="19">
        <f>IFERROR(CJ2/CI2,0)</f>
        <v>6.7591171333298047E-2</v>
      </c>
      <c r="CL2" s="56">
        <v>1803</v>
      </c>
      <c r="CM2" s="56">
        <v>74</v>
      </c>
      <c r="CN2" s="19">
        <f>IFERROR(CM2/CL2,0)</f>
        <v>4.1042706600110924E-2</v>
      </c>
      <c r="CO2" s="56">
        <v>600</v>
      </c>
      <c r="CP2" s="56">
        <v>0</v>
      </c>
      <c r="CQ2" s="19">
        <f>IFERROR(CP2/CO2,0)</f>
        <v>0</v>
      </c>
      <c r="CR2" s="23">
        <v>0.77</v>
      </c>
      <c r="CS2" s="57">
        <v>1</v>
      </c>
      <c r="CT2" s="19">
        <f>IFERROR(CS2/CR2,0)</f>
        <v>1.2987012987012987</v>
      </c>
      <c r="CU2" s="23">
        <v>0.63</v>
      </c>
      <c r="CV2" s="57">
        <v>1</v>
      </c>
      <c r="CW2" s="19">
        <f>IFERROR(CV2/CU2,0)</f>
        <v>1.5873015873015872</v>
      </c>
      <c r="CX2" s="23">
        <v>0.83</v>
      </c>
      <c r="CY2" s="57">
        <v>1</v>
      </c>
      <c r="CZ2" s="19">
        <f>IFERROR(CY2/CX2,0)</f>
        <v>1.2048192771084338</v>
      </c>
      <c r="DA2" s="23">
        <v>0.75</v>
      </c>
      <c r="DB2" s="57">
        <v>1</v>
      </c>
      <c r="DC2" s="19">
        <f>IFERROR(DB2/DA2,0)</f>
        <v>1.3333333333333333</v>
      </c>
      <c r="DD2" s="23">
        <v>0.8</v>
      </c>
      <c r="DE2" s="57">
        <v>1</v>
      </c>
      <c r="DF2" s="19">
        <f>IFERROR(DE2/DD2,0)</f>
        <v>1.25</v>
      </c>
      <c r="DG2" s="23">
        <v>0.69000000000000006</v>
      </c>
      <c r="DH2" s="57">
        <v>1</v>
      </c>
      <c r="DI2" s="19">
        <f>IFERROR(DH2/DG2,0)</f>
        <v>1.4492753623188404</v>
      </c>
      <c r="DJ2" s="23">
        <v>0.89</v>
      </c>
      <c r="DK2" s="57">
        <v>0</v>
      </c>
      <c r="DL2" s="19">
        <f>IFERROR(DK2/DJ2,0)</f>
        <v>0</v>
      </c>
      <c r="DM2" s="23">
        <v>0.57499999999999996</v>
      </c>
      <c r="DN2" s="57">
        <v>0</v>
      </c>
      <c r="DO2" s="19">
        <f>IFERROR(DN2/DM2,0)</f>
        <v>0</v>
      </c>
      <c r="DP2" s="23">
        <v>0.84499999999999997</v>
      </c>
      <c r="DQ2" s="57">
        <v>1</v>
      </c>
      <c r="DR2" s="19">
        <f>IFERROR(DQ2/DP2,0)</f>
        <v>1.1834319526627219</v>
      </c>
      <c r="DS2" s="23">
        <v>0.63250000000000006</v>
      </c>
      <c r="DT2" s="57">
        <v>1</v>
      </c>
      <c r="DU2" s="19">
        <f>IFERROR(DT2/DS2,0)</f>
        <v>1.5810276679841895</v>
      </c>
      <c r="DV2" s="57">
        <v>0.83593109105824448</v>
      </c>
      <c r="DW2" s="57">
        <v>1</v>
      </c>
      <c r="DX2" s="19">
        <f>IFERROR(DW2/DV2,0)</f>
        <v>1.1962708537782138</v>
      </c>
      <c r="DY2" s="57">
        <v>0.61009999999999998</v>
      </c>
      <c r="DZ2" s="57">
        <v>0</v>
      </c>
      <c r="EA2" s="19">
        <f>IFERROR(DZ2/DY2,0)</f>
        <v>0</v>
      </c>
      <c r="EB2" s="16">
        <v>1167</v>
      </c>
      <c r="EC2" s="56">
        <v>0</v>
      </c>
      <c r="ED2" s="19">
        <f>IFERROR(EC2/EB2,0)</f>
        <v>0</v>
      </c>
      <c r="EE2" s="16">
        <v>326</v>
      </c>
      <c r="EF2" s="56">
        <v>0</v>
      </c>
      <c r="EG2" s="19">
        <f>IFERROR(EF2/EE2,0)</f>
        <v>0</v>
      </c>
      <c r="EH2" s="16">
        <v>1493</v>
      </c>
      <c r="EI2" s="56">
        <v>0</v>
      </c>
      <c r="EJ2" s="19">
        <f>IFERROR(EI2/EH2,0)</f>
        <v>0</v>
      </c>
      <c r="EK2" s="16">
        <v>15220</v>
      </c>
      <c r="EL2" s="56">
        <v>0</v>
      </c>
      <c r="EM2" s="19">
        <f>IFERROR(EL2/EK2,0)</f>
        <v>0</v>
      </c>
      <c r="EN2" s="16">
        <v>16713</v>
      </c>
      <c r="EO2" s="56">
        <v>0</v>
      </c>
      <c r="EP2" s="19">
        <f>IFERROR(EO2/EN2,0)</f>
        <v>0</v>
      </c>
      <c r="EQ2" s="16">
        <v>597</v>
      </c>
      <c r="ER2" s="56">
        <v>0</v>
      </c>
      <c r="ES2" s="19">
        <f>IFERROR(ER2/EQ2,0)</f>
        <v>0</v>
      </c>
      <c r="ET2" s="56">
        <v>1338</v>
      </c>
      <c r="EU2" s="56">
        <v>0</v>
      </c>
      <c r="EV2" s="19">
        <f>IFERROR(EU2/ET2,0)</f>
        <v>0</v>
      </c>
      <c r="EW2" s="56">
        <v>366</v>
      </c>
      <c r="EX2" s="56">
        <v>0</v>
      </c>
      <c r="EY2" s="19">
        <f>IFERROR(EX2/EW2,0)</f>
        <v>0</v>
      </c>
    </row>
    <row r="3" spans="1:155" s="58" customFormat="1" x14ac:dyDescent="0.3">
      <c r="A3" s="34" t="s">
        <v>82</v>
      </c>
      <c r="B3" s="20">
        <v>5</v>
      </c>
      <c r="C3" s="20" t="s">
        <v>4</v>
      </c>
      <c r="D3" s="20">
        <v>9201</v>
      </c>
      <c r="E3" s="20" t="s">
        <v>79</v>
      </c>
      <c r="F3" s="56">
        <v>1293</v>
      </c>
      <c r="G3" s="56">
        <v>863</v>
      </c>
      <c r="H3" s="19">
        <f t="shared" ref="H3:H13" si="0">IFERROR(G3/F3,0)</f>
        <v>0.66744006187161642</v>
      </c>
      <c r="I3" s="56">
        <v>0</v>
      </c>
      <c r="J3" s="56">
        <v>0</v>
      </c>
      <c r="K3" s="19">
        <f t="shared" ref="K3:K13" si="1">IFERROR(J3/I3,0)</f>
        <v>0</v>
      </c>
      <c r="L3" s="56">
        <v>0</v>
      </c>
      <c r="M3" s="56">
        <v>0</v>
      </c>
      <c r="N3" s="19">
        <f t="shared" ref="N3:N13" si="2">IFERROR(M3/L3,0)</f>
        <v>0</v>
      </c>
      <c r="O3" s="56">
        <v>0</v>
      </c>
      <c r="P3" s="56">
        <v>0</v>
      </c>
      <c r="Q3" s="19">
        <f t="shared" ref="Q3:Q13" si="3">IFERROR(P3/O3,0)</f>
        <v>0</v>
      </c>
      <c r="R3" s="56">
        <v>2485</v>
      </c>
      <c r="S3" s="56">
        <v>1445</v>
      </c>
      <c r="T3" s="19">
        <f t="shared" ref="T3:T13" si="4">IFERROR(S3/R3,0)</f>
        <v>0.58148893360160969</v>
      </c>
      <c r="U3" s="56">
        <v>2485</v>
      </c>
      <c r="V3" s="56">
        <v>1445</v>
      </c>
      <c r="W3" s="19">
        <f t="shared" ref="W3:W13" si="5">IFERROR(V3/U3,0)</f>
        <v>0.58148893360160969</v>
      </c>
      <c r="X3" s="56">
        <v>90</v>
      </c>
      <c r="Y3" s="56">
        <v>0</v>
      </c>
      <c r="Z3" s="19">
        <f t="shared" ref="Z3:Z13" si="6">IFERROR(Y3/X3,0)</f>
        <v>0</v>
      </c>
      <c r="AA3" s="56">
        <v>45</v>
      </c>
      <c r="AB3" s="56">
        <v>56</v>
      </c>
      <c r="AC3" s="19">
        <f t="shared" ref="AC3:AC13" si="7">IFERROR(AB3/AA3,0)</f>
        <v>1.2444444444444445</v>
      </c>
      <c r="AD3" s="56">
        <v>0</v>
      </c>
      <c r="AE3" s="56">
        <v>0</v>
      </c>
      <c r="AF3" s="19">
        <f t="shared" ref="AF3:AF13" si="8">IFERROR(AE3/AD3,0)</f>
        <v>0</v>
      </c>
      <c r="AG3" s="56">
        <v>135</v>
      </c>
      <c r="AH3" s="56">
        <v>56</v>
      </c>
      <c r="AI3" s="19">
        <f t="shared" ref="AI3:AI13" si="9">IFERROR(AH3/AG3,0)</f>
        <v>0.4148148148148148</v>
      </c>
      <c r="AJ3" s="56">
        <v>0</v>
      </c>
      <c r="AK3" s="56">
        <v>0</v>
      </c>
      <c r="AL3" s="19">
        <f t="shared" ref="AL3:AL13" si="10">IFERROR(AK3/AJ3,0)</f>
        <v>0</v>
      </c>
      <c r="AM3" s="56">
        <v>0</v>
      </c>
      <c r="AN3" s="56">
        <v>0</v>
      </c>
      <c r="AO3" s="19">
        <f t="shared" ref="AO3:AO13" si="11">IFERROR(AN3/AM3,0)</f>
        <v>0</v>
      </c>
      <c r="AP3" s="56">
        <v>0</v>
      </c>
      <c r="AQ3" s="56">
        <v>0</v>
      </c>
      <c r="AR3" s="19">
        <f t="shared" ref="AR3:AR13" si="12">IFERROR(AQ3/AP3,0)</f>
        <v>0</v>
      </c>
      <c r="AS3" s="56">
        <v>0</v>
      </c>
      <c r="AT3" s="56">
        <v>0</v>
      </c>
      <c r="AU3" s="19">
        <f t="shared" ref="AU3:AU13" si="13">IFERROR(AT3/AS3,0)</f>
        <v>0</v>
      </c>
      <c r="AV3" s="56">
        <v>898</v>
      </c>
      <c r="AW3" s="56">
        <v>333</v>
      </c>
      <c r="AX3" s="19">
        <f t="shared" ref="AX3:AX13" si="14">IFERROR(AW3/AV3,0)</f>
        <v>0.37082405345211583</v>
      </c>
      <c r="AY3" s="56">
        <v>33</v>
      </c>
      <c r="AZ3" s="56">
        <v>18</v>
      </c>
      <c r="BA3" s="19">
        <f t="shared" ref="BA3:BA13" si="15">IFERROR(AZ3/AY3,0)</f>
        <v>0.54545454545454541</v>
      </c>
      <c r="BB3" s="56">
        <v>0</v>
      </c>
      <c r="BC3" s="56">
        <v>0</v>
      </c>
      <c r="BD3" s="19">
        <f t="shared" ref="BD3:BD13" si="16">IFERROR(BC3/BB3,0)</f>
        <v>0</v>
      </c>
      <c r="BE3" s="56">
        <v>1480</v>
      </c>
      <c r="BF3" s="56">
        <v>778</v>
      </c>
      <c r="BG3" s="19">
        <f t="shared" ref="BG3:BG13" si="17">IFERROR(BF3/BE3,0)</f>
        <v>0.52567567567567564</v>
      </c>
      <c r="BH3" s="56">
        <v>2811</v>
      </c>
      <c r="BI3" s="56">
        <v>1321</v>
      </c>
      <c r="BJ3" s="19">
        <f t="shared" ref="BJ3:BJ13" si="18">IFERROR(BI3/BH3,0)</f>
        <v>0.46993952330131628</v>
      </c>
      <c r="BK3" s="56">
        <v>0</v>
      </c>
      <c r="BL3" s="56">
        <v>0</v>
      </c>
      <c r="BM3" s="19">
        <f t="shared" ref="BM3:BM13" si="19">IFERROR(BL3/BK3,0)</f>
        <v>0</v>
      </c>
      <c r="BN3" s="56">
        <v>2946</v>
      </c>
      <c r="BO3" s="56">
        <v>1377</v>
      </c>
      <c r="BP3" s="19">
        <f t="shared" ref="BP3:BP13" si="20">IFERROR(BO3/BN3,0)</f>
        <v>0.46741344195519346</v>
      </c>
      <c r="BQ3" s="56">
        <v>5431</v>
      </c>
      <c r="BR3" s="56">
        <v>2822</v>
      </c>
      <c r="BS3" s="19">
        <f t="shared" ref="BS3:BS13" si="21">IFERROR(BR3/BQ3,0)</f>
        <v>0.51960964831522738</v>
      </c>
      <c r="BT3" s="56">
        <v>1320</v>
      </c>
      <c r="BU3" s="56">
        <v>203</v>
      </c>
      <c r="BV3" s="19">
        <f t="shared" ref="BV3:BV13" si="22">IFERROR(BU3/BT3,0)</f>
        <v>0.15378787878787878</v>
      </c>
      <c r="BW3" s="56">
        <v>9000</v>
      </c>
      <c r="BX3" s="56">
        <v>1163</v>
      </c>
      <c r="BY3" s="19">
        <f t="shared" ref="BY3:BY13" si="23">IFERROR(BX3/BW3,0)</f>
        <v>0.12922222222222221</v>
      </c>
      <c r="BZ3" s="56">
        <v>1725</v>
      </c>
      <c r="CA3" s="56">
        <v>138</v>
      </c>
      <c r="CB3" s="19">
        <f t="shared" ref="CB3:CB13" si="24">IFERROR(CA3/BZ3,0)</f>
        <v>0.08</v>
      </c>
      <c r="CC3" s="56">
        <v>600</v>
      </c>
      <c r="CD3" s="56">
        <v>0</v>
      </c>
      <c r="CE3" s="19">
        <f t="shared" ref="CE3:CE13" si="25">IFERROR(CD3/CC3,0)</f>
        <v>0</v>
      </c>
      <c r="CF3" s="56">
        <v>32355</v>
      </c>
      <c r="CG3" s="56">
        <v>2444</v>
      </c>
      <c r="CH3" s="19">
        <f t="shared" ref="CH3:CH13" si="26">IFERROR(CG3/CF3,0)</f>
        <v>7.5537011281100297E-2</v>
      </c>
      <c r="CI3" s="56">
        <v>37786</v>
      </c>
      <c r="CJ3" s="56">
        <v>5266</v>
      </c>
      <c r="CK3" s="19">
        <f t="shared" ref="CK3:CK13" si="27">IFERROR(CJ3/CI3,0)</f>
        <v>0.13936378552903192</v>
      </c>
      <c r="CL3" s="56">
        <v>1803</v>
      </c>
      <c r="CM3" s="56">
        <v>212</v>
      </c>
      <c r="CN3" s="19">
        <f t="shared" ref="CN3:CN13" si="28">IFERROR(CM3/CL3,0)</f>
        <v>0.11758180809761509</v>
      </c>
      <c r="CO3" s="56">
        <v>600</v>
      </c>
      <c r="CP3" s="56">
        <v>0</v>
      </c>
      <c r="CQ3" s="19">
        <f t="shared" ref="CQ3:CQ13" si="29">IFERROR(CP3/CO3,0)</f>
        <v>0</v>
      </c>
      <c r="CR3" s="23">
        <v>0.77</v>
      </c>
      <c r="CS3" s="19">
        <v>0.98902953586497899</v>
      </c>
      <c r="CT3" s="19">
        <f t="shared" ref="CT3:CT13" si="30">IFERROR(CS3/CR3,0)</f>
        <v>1.2844539426817909</v>
      </c>
      <c r="CU3" s="23">
        <v>0.63</v>
      </c>
      <c r="CV3" s="19">
        <v>0.98039215686274495</v>
      </c>
      <c r="CW3" s="19">
        <f t="shared" ref="CW3:CW13" si="31">IFERROR(CV3/CU3,0)</f>
        <v>1.5561780267662617</v>
      </c>
      <c r="CX3" s="23">
        <v>0.83</v>
      </c>
      <c r="CY3" s="19">
        <v>0.97334878331402097</v>
      </c>
      <c r="CZ3" s="19">
        <f t="shared" ref="CZ3:CZ13" si="32">IFERROR(CY3/CX3,0)</f>
        <v>1.1727093774867723</v>
      </c>
      <c r="DA3" s="23">
        <v>0.75</v>
      </c>
      <c r="DB3" s="19">
        <v>0.97093425605536299</v>
      </c>
      <c r="DC3" s="19">
        <f t="shared" ref="DC3:DC13" si="33">IFERROR(DB3/DA3,0)</f>
        <v>1.2945790080738173</v>
      </c>
      <c r="DD3" s="23">
        <v>0.8</v>
      </c>
      <c r="DE3" s="19">
        <v>0.982421875</v>
      </c>
      <c r="DF3" s="19">
        <f t="shared" ref="DF3:DF13" si="34">IFERROR(DE3/DD3,0)</f>
        <v>1.22802734375</v>
      </c>
      <c r="DG3" s="23">
        <v>0.69000000000000006</v>
      </c>
      <c r="DH3" s="19">
        <v>0.97554925584691699</v>
      </c>
      <c r="DI3" s="19">
        <f t="shared" ref="DI3:DI13" si="35">IFERROR(DH3/DG3,0)</f>
        <v>1.4138395012274159</v>
      </c>
      <c r="DJ3" s="23">
        <v>0.89</v>
      </c>
      <c r="DK3" s="19">
        <v>1</v>
      </c>
      <c r="DL3" s="19">
        <f t="shared" ref="DL3:DL13" si="36">IFERROR(DK3/DJ3,0)</f>
        <v>1.1235955056179776</v>
      </c>
      <c r="DM3" s="23">
        <v>0.57499999999999996</v>
      </c>
      <c r="DN3" s="19">
        <v>0.98486088379705405</v>
      </c>
      <c r="DO3" s="19">
        <f t="shared" ref="DO3:DO13" si="37">IFERROR(DN3/DM3,0)</f>
        <v>1.7128015370383549</v>
      </c>
      <c r="DP3" s="23">
        <v>0.84499999999999997</v>
      </c>
      <c r="DQ3" s="19">
        <v>0.986425339366516</v>
      </c>
      <c r="DR3" s="19">
        <f t="shared" ref="DR3:DR13" si="38">IFERROR(DQ3/DP3,0)</f>
        <v>1.1673672655225042</v>
      </c>
      <c r="DS3" s="23">
        <v>0.63250000000000006</v>
      </c>
      <c r="DT3" s="19">
        <v>0.97987086973034598</v>
      </c>
      <c r="DU3" s="19">
        <f t="shared" ref="DU3:DU13" si="39">IFERROR(DT3/DS3,0)</f>
        <v>1.5492029560954086</v>
      </c>
      <c r="DV3" s="57">
        <v>0.83593109105824448</v>
      </c>
      <c r="DW3" s="19">
        <v>1</v>
      </c>
      <c r="DX3" s="19">
        <f t="shared" ref="DX3:DX13" si="40">IFERROR(DW3/DV3,0)</f>
        <v>1.1962708537782138</v>
      </c>
      <c r="DY3" s="57">
        <v>0.61009999999999998</v>
      </c>
      <c r="DZ3" s="19">
        <v>0</v>
      </c>
      <c r="EA3" s="19">
        <f t="shared" ref="EA3:EA13" si="41">IFERROR(DZ3/DY3,0)</f>
        <v>0</v>
      </c>
      <c r="EB3" s="16">
        <v>1167</v>
      </c>
      <c r="EC3" s="56">
        <v>0</v>
      </c>
      <c r="ED3" s="19">
        <f t="shared" ref="ED3:ED13" si="42">IFERROR(EC3/EB3,0)</f>
        <v>0</v>
      </c>
      <c r="EE3" s="16">
        <v>326</v>
      </c>
      <c r="EF3" s="56">
        <v>0</v>
      </c>
      <c r="EG3" s="19">
        <f t="shared" ref="EG3:EG13" si="43">IFERROR(EF3/EE3,0)</f>
        <v>0</v>
      </c>
      <c r="EH3" s="16">
        <v>1493</v>
      </c>
      <c r="EI3" s="56">
        <v>0</v>
      </c>
      <c r="EJ3" s="19">
        <f t="shared" ref="EJ3:EJ13" si="44">IFERROR(EI3/EH3,0)</f>
        <v>0</v>
      </c>
      <c r="EK3" s="16">
        <v>15220</v>
      </c>
      <c r="EL3" s="56">
        <v>404</v>
      </c>
      <c r="EM3" s="19">
        <f t="shared" ref="EM3:EM13" si="45">IFERROR(EL3/EK3,0)</f>
        <v>2.6544021024967147E-2</v>
      </c>
      <c r="EN3" s="16">
        <v>16713</v>
      </c>
      <c r="EO3" s="56">
        <v>404</v>
      </c>
      <c r="EP3" s="19">
        <f t="shared" ref="EP3:EP13" si="46">IFERROR(EO3/EN3,0)</f>
        <v>2.4172799617064561E-2</v>
      </c>
      <c r="EQ3" s="16">
        <v>597</v>
      </c>
      <c r="ER3" s="56">
        <v>0</v>
      </c>
      <c r="ES3" s="19">
        <f t="shared" ref="ES3:ES13" si="47">IFERROR(ER3/EQ3,0)</f>
        <v>0</v>
      </c>
      <c r="ET3" s="56">
        <v>1338</v>
      </c>
      <c r="EU3" s="56">
        <v>33</v>
      </c>
      <c r="EV3" s="19">
        <f t="shared" ref="EV3:EV13" si="48">IFERROR(EU3/ET3,0)</f>
        <v>2.4663677130044841E-2</v>
      </c>
      <c r="EW3" s="56">
        <v>366</v>
      </c>
      <c r="EX3" s="56">
        <v>0</v>
      </c>
      <c r="EY3" s="19">
        <f t="shared" ref="EY3:EY13" si="49">IFERROR(EX3/EW3,0)</f>
        <v>0</v>
      </c>
    </row>
    <row r="4" spans="1:155" s="58" customFormat="1" x14ac:dyDescent="0.3">
      <c r="A4" s="34" t="s">
        <v>83</v>
      </c>
      <c r="B4" s="20">
        <v>5</v>
      </c>
      <c r="C4" s="20" t="s">
        <v>4</v>
      </c>
      <c r="D4" s="20">
        <v>9201</v>
      </c>
      <c r="E4" s="20" t="s">
        <v>79</v>
      </c>
      <c r="F4" s="56">
        <v>1293</v>
      </c>
      <c r="G4" s="56">
        <f>'[1]METAS FORMACIÓN X CTROS'!$E12</f>
        <v>339</v>
      </c>
      <c r="H4" s="19">
        <f t="shared" si="0"/>
        <v>0.26218097447795824</v>
      </c>
      <c r="I4" s="56">
        <v>0</v>
      </c>
      <c r="J4" s="56">
        <f>'[1]METAS FORMACIÓN X CTROS'!$G12</f>
        <v>0</v>
      </c>
      <c r="K4" s="19">
        <f t="shared" si="1"/>
        <v>0</v>
      </c>
      <c r="L4" s="56">
        <v>0</v>
      </c>
      <c r="M4" s="56">
        <f>'[1]METAS FORMACIÓN X CTROS'!$H12</f>
        <v>30</v>
      </c>
      <c r="N4" s="19">
        <f t="shared" si="2"/>
        <v>0</v>
      </c>
      <c r="O4" s="56">
        <v>0</v>
      </c>
      <c r="P4" s="56">
        <f>'[1]METAS FORMACIÓN X CTROS'!$I12</f>
        <v>0</v>
      </c>
      <c r="Q4" s="19">
        <f t="shared" si="3"/>
        <v>0</v>
      </c>
      <c r="R4" s="56">
        <v>2485</v>
      </c>
      <c r="S4" s="56">
        <f>'[1]METAS FORMACIÓN X CTROS'!$J12</f>
        <v>715</v>
      </c>
      <c r="T4" s="19">
        <f t="shared" si="4"/>
        <v>0.28772635814889336</v>
      </c>
      <c r="U4" s="56">
        <v>2485</v>
      </c>
      <c r="V4" s="56">
        <f>'[1]METAS FORMACIÓN X CTROS'!$K12</f>
        <v>715</v>
      </c>
      <c r="W4" s="19">
        <f t="shared" si="5"/>
        <v>0.28772635814889336</v>
      </c>
      <c r="X4" s="56">
        <v>90</v>
      </c>
      <c r="Y4" s="56">
        <f>'[1]METAS FORMACIÓN X CTROS'!$L12</f>
        <v>0</v>
      </c>
      <c r="Z4" s="19">
        <f t="shared" si="6"/>
        <v>0</v>
      </c>
      <c r="AA4" s="56">
        <v>45</v>
      </c>
      <c r="AB4" s="56">
        <f>'[1]METAS FORMACIÓN X CTROS'!$M12</f>
        <v>0</v>
      </c>
      <c r="AC4" s="19">
        <f t="shared" si="7"/>
        <v>0</v>
      </c>
      <c r="AD4" s="56">
        <v>0</v>
      </c>
      <c r="AE4" s="56">
        <f>'[1]METAS FORMACIÓN X CTROS'!$N12</f>
        <v>0</v>
      </c>
      <c r="AF4" s="19">
        <f t="shared" si="8"/>
        <v>0</v>
      </c>
      <c r="AG4" s="56">
        <v>135</v>
      </c>
      <c r="AH4" s="56">
        <f>'[1]METAS FORMACIÓN X CTROS'!$O12</f>
        <v>0</v>
      </c>
      <c r="AI4" s="19">
        <f t="shared" si="9"/>
        <v>0</v>
      </c>
      <c r="AJ4" s="56">
        <v>0</v>
      </c>
      <c r="AK4" s="56">
        <f>'[1]METAS FORMACIÓN X CTROS'!$P12</f>
        <v>0</v>
      </c>
      <c r="AL4" s="19">
        <f t="shared" si="10"/>
        <v>0</v>
      </c>
      <c r="AM4" s="56">
        <v>0</v>
      </c>
      <c r="AN4" s="56">
        <f>'[1]METAS FORMACIÓN X CTROS'!$Q12</f>
        <v>0</v>
      </c>
      <c r="AO4" s="19">
        <f t="shared" si="11"/>
        <v>0</v>
      </c>
      <c r="AP4" s="56">
        <v>0</v>
      </c>
      <c r="AQ4" s="56">
        <f>'[1]METAS FORMACIÓN X CTROS'!$R12</f>
        <v>0</v>
      </c>
      <c r="AR4" s="19">
        <f t="shared" si="12"/>
        <v>0</v>
      </c>
      <c r="AS4" s="56">
        <v>0</v>
      </c>
      <c r="AT4" s="56">
        <f>'[1]METAS FORMACIÓN X CTROS'!$S12</f>
        <v>0</v>
      </c>
      <c r="AU4" s="19">
        <f t="shared" si="13"/>
        <v>0</v>
      </c>
      <c r="AV4" s="56">
        <v>898</v>
      </c>
      <c r="AW4" s="56">
        <f>'[1]METAS FORMACIÓN X CTROS'!$T12</f>
        <v>427</v>
      </c>
      <c r="AX4" s="19">
        <f t="shared" si="14"/>
        <v>0.47550111358574609</v>
      </c>
      <c r="AY4" s="56">
        <v>33</v>
      </c>
      <c r="AZ4" s="56">
        <f>'[1]METAS FORMACIÓN X CTROS'!$V12</f>
        <v>181</v>
      </c>
      <c r="BA4" s="19">
        <f t="shared" si="15"/>
        <v>5.4848484848484844</v>
      </c>
      <c r="BB4" s="56">
        <v>0</v>
      </c>
      <c r="BC4" s="56">
        <f>'[1]METAS FORMACIÓN X CTROS'!$W12</f>
        <v>0</v>
      </c>
      <c r="BD4" s="19">
        <f t="shared" si="16"/>
        <v>0</v>
      </c>
      <c r="BE4" s="56">
        <v>1480</v>
      </c>
      <c r="BF4" s="56">
        <f>'[1]METAS FORMACIÓN X CTROS'!$X12</f>
        <v>1350</v>
      </c>
      <c r="BG4" s="19">
        <f t="shared" si="17"/>
        <v>0.91216216216216217</v>
      </c>
      <c r="BH4" s="56">
        <v>2811</v>
      </c>
      <c r="BI4" s="56">
        <f>'[1]METAS FORMACIÓN X CTROS'!$Y12</f>
        <v>2151</v>
      </c>
      <c r="BJ4" s="19">
        <f t="shared" si="18"/>
        <v>0.76520811099252939</v>
      </c>
      <c r="BK4" s="56">
        <v>0</v>
      </c>
      <c r="BL4" s="56">
        <f>'[1]METAS FORMACIÓN X CTROS'!$Z12</f>
        <v>0</v>
      </c>
      <c r="BM4" s="19">
        <f t="shared" si="19"/>
        <v>0</v>
      </c>
      <c r="BN4" s="56">
        <v>2946</v>
      </c>
      <c r="BO4" s="56">
        <f>'[1]METAS FORMACIÓN X CTROS'!$AA12</f>
        <v>2151</v>
      </c>
      <c r="BP4" s="19">
        <f t="shared" si="20"/>
        <v>0.73014256619144602</v>
      </c>
      <c r="BQ4" s="56">
        <v>5431</v>
      </c>
      <c r="BR4" s="56">
        <f>'[1]METAS FORMACIÓN X CTROS'!$AB12</f>
        <v>2866</v>
      </c>
      <c r="BS4" s="19">
        <f t="shared" si="21"/>
        <v>0.52771128705579085</v>
      </c>
      <c r="BT4" s="56">
        <v>1320</v>
      </c>
      <c r="BU4" s="56">
        <f>'[1]METAS FORMACIÓN X CTROS'!$AF12</f>
        <v>0</v>
      </c>
      <c r="BV4" s="19">
        <f t="shared" si="22"/>
        <v>0</v>
      </c>
      <c r="BW4" s="56">
        <v>9000</v>
      </c>
      <c r="BX4" s="56">
        <f>'[1]METAS FORMACIÓN X CTROS'!$AG12</f>
        <v>1120</v>
      </c>
      <c r="BY4" s="19">
        <f t="shared" si="23"/>
        <v>0.12444444444444444</v>
      </c>
      <c r="BZ4" s="56">
        <v>1725</v>
      </c>
      <c r="CA4" s="56">
        <f>'[1]METAS FORMACIÓN X CTROS'!$AH12</f>
        <v>49</v>
      </c>
      <c r="CB4" s="19">
        <f t="shared" si="24"/>
        <v>2.8405797101449276E-2</v>
      </c>
      <c r="CC4" s="56">
        <v>600</v>
      </c>
      <c r="CD4" s="56">
        <f>'[1]METAS FORMACIÓN X CTROS'!$AI12</f>
        <v>0</v>
      </c>
      <c r="CE4" s="19">
        <f t="shared" si="25"/>
        <v>0</v>
      </c>
      <c r="CF4" s="56">
        <v>32355</v>
      </c>
      <c r="CG4" s="56">
        <f>'[1]METAS FORMACIÓN X CTROS'!$AJ12</f>
        <v>3787</v>
      </c>
      <c r="CH4" s="19">
        <f t="shared" si="26"/>
        <v>0.11704527893679494</v>
      </c>
      <c r="CI4" s="56">
        <v>37786</v>
      </c>
      <c r="CJ4" s="56">
        <f>'[1]METAS FORMACIÓN X CTROS'!$AK12</f>
        <v>6653</v>
      </c>
      <c r="CK4" s="19">
        <f t="shared" si="27"/>
        <v>0.17607050230244006</v>
      </c>
      <c r="CL4" s="56">
        <v>1803</v>
      </c>
      <c r="CM4" s="56">
        <f>'[1]METAS FORMACIÓN X CTROS'!$AL12</f>
        <v>260</v>
      </c>
      <c r="CN4" s="19">
        <f t="shared" si="28"/>
        <v>0.14420410427066002</v>
      </c>
      <c r="CO4" s="56">
        <v>600</v>
      </c>
      <c r="CP4" s="56">
        <f>'[1]METAS FORMACIÓN X CTROS'!$AM12</f>
        <v>0</v>
      </c>
      <c r="CQ4" s="19">
        <f t="shared" si="29"/>
        <v>0</v>
      </c>
      <c r="CR4" s="23">
        <v>0.77</v>
      </c>
      <c r="CS4" s="19">
        <f>'[1]METAS FORMACIÓN X CTROS'!$AO12</f>
        <v>0.96067415730337102</v>
      </c>
      <c r="CT4" s="19">
        <f t="shared" si="30"/>
        <v>1.2476287757186637</v>
      </c>
      <c r="CU4" s="23">
        <v>0.63</v>
      </c>
      <c r="CV4" s="19">
        <f>'[1]METAS FORMACIÓN X CTROS'!$AQ12</f>
        <v>0.96234309623431002</v>
      </c>
      <c r="CW4" s="19">
        <f t="shared" si="31"/>
        <v>1.5275287241814444</v>
      </c>
      <c r="CX4" s="23">
        <v>0.83</v>
      </c>
      <c r="CY4" s="19">
        <f>'[1]METAS FORMACIÓN X CTROS'!$AR12</f>
        <v>0.99186991869918695</v>
      </c>
      <c r="CZ4" s="19">
        <f t="shared" si="32"/>
        <v>1.1950239984327553</v>
      </c>
      <c r="DA4" s="23">
        <v>0.75</v>
      </c>
      <c r="DB4" s="19">
        <f>'[1]METAS FORMACIÓN X CTROS'!$AT12</f>
        <v>0.99160839160839198</v>
      </c>
      <c r="DC4" s="19">
        <f t="shared" si="33"/>
        <v>1.3221445221445227</v>
      </c>
      <c r="DD4" s="23">
        <v>0.8</v>
      </c>
      <c r="DE4" s="19">
        <f>'[1]METAS FORMACIÓN X CTROS'!$AU12</f>
        <v>0.96562097120756296</v>
      </c>
      <c r="DF4" s="19">
        <f t="shared" si="34"/>
        <v>1.2070262140094536</v>
      </c>
      <c r="DG4" s="23">
        <v>0.69000000000000006</v>
      </c>
      <c r="DH4" s="19">
        <f>'[1]METAS FORMACIÓN X CTROS'!$AW12</f>
        <v>0.96964410327983297</v>
      </c>
      <c r="DI4" s="19">
        <f t="shared" si="35"/>
        <v>1.4052813091012071</v>
      </c>
      <c r="DJ4" s="23">
        <v>0.89</v>
      </c>
      <c r="DK4" s="19">
        <f>'[1]METAS FORMACIÓN X CTROS'!$AX12</f>
        <v>0.98313027179006596</v>
      </c>
      <c r="DL4" s="19">
        <f t="shared" si="36"/>
        <v>1.1046407548202988</v>
      </c>
      <c r="DM4" s="23">
        <v>0.57499999999999996</v>
      </c>
      <c r="DN4" s="19">
        <f>'[1]METAS FORMACIÓN X CTROS'!$AZ12</f>
        <v>0.72590440982307902</v>
      </c>
      <c r="DO4" s="19">
        <f t="shared" si="37"/>
        <v>1.2624424518662245</v>
      </c>
      <c r="DP4" s="23">
        <v>0.84499999999999997</v>
      </c>
      <c r="DQ4" s="19">
        <f>'[1]METAS FORMACIÓN X CTROS'!$BA12</f>
        <v>0.97112551561579297</v>
      </c>
      <c r="DR4" s="19">
        <f t="shared" si="38"/>
        <v>1.1492609652257906</v>
      </c>
      <c r="DS4" s="23">
        <v>0.63250000000000006</v>
      </c>
      <c r="DT4" s="19">
        <f>'[1]METAS FORMACIÓN X CTROS'!$BC12</f>
        <v>0.83090335187133602</v>
      </c>
      <c r="DU4" s="19">
        <f t="shared" si="39"/>
        <v>1.3136811887293849</v>
      </c>
      <c r="DV4" s="57">
        <v>0.83593109105824448</v>
      </c>
      <c r="DW4" s="19">
        <f>'[1]METAS FORMACIÓN X CTROS'!$BG12</f>
        <v>1</v>
      </c>
      <c r="DX4" s="19">
        <f t="shared" si="40"/>
        <v>1.1962708537782138</v>
      </c>
      <c r="DY4" s="57">
        <v>0.61009999999999998</v>
      </c>
      <c r="DZ4" s="19">
        <f>'[1]METAS FORMACIÓN X CTROS'!$BH12</f>
        <v>0</v>
      </c>
      <c r="EA4" s="19">
        <f t="shared" si="41"/>
        <v>0</v>
      </c>
      <c r="EB4" s="16">
        <v>1167</v>
      </c>
      <c r="EC4" s="56">
        <f>'[1]METAS FORMACIÓN X CTROS'!$BI12</f>
        <v>38</v>
      </c>
      <c r="ED4" s="19">
        <f t="shared" si="42"/>
        <v>3.2562125107112254E-2</v>
      </c>
      <c r="EE4" s="16">
        <v>326</v>
      </c>
      <c r="EF4" s="56">
        <f>'[1]METAS FORMACIÓN X CTROS'!$BJ12</f>
        <v>10</v>
      </c>
      <c r="EG4" s="19">
        <f t="shared" si="43"/>
        <v>3.0674846625766871E-2</v>
      </c>
      <c r="EH4" s="16">
        <v>1493</v>
      </c>
      <c r="EI4" s="56">
        <f>'[1]METAS FORMACIÓN X CTROS'!$BK12</f>
        <v>48</v>
      </c>
      <c r="EJ4" s="19">
        <f t="shared" si="44"/>
        <v>3.2150033489618215E-2</v>
      </c>
      <c r="EK4" s="16">
        <v>15220</v>
      </c>
      <c r="EL4" s="56">
        <f>'[1]METAS FORMACIÓN X CTROS'!$BL12</f>
        <v>2347</v>
      </c>
      <c r="EM4" s="19">
        <f t="shared" si="45"/>
        <v>0.15420499342969776</v>
      </c>
      <c r="EN4" s="16">
        <v>16713</v>
      </c>
      <c r="EO4" s="56">
        <f>'[1]METAS FORMACIÓN X CTROS'!$BM12</f>
        <v>2395</v>
      </c>
      <c r="EP4" s="19">
        <f t="shared" si="46"/>
        <v>0.14330162149225154</v>
      </c>
      <c r="EQ4" s="16">
        <v>597</v>
      </c>
      <c r="ER4" s="56">
        <f>'[1]METAS FORMACIÓN X CTROS'!$BN12</f>
        <v>0</v>
      </c>
      <c r="ES4" s="19">
        <f t="shared" si="47"/>
        <v>0</v>
      </c>
      <c r="ET4" s="56">
        <v>1338</v>
      </c>
      <c r="EU4" s="56">
        <f>'[1]METAS FORMACIÓN X CTROS'!$BO12</f>
        <v>80</v>
      </c>
      <c r="EV4" s="19">
        <f t="shared" si="48"/>
        <v>5.9790732436472344E-2</v>
      </c>
      <c r="EW4" s="56">
        <v>366</v>
      </c>
      <c r="EX4" s="56">
        <f>'[1]METAS FORMACIÓN X CTROS'!$BP12</f>
        <v>0</v>
      </c>
      <c r="EY4" s="19">
        <f t="shared" si="49"/>
        <v>0</v>
      </c>
    </row>
    <row r="5" spans="1:155" s="58" customFormat="1" x14ac:dyDescent="0.3">
      <c r="A5" s="34" t="s">
        <v>84</v>
      </c>
      <c r="B5" s="20">
        <v>5</v>
      </c>
      <c r="C5" s="20" t="s">
        <v>4</v>
      </c>
      <c r="D5" s="20">
        <v>9201</v>
      </c>
      <c r="E5" s="20" t="s">
        <v>79</v>
      </c>
      <c r="F5" s="56">
        <v>1293</v>
      </c>
      <c r="G5" s="56">
        <v>886</v>
      </c>
      <c r="H5" s="19">
        <f t="shared" si="0"/>
        <v>0.68522815158546013</v>
      </c>
      <c r="I5" s="56">
        <v>0</v>
      </c>
      <c r="J5" s="56">
        <v>0</v>
      </c>
      <c r="K5" s="19">
        <f t="shared" si="1"/>
        <v>0</v>
      </c>
      <c r="L5" s="56">
        <v>0</v>
      </c>
      <c r="M5" s="56">
        <v>0</v>
      </c>
      <c r="N5" s="19">
        <f t="shared" si="2"/>
        <v>0</v>
      </c>
      <c r="O5" s="56">
        <v>0</v>
      </c>
      <c r="P5" s="56">
        <v>0</v>
      </c>
      <c r="Q5" s="19">
        <f t="shared" si="3"/>
        <v>0</v>
      </c>
      <c r="R5" s="56">
        <v>2485</v>
      </c>
      <c r="S5" s="56">
        <v>1708</v>
      </c>
      <c r="T5" s="19">
        <f t="shared" si="4"/>
        <v>0.6873239436619718</v>
      </c>
      <c r="U5" s="56">
        <v>2485</v>
      </c>
      <c r="V5" s="56">
        <v>1708</v>
      </c>
      <c r="W5" s="19">
        <f t="shared" si="5"/>
        <v>0.6873239436619718</v>
      </c>
      <c r="X5" s="56">
        <v>90</v>
      </c>
      <c r="Y5" s="56">
        <v>20</v>
      </c>
      <c r="Z5" s="19">
        <f t="shared" si="6"/>
        <v>0.22222222222222221</v>
      </c>
      <c r="AA5" s="56">
        <v>45</v>
      </c>
      <c r="AB5" s="56">
        <v>56</v>
      </c>
      <c r="AC5" s="19">
        <f t="shared" si="7"/>
        <v>1.2444444444444445</v>
      </c>
      <c r="AD5" s="56">
        <v>0</v>
      </c>
      <c r="AE5" s="56">
        <v>0</v>
      </c>
      <c r="AF5" s="19">
        <f t="shared" si="8"/>
        <v>0</v>
      </c>
      <c r="AG5" s="56">
        <v>135</v>
      </c>
      <c r="AH5" s="56">
        <v>76</v>
      </c>
      <c r="AI5" s="19">
        <f t="shared" si="9"/>
        <v>0.562962962962963</v>
      </c>
      <c r="AJ5" s="56">
        <v>0</v>
      </c>
      <c r="AK5" s="56">
        <v>0</v>
      </c>
      <c r="AL5" s="19">
        <f t="shared" si="10"/>
        <v>0</v>
      </c>
      <c r="AM5" s="56">
        <v>0</v>
      </c>
      <c r="AN5" s="56">
        <v>0</v>
      </c>
      <c r="AO5" s="19">
        <f t="shared" si="11"/>
        <v>0</v>
      </c>
      <c r="AP5" s="56">
        <v>0</v>
      </c>
      <c r="AQ5" s="56">
        <v>0</v>
      </c>
      <c r="AR5" s="19">
        <f t="shared" si="12"/>
        <v>0</v>
      </c>
      <c r="AS5" s="56">
        <v>0</v>
      </c>
      <c r="AT5" s="56">
        <v>0</v>
      </c>
      <c r="AU5" s="19">
        <f t="shared" si="13"/>
        <v>0</v>
      </c>
      <c r="AV5" s="56">
        <v>898</v>
      </c>
      <c r="AW5" s="56">
        <v>493</v>
      </c>
      <c r="AX5" s="19">
        <f t="shared" si="14"/>
        <v>0.54899777282850781</v>
      </c>
      <c r="AY5" s="56">
        <v>33</v>
      </c>
      <c r="AZ5" s="56">
        <v>18</v>
      </c>
      <c r="BA5" s="19">
        <f t="shared" si="15"/>
        <v>0.54545454545454541</v>
      </c>
      <c r="BB5" s="56">
        <v>0</v>
      </c>
      <c r="BC5" s="56">
        <v>0</v>
      </c>
      <c r="BD5" s="19">
        <f t="shared" si="16"/>
        <v>0</v>
      </c>
      <c r="BE5" s="56">
        <v>1480</v>
      </c>
      <c r="BF5" s="56">
        <v>1498</v>
      </c>
      <c r="BG5" s="19">
        <f t="shared" si="17"/>
        <v>1.0121621621621621</v>
      </c>
      <c r="BH5" s="56">
        <v>2811</v>
      </c>
      <c r="BI5" s="56">
        <v>2323</v>
      </c>
      <c r="BJ5" s="19">
        <f t="shared" si="18"/>
        <v>0.82639630024902166</v>
      </c>
      <c r="BK5" s="56">
        <v>0</v>
      </c>
      <c r="BL5" s="56">
        <v>0</v>
      </c>
      <c r="BM5" s="19">
        <f t="shared" si="19"/>
        <v>0</v>
      </c>
      <c r="BN5" s="56">
        <v>2946</v>
      </c>
      <c r="BO5" s="56">
        <v>2399</v>
      </c>
      <c r="BP5" s="19">
        <f t="shared" si="20"/>
        <v>0.81432450780719623</v>
      </c>
      <c r="BQ5" s="56">
        <v>5431</v>
      </c>
      <c r="BR5" s="56">
        <v>4107</v>
      </c>
      <c r="BS5" s="19">
        <f t="shared" si="21"/>
        <v>0.7562143251703185</v>
      </c>
      <c r="BT5" s="56">
        <v>1320</v>
      </c>
      <c r="BU5" s="56">
        <v>475</v>
      </c>
      <c r="BV5" s="19">
        <f t="shared" si="22"/>
        <v>0.35984848484848486</v>
      </c>
      <c r="BW5" s="56">
        <v>9000</v>
      </c>
      <c r="BX5" s="56">
        <v>2875</v>
      </c>
      <c r="BY5" s="19">
        <f t="shared" si="23"/>
        <v>0.31944444444444442</v>
      </c>
      <c r="BZ5" s="56">
        <v>1725</v>
      </c>
      <c r="CA5" s="56">
        <v>595</v>
      </c>
      <c r="CB5" s="19">
        <f t="shared" si="24"/>
        <v>0.34492753623188405</v>
      </c>
      <c r="CC5" s="56">
        <v>600</v>
      </c>
      <c r="CD5" s="56">
        <v>134</v>
      </c>
      <c r="CE5" s="19">
        <f t="shared" si="25"/>
        <v>0.22333333333333333</v>
      </c>
      <c r="CF5" s="56">
        <v>32355</v>
      </c>
      <c r="CG5" s="56">
        <v>8465</v>
      </c>
      <c r="CH5" s="19">
        <f t="shared" si="26"/>
        <v>0.26162880543965383</v>
      </c>
      <c r="CI5" s="56">
        <v>37786</v>
      </c>
      <c r="CJ5" s="56">
        <v>12572</v>
      </c>
      <c r="CK5" s="19">
        <f t="shared" si="27"/>
        <v>0.33271582067432381</v>
      </c>
      <c r="CL5" s="56">
        <v>1803</v>
      </c>
      <c r="CM5" s="56">
        <v>669</v>
      </c>
      <c r="CN5" s="19">
        <f t="shared" si="28"/>
        <v>0.37104825291181365</v>
      </c>
      <c r="CO5" s="56">
        <v>600</v>
      </c>
      <c r="CP5" s="56">
        <v>134</v>
      </c>
      <c r="CQ5" s="19">
        <f t="shared" si="29"/>
        <v>0.22333333333333333</v>
      </c>
      <c r="CR5" s="23">
        <v>0.77</v>
      </c>
      <c r="CS5" s="19">
        <v>0.97553956834532396</v>
      </c>
      <c r="CT5" s="19">
        <f t="shared" si="30"/>
        <v>1.2669345043445766</v>
      </c>
      <c r="CU5" s="23">
        <v>0.63</v>
      </c>
      <c r="CV5" s="19">
        <v>0.95289704043351398</v>
      </c>
      <c r="CW5" s="19">
        <f t="shared" si="31"/>
        <v>1.5125349848151015</v>
      </c>
      <c r="CX5" s="23">
        <v>0.83</v>
      </c>
      <c r="CY5" s="19">
        <v>0.939051918735892</v>
      </c>
      <c r="CZ5" s="19">
        <f t="shared" si="32"/>
        <v>1.131387853898665</v>
      </c>
      <c r="DA5" s="23">
        <v>0.75</v>
      </c>
      <c r="DB5" s="19">
        <v>0.87529274004683799</v>
      </c>
      <c r="DC5" s="19">
        <f t="shared" si="33"/>
        <v>1.1670569867291174</v>
      </c>
      <c r="DD5" s="23">
        <v>0.8</v>
      </c>
      <c r="DE5" s="19">
        <v>0.96465836418714201</v>
      </c>
      <c r="DF5" s="19">
        <f t="shared" si="34"/>
        <v>1.2058229552339275</v>
      </c>
      <c r="DG5" s="23">
        <v>0.69000000000000006</v>
      </c>
      <c r="DH5" s="19">
        <v>0.92062332602873198</v>
      </c>
      <c r="DI5" s="19">
        <f t="shared" si="35"/>
        <v>1.3342367043894665</v>
      </c>
      <c r="DJ5" s="23">
        <v>0.89</v>
      </c>
      <c r="DK5" s="19">
        <v>0.95416012558869701</v>
      </c>
      <c r="DL5" s="19">
        <f t="shared" si="36"/>
        <v>1.0720900287513448</v>
      </c>
      <c r="DM5" s="23">
        <v>0.57499999999999996</v>
      </c>
      <c r="DN5" s="19">
        <v>0.61618428824571803</v>
      </c>
      <c r="DO5" s="19">
        <f t="shared" si="37"/>
        <v>1.0716248491229881</v>
      </c>
      <c r="DP5" s="23">
        <v>0.84499999999999997</v>
      </c>
      <c r="DQ5" s="19">
        <v>0.95922677063027895</v>
      </c>
      <c r="DR5" s="19">
        <f t="shared" si="38"/>
        <v>1.135179610213348</v>
      </c>
      <c r="DS5" s="23">
        <v>0.63250000000000006</v>
      </c>
      <c r="DT5" s="19">
        <v>0.71563792554883898</v>
      </c>
      <c r="DU5" s="19">
        <f t="shared" si="39"/>
        <v>1.1314433605515239</v>
      </c>
      <c r="DV5" s="57">
        <v>0.83593109105824448</v>
      </c>
      <c r="DW5" s="19">
        <v>0.95216741405082195</v>
      </c>
      <c r="DX5" s="19">
        <f t="shared" si="40"/>
        <v>1.139050125346371</v>
      </c>
      <c r="DY5" s="57">
        <v>0.61009999999999998</v>
      </c>
      <c r="DZ5" s="19">
        <v>1</v>
      </c>
      <c r="EA5" s="19">
        <f t="shared" si="41"/>
        <v>1.6390755613833798</v>
      </c>
      <c r="EB5" s="16">
        <v>1167</v>
      </c>
      <c r="EC5" s="56">
        <v>59</v>
      </c>
      <c r="ED5" s="19">
        <f t="shared" si="42"/>
        <v>5.0556983718937444E-2</v>
      </c>
      <c r="EE5" s="16">
        <v>326</v>
      </c>
      <c r="EF5" s="56">
        <v>53</v>
      </c>
      <c r="EG5" s="19">
        <f t="shared" si="43"/>
        <v>0.16257668711656442</v>
      </c>
      <c r="EH5" s="16">
        <v>1493</v>
      </c>
      <c r="EI5" s="56">
        <v>112</v>
      </c>
      <c r="EJ5" s="19">
        <f t="shared" si="44"/>
        <v>7.5016744809109179E-2</v>
      </c>
      <c r="EK5" s="16">
        <v>15220</v>
      </c>
      <c r="EL5" s="56">
        <v>1244</v>
      </c>
      <c r="EM5" s="19">
        <f t="shared" si="45"/>
        <v>8.1734559789750333E-2</v>
      </c>
      <c r="EN5" s="16">
        <v>16713</v>
      </c>
      <c r="EO5" s="56">
        <v>1356</v>
      </c>
      <c r="EP5" s="19">
        <f t="shared" si="46"/>
        <v>8.1134446239454316E-2</v>
      </c>
      <c r="EQ5" s="16">
        <v>597</v>
      </c>
      <c r="ER5" s="56">
        <v>0</v>
      </c>
      <c r="ES5" s="19">
        <f t="shared" si="47"/>
        <v>0</v>
      </c>
      <c r="ET5" s="56">
        <v>1338</v>
      </c>
      <c r="EU5" s="56">
        <v>76</v>
      </c>
      <c r="EV5" s="19">
        <f t="shared" si="48"/>
        <v>5.6801195814648729E-2</v>
      </c>
      <c r="EW5" s="56">
        <v>366</v>
      </c>
      <c r="EX5" s="56">
        <v>0</v>
      </c>
      <c r="EY5" s="19">
        <f t="shared" si="49"/>
        <v>0</v>
      </c>
    </row>
    <row r="6" spans="1:155" s="58" customFormat="1" x14ac:dyDescent="0.3">
      <c r="A6" s="34" t="s">
        <v>85</v>
      </c>
      <c r="B6" s="20">
        <v>5</v>
      </c>
      <c r="C6" s="20" t="s">
        <v>4</v>
      </c>
      <c r="D6" s="20">
        <v>9201</v>
      </c>
      <c r="E6" s="20" t="s">
        <v>79</v>
      </c>
      <c r="F6" s="56">
        <v>1293</v>
      </c>
      <c r="G6" s="56">
        <v>887</v>
      </c>
      <c r="H6" s="19">
        <f t="shared" si="0"/>
        <v>0.68600154679040992</v>
      </c>
      <c r="I6" s="56">
        <v>0</v>
      </c>
      <c r="J6" s="56">
        <v>0</v>
      </c>
      <c r="K6" s="19">
        <f t="shared" si="1"/>
        <v>0</v>
      </c>
      <c r="L6" s="56">
        <v>0</v>
      </c>
      <c r="M6" s="56">
        <v>0</v>
      </c>
      <c r="N6" s="19">
        <f t="shared" si="2"/>
        <v>0</v>
      </c>
      <c r="O6" s="56">
        <v>0</v>
      </c>
      <c r="P6" s="56">
        <v>0</v>
      </c>
      <c r="Q6" s="19">
        <f t="shared" si="3"/>
        <v>0</v>
      </c>
      <c r="R6" s="56">
        <v>2485</v>
      </c>
      <c r="S6" s="56">
        <v>1709</v>
      </c>
      <c r="T6" s="19">
        <f t="shared" si="4"/>
        <v>0.68772635814889338</v>
      </c>
      <c r="U6" s="56">
        <v>2485</v>
      </c>
      <c r="V6" s="56">
        <v>1709</v>
      </c>
      <c r="W6" s="19">
        <f t="shared" si="5"/>
        <v>0.68772635814889338</v>
      </c>
      <c r="X6" s="56">
        <v>90</v>
      </c>
      <c r="Y6" s="56">
        <v>20</v>
      </c>
      <c r="Z6" s="19">
        <f t="shared" si="6"/>
        <v>0.22222222222222221</v>
      </c>
      <c r="AA6" s="56">
        <v>45</v>
      </c>
      <c r="AB6" s="56">
        <v>56</v>
      </c>
      <c r="AC6" s="19">
        <f t="shared" si="7"/>
        <v>1.2444444444444445</v>
      </c>
      <c r="AD6" s="56">
        <v>0</v>
      </c>
      <c r="AE6" s="56">
        <v>0</v>
      </c>
      <c r="AF6" s="19">
        <f t="shared" si="8"/>
        <v>0</v>
      </c>
      <c r="AG6" s="56">
        <v>135</v>
      </c>
      <c r="AH6" s="56">
        <v>76</v>
      </c>
      <c r="AI6" s="19">
        <f t="shared" si="9"/>
        <v>0.562962962962963</v>
      </c>
      <c r="AJ6" s="56">
        <v>0</v>
      </c>
      <c r="AK6" s="56">
        <v>0</v>
      </c>
      <c r="AL6" s="19">
        <f t="shared" si="10"/>
        <v>0</v>
      </c>
      <c r="AM6" s="56">
        <v>0</v>
      </c>
      <c r="AN6" s="56">
        <v>0</v>
      </c>
      <c r="AO6" s="19">
        <f t="shared" si="11"/>
        <v>0</v>
      </c>
      <c r="AP6" s="56">
        <v>0</v>
      </c>
      <c r="AQ6" s="56">
        <v>0</v>
      </c>
      <c r="AR6" s="19">
        <f t="shared" si="12"/>
        <v>0</v>
      </c>
      <c r="AS6" s="56">
        <v>0</v>
      </c>
      <c r="AT6" s="56">
        <v>0</v>
      </c>
      <c r="AU6" s="19">
        <f t="shared" si="13"/>
        <v>0</v>
      </c>
      <c r="AV6" s="56">
        <v>898</v>
      </c>
      <c r="AW6" s="56">
        <v>532</v>
      </c>
      <c r="AX6" s="19">
        <f t="shared" si="14"/>
        <v>0.59242761692650336</v>
      </c>
      <c r="AY6" s="56">
        <v>33</v>
      </c>
      <c r="AZ6" s="56">
        <v>18</v>
      </c>
      <c r="BA6" s="19">
        <f t="shared" si="15"/>
        <v>0.54545454545454541</v>
      </c>
      <c r="BB6" s="56">
        <v>0</v>
      </c>
      <c r="BC6" s="56">
        <v>0</v>
      </c>
      <c r="BD6" s="19">
        <f t="shared" si="16"/>
        <v>0</v>
      </c>
      <c r="BE6" s="56">
        <v>1480</v>
      </c>
      <c r="BF6" s="56">
        <v>1500</v>
      </c>
      <c r="BG6" s="19">
        <f t="shared" si="17"/>
        <v>1.0135135135135136</v>
      </c>
      <c r="BH6" s="56">
        <v>2811</v>
      </c>
      <c r="BI6" s="56">
        <v>2364</v>
      </c>
      <c r="BJ6" s="19">
        <f t="shared" si="18"/>
        <v>0.84098185699039485</v>
      </c>
      <c r="BK6" s="56">
        <v>0</v>
      </c>
      <c r="BL6" s="56">
        <v>0</v>
      </c>
      <c r="BM6" s="19">
        <f t="shared" si="19"/>
        <v>0</v>
      </c>
      <c r="BN6" s="56">
        <v>2946</v>
      </c>
      <c r="BO6" s="56">
        <v>2440</v>
      </c>
      <c r="BP6" s="19">
        <f t="shared" si="20"/>
        <v>0.82824168363883233</v>
      </c>
      <c r="BQ6" s="56">
        <v>5431</v>
      </c>
      <c r="BR6" s="56">
        <v>4149</v>
      </c>
      <c r="BS6" s="19">
        <f t="shared" si="21"/>
        <v>0.76394770760449271</v>
      </c>
      <c r="BT6" s="56">
        <v>1320</v>
      </c>
      <c r="BU6" s="56">
        <v>559</v>
      </c>
      <c r="BV6" s="19">
        <f t="shared" si="22"/>
        <v>0.42348484848484846</v>
      </c>
      <c r="BW6" s="56">
        <v>9000</v>
      </c>
      <c r="BX6" s="56">
        <v>3679</v>
      </c>
      <c r="BY6" s="19">
        <f t="shared" si="23"/>
        <v>0.4087777777777778</v>
      </c>
      <c r="BZ6" s="56">
        <v>1725</v>
      </c>
      <c r="CA6" s="56">
        <v>902</v>
      </c>
      <c r="CB6" s="19">
        <f t="shared" si="24"/>
        <v>0.52289855072463765</v>
      </c>
      <c r="CC6" s="56">
        <v>600</v>
      </c>
      <c r="CD6" s="56">
        <v>264</v>
      </c>
      <c r="CE6" s="19">
        <f t="shared" si="25"/>
        <v>0.44</v>
      </c>
      <c r="CF6" s="56">
        <v>32355</v>
      </c>
      <c r="CG6" s="56">
        <v>11304</v>
      </c>
      <c r="CH6" s="19">
        <f t="shared" si="26"/>
        <v>0.34937413073713491</v>
      </c>
      <c r="CI6" s="56">
        <v>37786</v>
      </c>
      <c r="CJ6" s="56">
        <v>15453</v>
      </c>
      <c r="CK6" s="19">
        <f t="shared" si="27"/>
        <v>0.40896099084316945</v>
      </c>
      <c r="CL6" s="56">
        <v>1803</v>
      </c>
      <c r="CM6" s="56">
        <v>976</v>
      </c>
      <c r="CN6" s="19">
        <f t="shared" si="28"/>
        <v>0.54132002218524677</v>
      </c>
      <c r="CO6" s="56">
        <v>600</v>
      </c>
      <c r="CP6" s="56">
        <v>264</v>
      </c>
      <c r="CQ6" s="19">
        <f t="shared" si="29"/>
        <v>0.44</v>
      </c>
      <c r="CR6" s="23">
        <v>0.77</v>
      </c>
      <c r="CS6" s="19">
        <v>0.970837253057385</v>
      </c>
      <c r="CT6" s="19">
        <f t="shared" si="30"/>
        <v>1.2608276013732271</v>
      </c>
      <c r="CU6" s="23">
        <v>0.63</v>
      </c>
      <c r="CV6" s="19">
        <v>0.94795081967213102</v>
      </c>
      <c r="CW6" s="19">
        <f t="shared" si="31"/>
        <v>1.5046838407494143</v>
      </c>
      <c r="CX6" s="23">
        <v>0.83</v>
      </c>
      <c r="CY6" s="19">
        <v>0.92671927846674196</v>
      </c>
      <c r="CZ6" s="19">
        <f t="shared" si="32"/>
        <v>1.1165292511647493</v>
      </c>
      <c r="DA6" s="23">
        <v>0.75</v>
      </c>
      <c r="DB6" s="19">
        <v>0.85898186073727301</v>
      </c>
      <c r="DC6" s="19">
        <f t="shared" si="33"/>
        <v>1.1453091476496973</v>
      </c>
      <c r="DD6" s="23">
        <v>0.8</v>
      </c>
      <c r="DE6" s="19">
        <v>0.95784931961500197</v>
      </c>
      <c r="DF6" s="19">
        <f t="shared" si="34"/>
        <v>1.1973116495187524</v>
      </c>
      <c r="DG6" s="23">
        <v>0.69000000000000006</v>
      </c>
      <c r="DH6" s="19">
        <v>0.91130392865750798</v>
      </c>
      <c r="DI6" s="19">
        <f t="shared" si="35"/>
        <v>1.3207303313876926</v>
      </c>
      <c r="DJ6" s="23">
        <v>0.89</v>
      </c>
      <c r="DK6" s="19">
        <v>0.88656195462478204</v>
      </c>
      <c r="DL6" s="19">
        <f t="shared" si="36"/>
        <v>0.99613702766829437</v>
      </c>
      <c r="DM6" s="23">
        <v>0.57499999999999996</v>
      </c>
      <c r="DN6" s="19">
        <v>0.58704883227176197</v>
      </c>
      <c r="DO6" s="19">
        <f t="shared" si="37"/>
        <v>1.0209544909074122</v>
      </c>
      <c r="DP6" s="23">
        <v>0.84499999999999997</v>
      </c>
      <c r="DQ6" s="19">
        <v>0.914834803211794</v>
      </c>
      <c r="DR6" s="19">
        <f t="shared" si="38"/>
        <v>1.0826447375287502</v>
      </c>
      <c r="DS6" s="23">
        <v>0.63250000000000006</v>
      </c>
      <c r="DT6" s="19">
        <v>0.674108587329321</v>
      </c>
      <c r="DU6" s="19">
        <f t="shared" si="39"/>
        <v>1.0657843277933927</v>
      </c>
      <c r="DV6" s="57">
        <v>0.83593109105824448</v>
      </c>
      <c r="DW6" s="19">
        <v>0.88217213114754101</v>
      </c>
      <c r="DX6" s="19">
        <f t="shared" si="40"/>
        <v>1.0553168085072153</v>
      </c>
      <c r="DY6" s="57">
        <v>0.61009999999999998</v>
      </c>
      <c r="DZ6" s="19">
        <v>1</v>
      </c>
      <c r="EA6" s="19">
        <f t="shared" si="41"/>
        <v>1.6390755613833798</v>
      </c>
      <c r="EB6" s="16">
        <v>1167</v>
      </c>
      <c r="EC6" s="56">
        <v>81</v>
      </c>
      <c r="ED6" s="19">
        <f t="shared" si="42"/>
        <v>6.9408740359897178E-2</v>
      </c>
      <c r="EE6" s="16">
        <v>326</v>
      </c>
      <c r="EF6" s="56">
        <v>68</v>
      </c>
      <c r="EG6" s="19">
        <f t="shared" si="43"/>
        <v>0.20858895705521471</v>
      </c>
      <c r="EH6" s="16">
        <v>1493</v>
      </c>
      <c r="EI6" s="56">
        <v>149</v>
      </c>
      <c r="EJ6" s="19">
        <f t="shared" si="44"/>
        <v>9.9799062290689883E-2</v>
      </c>
      <c r="EK6" s="16">
        <v>15220</v>
      </c>
      <c r="EL6" s="56">
        <v>2446</v>
      </c>
      <c r="EM6" s="19">
        <f t="shared" si="45"/>
        <v>0.1607095926412615</v>
      </c>
      <c r="EN6" s="16">
        <v>16713</v>
      </c>
      <c r="EO6" s="56">
        <v>2595</v>
      </c>
      <c r="EP6" s="19">
        <f t="shared" si="46"/>
        <v>0.15526835397594688</v>
      </c>
      <c r="EQ6" s="16">
        <v>597</v>
      </c>
      <c r="ER6" s="56">
        <v>0</v>
      </c>
      <c r="ES6" s="19">
        <f t="shared" si="47"/>
        <v>0</v>
      </c>
      <c r="ET6" s="56">
        <v>1338</v>
      </c>
      <c r="EU6" s="56">
        <v>149</v>
      </c>
      <c r="EV6" s="19">
        <f t="shared" si="48"/>
        <v>0.11136023916292975</v>
      </c>
      <c r="EW6" s="56">
        <v>366</v>
      </c>
      <c r="EX6" s="56">
        <v>0</v>
      </c>
      <c r="EY6" s="19">
        <f t="shared" si="49"/>
        <v>0</v>
      </c>
    </row>
    <row r="7" spans="1:155" s="58" customFormat="1" x14ac:dyDescent="0.3">
      <c r="A7" s="34" t="s">
        <v>86</v>
      </c>
      <c r="B7" s="20">
        <v>5</v>
      </c>
      <c r="C7" s="20" t="s">
        <v>4</v>
      </c>
      <c r="D7" s="20">
        <v>9201</v>
      </c>
      <c r="E7" s="20" t="s">
        <v>79</v>
      </c>
      <c r="F7" s="56">
        <v>1293</v>
      </c>
      <c r="G7" s="56">
        <v>889</v>
      </c>
      <c r="H7" s="19">
        <f t="shared" si="0"/>
        <v>0.68754833720030939</v>
      </c>
      <c r="I7" s="56">
        <v>0</v>
      </c>
      <c r="J7" s="56">
        <v>0</v>
      </c>
      <c r="K7" s="19">
        <f t="shared" si="1"/>
        <v>0</v>
      </c>
      <c r="L7" s="56">
        <v>0</v>
      </c>
      <c r="M7" s="56">
        <v>0</v>
      </c>
      <c r="N7" s="19">
        <f t="shared" si="2"/>
        <v>0</v>
      </c>
      <c r="O7" s="56">
        <v>0</v>
      </c>
      <c r="P7" s="56">
        <v>0</v>
      </c>
      <c r="Q7" s="19">
        <f t="shared" si="3"/>
        <v>0</v>
      </c>
      <c r="R7" s="56">
        <v>2485</v>
      </c>
      <c r="S7" s="56">
        <v>1842</v>
      </c>
      <c r="T7" s="19">
        <f t="shared" si="4"/>
        <v>0.74124748490945669</v>
      </c>
      <c r="U7" s="56">
        <v>2485</v>
      </c>
      <c r="V7" s="56">
        <v>1842</v>
      </c>
      <c r="W7" s="19">
        <f t="shared" si="5"/>
        <v>0.74124748490945669</v>
      </c>
      <c r="X7" s="56">
        <v>90</v>
      </c>
      <c r="Y7" s="56">
        <v>20</v>
      </c>
      <c r="Z7" s="19">
        <f t="shared" si="6"/>
        <v>0.22222222222222221</v>
      </c>
      <c r="AA7" s="56">
        <v>45</v>
      </c>
      <c r="AB7" s="56">
        <v>56</v>
      </c>
      <c r="AC7" s="19">
        <f t="shared" si="7"/>
        <v>1.2444444444444445</v>
      </c>
      <c r="AD7" s="56">
        <v>0</v>
      </c>
      <c r="AE7" s="56">
        <v>0</v>
      </c>
      <c r="AF7" s="19">
        <f t="shared" si="8"/>
        <v>0</v>
      </c>
      <c r="AG7" s="56">
        <v>135</v>
      </c>
      <c r="AH7" s="56">
        <v>76</v>
      </c>
      <c r="AI7" s="19">
        <f t="shared" si="9"/>
        <v>0.562962962962963</v>
      </c>
      <c r="AJ7" s="56">
        <v>0</v>
      </c>
      <c r="AK7" s="56">
        <v>0</v>
      </c>
      <c r="AL7" s="19">
        <f t="shared" si="10"/>
        <v>0</v>
      </c>
      <c r="AM7" s="56">
        <v>0</v>
      </c>
      <c r="AN7" s="56">
        <v>0</v>
      </c>
      <c r="AO7" s="19">
        <f t="shared" si="11"/>
        <v>0</v>
      </c>
      <c r="AP7" s="56">
        <v>0</v>
      </c>
      <c r="AQ7" s="56">
        <v>0</v>
      </c>
      <c r="AR7" s="19">
        <f t="shared" si="12"/>
        <v>0</v>
      </c>
      <c r="AS7" s="56">
        <v>0</v>
      </c>
      <c r="AT7" s="56">
        <v>0</v>
      </c>
      <c r="AU7" s="19">
        <f t="shared" si="13"/>
        <v>0</v>
      </c>
      <c r="AV7" s="56">
        <v>898</v>
      </c>
      <c r="AW7" s="56">
        <v>534</v>
      </c>
      <c r="AX7" s="19">
        <f t="shared" si="14"/>
        <v>0.59465478841870822</v>
      </c>
      <c r="AY7" s="56">
        <v>33</v>
      </c>
      <c r="AZ7" s="56">
        <v>18</v>
      </c>
      <c r="BA7" s="19">
        <f t="shared" si="15"/>
        <v>0.54545454545454541</v>
      </c>
      <c r="BB7" s="56">
        <v>0</v>
      </c>
      <c r="BC7" s="56">
        <v>0</v>
      </c>
      <c r="BD7" s="19">
        <f t="shared" si="16"/>
        <v>0</v>
      </c>
      <c r="BE7" s="56">
        <v>1480</v>
      </c>
      <c r="BF7" s="56">
        <v>1501</v>
      </c>
      <c r="BG7" s="19">
        <f t="shared" si="17"/>
        <v>1.0141891891891892</v>
      </c>
      <c r="BH7" s="56">
        <v>2811</v>
      </c>
      <c r="BI7" s="56">
        <v>2444</v>
      </c>
      <c r="BJ7" s="19">
        <f t="shared" si="18"/>
        <v>0.86944147990039133</v>
      </c>
      <c r="BK7" s="56">
        <v>0</v>
      </c>
      <c r="BL7" s="56">
        <v>0</v>
      </c>
      <c r="BM7" s="19">
        <f t="shared" si="19"/>
        <v>0</v>
      </c>
      <c r="BN7" s="56">
        <v>2946</v>
      </c>
      <c r="BO7" s="56">
        <v>2520</v>
      </c>
      <c r="BP7" s="19">
        <f t="shared" si="20"/>
        <v>0.85539714867617112</v>
      </c>
      <c r="BQ7" s="56">
        <v>5431</v>
      </c>
      <c r="BR7" s="56">
        <v>4362</v>
      </c>
      <c r="BS7" s="19">
        <f t="shared" si="21"/>
        <v>0.80316700423494747</v>
      </c>
      <c r="BT7" s="56">
        <v>1320</v>
      </c>
      <c r="BU7" s="56">
        <v>843</v>
      </c>
      <c r="BV7" s="19">
        <f t="shared" si="22"/>
        <v>0.63863636363636367</v>
      </c>
      <c r="BW7" s="56">
        <v>9000</v>
      </c>
      <c r="BX7" s="56">
        <v>4443</v>
      </c>
      <c r="BY7" s="19">
        <f t="shared" si="23"/>
        <v>0.49366666666666664</v>
      </c>
      <c r="BZ7" s="56">
        <v>1725</v>
      </c>
      <c r="CA7" s="56">
        <v>1052</v>
      </c>
      <c r="CB7" s="19">
        <f t="shared" si="24"/>
        <v>0.60985507246376813</v>
      </c>
      <c r="CC7" s="56">
        <v>600</v>
      </c>
      <c r="CD7" s="56">
        <v>409</v>
      </c>
      <c r="CE7" s="19">
        <f t="shared" si="25"/>
        <v>0.68166666666666664</v>
      </c>
      <c r="CF7" s="56">
        <v>32355</v>
      </c>
      <c r="CG7" s="56">
        <v>13735</v>
      </c>
      <c r="CH7" s="19">
        <f t="shared" si="26"/>
        <v>0.42450934940503787</v>
      </c>
      <c r="CI7" s="56">
        <v>37786</v>
      </c>
      <c r="CJ7" s="56">
        <v>18097</v>
      </c>
      <c r="CK7" s="19">
        <f t="shared" si="27"/>
        <v>0.47893399671836129</v>
      </c>
      <c r="CL7" s="56">
        <v>1803</v>
      </c>
      <c r="CM7" s="56">
        <v>1126</v>
      </c>
      <c r="CN7" s="19">
        <f t="shared" si="28"/>
        <v>0.6245146977260122</v>
      </c>
      <c r="CO7" s="56">
        <v>600</v>
      </c>
      <c r="CP7" s="56">
        <v>409</v>
      </c>
      <c r="CQ7" s="19">
        <f t="shared" si="29"/>
        <v>0.68166666666666664</v>
      </c>
      <c r="CR7" s="23">
        <v>0.77</v>
      </c>
      <c r="CS7" s="19">
        <v>0.96101456082667902</v>
      </c>
      <c r="CT7" s="19">
        <f t="shared" si="30"/>
        <v>1.2480708582164661</v>
      </c>
      <c r="CU7" s="23">
        <v>0.63</v>
      </c>
      <c r="CV7" s="19">
        <v>0.93968253968254001</v>
      </c>
      <c r="CW7" s="19">
        <f t="shared" si="31"/>
        <v>1.4915595867976825</v>
      </c>
      <c r="CX7" s="23">
        <v>0.83</v>
      </c>
      <c r="CY7" s="19">
        <v>0.91226096737907802</v>
      </c>
      <c r="CZ7" s="19">
        <f t="shared" si="32"/>
        <v>1.0991095992519013</v>
      </c>
      <c r="DA7" s="23">
        <v>0.75</v>
      </c>
      <c r="DB7" s="19">
        <v>0.86102062975027105</v>
      </c>
      <c r="DC7" s="19">
        <f t="shared" si="33"/>
        <v>1.1480275063336947</v>
      </c>
      <c r="DD7" s="23">
        <v>0.8</v>
      </c>
      <c r="DE7" s="19">
        <v>0.94665341285619597</v>
      </c>
      <c r="DF7" s="19">
        <f t="shared" si="34"/>
        <v>1.1833167660702448</v>
      </c>
      <c r="DG7" s="23">
        <v>0.69000000000000006</v>
      </c>
      <c r="DH7" s="19">
        <v>0.90646492434662995</v>
      </c>
      <c r="DI7" s="19">
        <f t="shared" si="35"/>
        <v>1.3137172816617824</v>
      </c>
      <c r="DJ7" s="23">
        <v>0.89</v>
      </c>
      <c r="DK7" s="19">
        <v>0.86548672566371698</v>
      </c>
      <c r="DL7" s="19">
        <f t="shared" si="36"/>
        <v>0.97245699512777184</v>
      </c>
      <c r="DM7" s="23">
        <v>0.57499999999999996</v>
      </c>
      <c r="DN7" s="19">
        <v>0.59643247178740499</v>
      </c>
      <c r="DO7" s="19">
        <f t="shared" si="37"/>
        <v>1.0372738639780956</v>
      </c>
      <c r="DP7" s="23">
        <v>0.84499999999999997</v>
      </c>
      <c r="DQ7" s="19">
        <v>0.89201776237409303</v>
      </c>
      <c r="DR7" s="19">
        <f t="shared" si="38"/>
        <v>1.0556423223362048</v>
      </c>
      <c r="DS7" s="23">
        <v>0.63250000000000006</v>
      </c>
      <c r="DT7" s="19">
        <v>0.67116096590595098</v>
      </c>
      <c r="DU7" s="19">
        <f t="shared" si="39"/>
        <v>1.0611240567683018</v>
      </c>
      <c r="DV7" s="57">
        <v>0.83593109105824448</v>
      </c>
      <c r="DW7" s="19">
        <v>0.84547069271758402</v>
      </c>
      <c r="DX7" s="19">
        <f t="shared" si="40"/>
        <v>1.0114119474217222</v>
      </c>
      <c r="DY7" s="57">
        <v>0.61009999999999998</v>
      </c>
      <c r="DZ7" s="19">
        <v>0.92176039119804398</v>
      </c>
      <c r="EA7" s="19">
        <f t="shared" si="41"/>
        <v>1.5108349306638977</v>
      </c>
      <c r="EB7" s="16">
        <v>1167</v>
      </c>
      <c r="EC7" s="56">
        <v>105</v>
      </c>
      <c r="ED7" s="19">
        <f t="shared" si="42"/>
        <v>8.9974293059125965E-2</v>
      </c>
      <c r="EE7" s="16">
        <v>326</v>
      </c>
      <c r="EF7" s="56">
        <v>116</v>
      </c>
      <c r="EG7" s="19">
        <f t="shared" si="43"/>
        <v>0.35582822085889571</v>
      </c>
      <c r="EH7" s="16">
        <v>1493</v>
      </c>
      <c r="EI7" s="56">
        <v>221</v>
      </c>
      <c r="EJ7" s="19">
        <f t="shared" si="44"/>
        <v>0.14802411252511721</v>
      </c>
      <c r="EK7" s="16">
        <v>15220</v>
      </c>
      <c r="EL7" s="56">
        <v>3575</v>
      </c>
      <c r="EM7" s="19">
        <f t="shared" si="45"/>
        <v>0.23488830486202367</v>
      </c>
      <c r="EN7" s="16">
        <v>16713</v>
      </c>
      <c r="EO7" s="56">
        <v>3796</v>
      </c>
      <c r="EP7" s="19">
        <f t="shared" si="46"/>
        <v>0.2271285825405373</v>
      </c>
      <c r="EQ7" s="16">
        <v>597</v>
      </c>
      <c r="ER7" s="56">
        <v>0</v>
      </c>
      <c r="ES7" s="19">
        <f t="shared" si="47"/>
        <v>0</v>
      </c>
      <c r="ET7" s="56">
        <v>1338</v>
      </c>
      <c r="EU7" s="56">
        <v>375</v>
      </c>
      <c r="EV7" s="19">
        <f t="shared" si="48"/>
        <v>0.2802690582959641</v>
      </c>
      <c r="EW7" s="56">
        <v>366</v>
      </c>
      <c r="EX7" s="56">
        <v>80</v>
      </c>
      <c r="EY7" s="19">
        <f t="shared" si="49"/>
        <v>0.21857923497267759</v>
      </c>
    </row>
    <row r="8" spans="1:155" s="58" customFormat="1" x14ac:dyDescent="0.3">
      <c r="A8" s="34" t="s">
        <v>87</v>
      </c>
      <c r="B8" s="20">
        <v>5</v>
      </c>
      <c r="C8" s="20" t="s">
        <v>4</v>
      </c>
      <c r="D8" s="20">
        <v>9201</v>
      </c>
      <c r="E8" s="20" t="s">
        <v>79</v>
      </c>
      <c r="F8" s="56">
        <v>1293</v>
      </c>
      <c r="G8" s="56">
        <v>1005</v>
      </c>
      <c r="H8" s="19">
        <f t="shared" si="0"/>
        <v>0.77726218097447797</v>
      </c>
      <c r="I8" s="56">
        <v>0</v>
      </c>
      <c r="J8" s="56">
        <v>0</v>
      </c>
      <c r="K8" s="19">
        <f t="shared" si="1"/>
        <v>0</v>
      </c>
      <c r="L8" s="56">
        <v>0</v>
      </c>
      <c r="M8" s="56">
        <v>0</v>
      </c>
      <c r="N8" s="19">
        <f t="shared" si="2"/>
        <v>0</v>
      </c>
      <c r="O8" s="56">
        <v>0</v>
      </c>
      <c r="P8" s="56">
        <v>0</v>
      </c>
      <c r="Q8" s="19">
        <f t="shared" si="3"/>
        <v>0</v>
      </c>
      <c r="R8" s="56">
        <v>2485</v>
      </c>
      <c r="S8" s="56">
        <v>1957</v>
      </c>
      <c r="T8" s="19">
        <f t="shared" si="4"/>
        <v>0.78752515090543262</v>
      </c>
      <c r="U8" s="56">
        <v>2485</v>
      </c>
      <c r="V8" s="56">
        <v>1957</v>
      </c>
      <c r="W8" s="19">
        <f t="shared" si="5"/>
        <v>0.78752515090543262</v>
      </c>
      <c r="X8" s="56">
        <v>90</v>
      </c>
      <c r="Y8" s="56">
        <v>20</v>
      </c>
      <c r="Z8" s="19">
        <f t="shared" si="6"/>
        <v>0.22222222222222221</v>
      </c>
      <c r="AA8" s="56">
        <v>45</v>
      </c>
      <c r="AB8" s="56">
        <v>56</v>
      </c>
      <c r="AC8" s="19">
        <f t="shared" si="7"/>
        <v>1.2444444444444445</v>
      </c>
      <c r="AD8" s="56">
        <v>0</v>
      </c>
      <c r="AE8" s="56">
        <v>0</v>
      </c>
      <c r="AF8" s="19">
        <f t="shared" si="8"/>
        <v>0</v>
      </c>
      <c r="AG8" s="56">
        <v>135</v>
      </c>
      <c r="AH8" s="56">
        <v>76</v>
      </c>
      <c r="AI8" s="19">
        <f t="shared" si="9"/>
        <v>0.562962962962963</v>
      </c>
      <c r="AJ8" s="56">
        <v>0</v>
      </c>
      <c r="AK8" s="56">
        <v>0</v>
      </c>
      <c r="AL8" s="19">
        <f t="shared" si="10"/>
        <v>0</v>
      </c>
      <c r="AM8" s="56">
        <v>0</v>
      </c>
      <c r="AN8" s="56">
        <v>0</v>
      </c>
      <c r="AO8" s="19">
        <f t="shared" si="11"/>
        <v>0</v>
      </c>
      <c r="AP8" s="56">
        <v>0</v>
      </c>
      <c r="AQ8" s="56">
        <v>0</v>
      </c>
      <c r="AR8" s="19">
        <f t="shared" si="12"/>
        <v>0</v>
      </c>
      <c r="AS8" s="56">
        <v>0</v>
      </c>
      <c r="AT8" s="56">
        <v>0</v>
      </c>
      <c r="AU8" s="19">
        <f t="shared" si="13"/>
        <v>0</v>
      </c>
      <c r="AV8" s="56">
        <v>898</v>
      </c>
      <c r="AW8" s="56">
        <v>558</v>
      </c>
      <c r="AX8" s="19">
        <f t="shared" si="14"/>
        <v>0.62138084632516699</v>
      </c>
      <c r="AY8" s="56">
        <v>33</v>
      </c>
      <c r="AZ8" s="56">
        <v>18</v>
      </c>
      <c r="BA8" s="19">
        <f t="shared" si="15"/>
        <v>0.54545454545454541</v>
      </c>
      <c r="BB8" s="56">
        <v>0</v>
      </c>
      <c r="BC8" s="56">
        <v>0</v>
      </c>
      <c r="BD8" s="19">
        <f t="shared" si="16"/>
        <v>0</v>
      </c>
      <c r="BE8" s="56">
        <v>1480</v>
      </c>
      <c r="BF8" s="56">
        <v>1500</v>
      </c>
      <c r="BG8" s="19">
        <f t="shared" si="17"/>
        <v>1.0135135135135136</v>
      </c>
      <c r="BH8" s="56">
        <v>2811</v>
      </c>
      <c r="BI8" s="56">
        <v>2467</v>
      </c>
      <c r="BJ8" s="19">
        <f t="shared" si="18"/>
        <v>0.87762362148701534</v>
      </c>
      <c r="BK8" s="56">
        <v>0</v>
      </c>
      <c r="BL8" s="56">
        <v>0</v>
      </c>
      <c r="BM8" s="19">
        <f t="shared" si="19"/>
        <v>0</v>
      </c>
      <c r="BN8" s="56">
        <v>2946</v>
      </c>
      <c r="BO8" s="56">
        <v>2543</v>
      </c>
      <c r="BP8" s="19">
        <f t="shared" si="20"/>
        <v>0.863204344874406</v>
      </c>
      <c r="BQ8" s="56">
        <v>5431</v>
      </c>
      <c r="BR8" s="56">
        <v>4500</v>
      </c>
      <c r="BS8" s="19">
        <f t="shared" si="21"/>
        <v>0.82857668937580553</v>
      </c>
      <c r="BT8" s="56">
        <v>1320</v>
      </c>
      <c r="BU8" s="56">
        <v>1018</v>
      </c>
      <c r="BV8" s="19">
        <f t="shared" si="22"/>
        <v>0.77121212121212124</v>
      </c>
      <c r="BW8" s="56">
        <v>9000</v>
      </c>
      <c r="BX8" s="56">
        <v>5498</v>
      </c>
      <c r="BY8" s="19">
        <f t="shared" si="23"/>
        <v>0.61088888888888893</v>
      </c>
      <c r="BZ8" s="56">
        <v>1725</v>
      </c>
      <c r="CA8" s="56">
        <v>1448</v>
      </c>
      <c r="CB8" s="19">
        <f t="shared" si="24"/>
        <v>0.83942028985507244</v>
      </c>
      <c r="CC8" s="56">
        <v>600</v>
      </c>
      <c r="CD8" s="56">
        <v>651</v>
      </c>
      <c r="CE8" s="19">
        <f t="shared" si="25"/>
        <v>1.085</v>
      </c>
      <c r="CF8" s="56">
        <v>32355</v>
      </c>
      <c r="CG8" s="56">
        <v>16941</v>
      </c>
      <c r="CH8" s="19">
        <f t="shared" si="26"/>
        <v>0.52359758924432087</v>
      </c>
      <c r="CI8" s="56">
        <v>37786</v>
      </c>
      <c r="CJ8" s="56">
        <v>21441</v>
      </c>
      <c r="CK8" s="19">
        <f t="shared" si="27"/>
        <v>0.56743238236383842</v>
      </c>
      <c r="CL8" s="56">
        <v>1803</v>
      </c>
      <c r="CM8" s="56">
        <v>1522</v>
      </c>
      <c r="CN8" s="19">
        <f t="shared" si="28"/>
        <v>0.84414864115363286</v>
      </c>
      <c r="CO8" s="56">
        <v>600</v>
      </c>
      <c r="CP8" s="56">
        <v>651</v>
      </c>
      <c r="CQ8" s="19">
        <f t="shared" si="29"/>
        <v>1.085</v>
      </c>
      <c r="CR8" s="23">
        <v>0.77</v>
      </c>
      <c r="CS8" s="19">
        <v>0.96189591078066905</v>
      </c>
      <c r="CT8" s="19">
        <f t="shared" si="30"/>
        <v>1.2492154685463235</v>
      </c>
      <c r="CU8" s="23">
        <v>0.63</v>
      </c>
      <c r="CV8" s="19">
        <v>0.94062131340935895</v>
      </c>
      <c r="CW8" s="19">
        <f t="shared" si="31"/>
        <v>1.4930497038243793</v>
      </c>
      <c r="CX8" s="23">
        <v>0.83</v>
      </c>
      <c r="CY8" s="19">
        <v>0.91840796019900495</v>
      </c>
      <c r="CZ8" s="19">
        <f t="shared" si="32"/>
        <v>1.1065156146975963</v>
      </c>
      <c r="DA8" s="23">
        <v>0.75</v>
      </c>
      <c r="DB8" s="19">
        <v>0.862033725089423</v>
      </c>
      <c r="DC8" s="19">
        <f t="shared" si="33"/>
        <v>1.1493783001192306</v>
      </c>
      <c r="DD8" s="23">
        <v>0.8</v>
      </c>
      <c r="DE8" s="19">
        <v>0.94805194805194803</v>
      </c>
      <c r="DF8" s="19">
        <f t="shared" si="34"/>
        <v>1.1850649350649349</v>
      </c>
      <c r="DG8" s="23">
        <v>0.69000000000000006</v>
      </c>
      <c r="DH8" s="19">
        <v>0.90644444444444405</v>
      </c>
      <c r="DI8" s="19">
        <f t="shared" si="35"/>
        <v>1.3136876006441216</v>
      </c>
      <c r="DJ8" s="23">
        <v>0.89</v>
      </c>
      <c r="DK8" s="19">
        <v>0.85572509614191805</v>
      </c>
      <c r="DL8" s="19">
        <f t="shared" si="36"/>
        <v>0.96148887206957079</v>
      </c>
      <c r="DM8" s="23">
        <v>0.57499999999999996</v>
      </c>
      <c r="DN8" s="19">
        <v>0.61814532790272103</v>
      </c>
      <c r="DO8" s="19">
        <f t="shared" si="37"/>
        <v>1.0750353528742975</v>
      </c>
      <c r="DP8" s="23">
        <v>0.84499999999999997</v>
      </c>
      <c r="DQ8" s="19">
        <v>0.88170796933499695</v>
      </c>
      <c r="DR8" s="19">
        <f t="shared" si="38"/>
        <v>1.0434413838283989</v>
      </c>
      <c r="DS8" s="23">
        <v>0.63250000000000006</v>
      </c>
      <c r="DT8" s="19">
        <v>0.67865304789888503</v>
      </c>
      <c r="DU8" s="19">
        <f t="shared" si="39"/>
        <v>1.0729692456899367</v>
      </c>
      <c r="DV8" s="57">
        <v>0.83593109105824448</v>
      </c>
      <c r="DW8" s="19">
        <v>0.85611038107753001</v>
      </c>
      <c r="DX8" s="19">
        <f t="shared" si="40"/>
        <v>1.0241398965000088</v>
      </c>
      <c r="DY8" s="57">
        <v>0.61009999999999998</v>
      </c>
      <c r="DZ8" s="19">
        <v>0.95084485407066099</v>
      </c>
      <c r="EA8" s="19">
        <f t="shared" si="41"/>
        <v>1.5585065629743666</v>
      </c>
      <c r="EB8" s="16">
        <v>1167</v>
      </c>
      <c r="EC8" s="56">
        <v>110</v>
      </c>
      <c r="ED8" s="19">
        <f t="shared" si="42"/>
        <v>9.4258783204798635E-2</v>
      </c>
      <c r="EE8" s="16">
        <v>326</v>
      </c>
      <c r="EF8" s="56">
        <v>149</v>
      </c>
      <c r="EG8" s="19">
        <f t="shared" si="43"/>
        <v>0.45705521472392641</v>
      </c>
      <c r="EH8" s="16">
        <v>1493</v>
      </c>
      <c r="EI8" s="56">
        <v>259</v>
      </c>
      <c r="EJ8" s="19">
        <f t="shared" si="44"/>
        <v>0.17347622237106497</v>
      </c>
      <c r="EK8" s="16">
        <v>15220</v>
      </c>
      <c r="EL8" s="56">
        <v>5119</v>
      </c>
      <c r="EM8" s="19">
        <f t="shared" si="45"/>
        <v>0.33633377135348225</v>
      </c>
      <c r="EN8" s="16">
        <v>16713</v>
      </c>
      <c r="EO8" s="56">
        <v>5378</v>
      </c>
      <c r="EP8" s="19">
        <f t="shared" si="46"/>
        <v>0.32178543648656732</v>
      </c>
      <c r="EQ8" s="16">
        <v>597</v>
      </c>
      <c r="ER8" s="56">
        <v>0</v>
      </c>
      <c r="ES8" s="19">
        <f t="shared" si="47"/>
        <v>0</v>
      </c>
      <c r="ET8" s="56">
        <v>1338</v>
      </c>
      <c r="EU8" s="56">
        <v>600</v>
      </c>
      <c r="EV8" s="19">
        <f t="shared" si="48"/>
        <v>0.44843049327354262</v>
      </c>
      <c r="EW8" s="56">
        <v>366</v>
      </c>
      <c r="EX8" s="56">
        <v>123</v>
      </c>
      <c r="EY8" s="19">
        <f t="shared" si="49"/>
        <v>0.33606557377049179</v>
      </c>
    </row>
    <row r="9" spans="1:155" s="58" customFormat="1" x14ac:dyDescent="0.3">
      <c r="A9" s="34" t="s">
        <v>88</v>
      </c>
      <c r="B9" s="20">
        <v>5</v>
      </c>
      <c r="C9" s="20" t="s">
        <v>4</v>
      </c>
      <c r="D9" s="20">
        <v>9201</v>
      </c>
      <c r="E9" s="20" t="s">
        <v>79</v>
      </c>
      <c r="F9" s="56">
        <v>1293</v>
      </c>
      <c r="G9" s="56">
        <v>1008</v>
      </c>
      <c r="H9" s="19">
        <f t="shared" si="0"/>
        <v>0.77958236658932711</v>
      </c>
      <c r="I9" s="56">
        <v>0</v>
      </c>
      <c r="J9" s="56">
        <v>0</v>
      </c>
      <c r="K9" s="19">
        <f t="shared" si="1"/>
        <v>0</v>
      </c>
      <c r="L9" s="56">
        <v>0</v>
      </c>
      <c r="M9" s="56">
        <v>0</v>
      </c>
      <c r="N9" s="19">
        <f t="shared" si="2"/>
        <v>0</v>
      </c>
      <c r="O9" s="56">
        <v>0</v>
      </c>
      <c r="P9" s="56">
        <v>0</v>
      </c>
      <c r="Q9" s="19">
        <f t="shared" si="3"/>
        <v>0</v>
      </c>
      <c r="R9" s="56">
        <v>2485</v>
      </c>
      <c r="S9" s="56">
        <v>1960</v>
      </c>
      <c r="T9" s="19">
        <f t="shared" si="4"/>
        <v>0.78873239436619713</v>
      </c>
      <c r="U9" s="56">
        <v>2485</v>
      </c>
      <c r="V9" s="56">
        <v>1960</v>
      </c>
      <c r="W9" s="19">
        <f t="shared" si="5"/>
        <v>0.78873239436619713</v>
      </c>
      <c r="X9" s="56">
        <v>90</v>
      </c>
      <c r="Y9" s="56">
        <v>20</v>
      </c>
      <c r="Z9" s="19">
        <f t="shared" si="6"/>
        <v>0.22222222222222221</v>
      </c>
      <c r="AA9" s="56">
        <v>45</v>
      </c>
      <c r="AB9" s="56">
        <v>56</v>
      </c>
      <c r="AC9" s="19">
        <f t="shared" si="7"/>
        <v>1.2444444444444445</v>
      </c>
      <c r="AD9" s="56">
        <v>0</v>
      </c>
      <c r="AE9" s="56">
        <v>0</v>
      </c>
      <c r="AF9" s="19">
        <f t="shared" si="8"/>
        <v>0</v>
      </c>
      <c r="AG9" s="56">
        <v>135</v>
      </c>
      <c r="AH9" s="56">
        <v>76</v>
      </c>
      <c r="AI9" s="19">
        <f t="shared" si="9"/>
        <v>0.562962962962963</v>
      </c>
      <c r="AJ9" s="56">
        <v>0</v>
      </c>
      <c r="AK9" s="56">
        <v>0</v>
      </c>
      <c r="AL9" s="19">
        <f t="shared" si="10"/>
        <v>0</v>
      </c>
      <c r="AM9" s="56">
        <v>0</v>
      </c>
      <c r="AN9" s="56">
        <v>0</v>
      </c>
      <c r="AO9" s="19">
        <f t="shared" si="11"/>
        <v>0</v>
      </c>
      <c r="AP9" s="56">
        <v>0</v>
      </c>
      <c r="AQ9" s="56">
        <v>0</v>
      </c>
      <c r="AR9" s="19">
        <f t="shared" si="12"/>
        <v>0</v>
      </c>
      <c r="AS9" s="56">
        <v>0</v>
      </c>
      <c r="AT9" s="56">
        <v>0</v>
      </c>
      <c r="AU9" s="19">
        <f t="shared" si="13"/>
        <v>0</v>
      </c>
      <c r="AV9" s="56">
        <v>898</v>
      </c>
      <c r="AW9" s="56">
        <v>607</v>
      </c>
      <c r="AX9" s="19">
        <f t="shared" si="14"/>
        <v>0.67594654788418707</v>
      </c>
      <c r="AY9" s="56">
        <v>33</v>
      </c>
      <c r="AZ9" s="56">
        <v>18</v>
      </c>
      <c r="BA9" s="19">
        <f t="shared" si="15"/>
        <v>0.54545454545454541</v>
      </c>
      <c r="BB9" s="56">
        <v>0</v>
      </c>
      <c r="BC9" s="56">
        <v>0</v>
      </c>
      <c r="BD9" s="19">
        <f t="shared" si="16"/>
        <v>0</v>
      </c>
      <c r="BE9" s="56">
        <v>1480</v>
      </c>
      <c r="BF9" s="56">
        <v>1500</v>
      </c>
      <c r="BG9" s="19">
        <f t="shared" si="17"/>
        <v>1.0135135135135136</v>
      </c>
      <c r="BH9" s="56">
        <v>2811</v>
      </c>
      <c r="BI9" s="56">
        <v>2516</v>
      </c>
      <c r="BJ9" s="19">
        <f t="shared" si="18"/>
        <v>0.89505514051938817</v>
      </c>
      <c r="BK9" s="56">
        <v>0</v>
      </c>
      <c r="BL9" s="56">
        <v>0</v>
      </c>
      <c r="BM9" s="19">
        <f t="shared" si="19"/>
        <v>0</v>
      </c>
      <c r="BN9" s="56">
        <v>2946</v>
      </c>
      <c r="BO9" s="56">
        <v>2592</v>
      </c>
      <c r="BP9" s="19">
        <f t="shared" si="20"/>
        <v>0.87983706720977595</v>
      </c>
      <c r="BQ9" s="56">
        <v>5431</v>
      </c>
      <c r="BR9" s="56">
        <v>4552</v>
      </c>
      <c r="BS9" s="19">
        <f t="shared" si="21"/>
        <v>0.83815135334192603</v>
      </c>
      <c r="BT9" s="56">
        <v>1320</v>
      </c>
      <c r="BU9" s="56">
        <v>1326</v>
      </c>
      <c r="BV9" s="19">
        <f t="shared" si="22"/>
        <v>1.0045454545454546</v>
      </c>
      <c r="BW9" s="56">
        <v>9000</v>
      </c>
      <c r="BX9" s="56">
        <v>6446</v>
      </c>
      <c r="BY9" s="19">
        <f t="shared" si="23"/>
        <v>0.7162222222222222</v>
      </c>
      <c r="BZ9" s="56">
        <v>1725</v>
      </c>
      <c r="CA9" s="56">
        <v>2005</v>
      </c>
      <c r="CB9" s="19">
        <f t="shared" si="24"/>
        <v>1.1623188405797102</v>
      </c>
      <c r="CC9" s="56">
        <v>600</v>
      </c>
      <c r="CD9" s="56">
        <v>738</v>
      </c>
      <c r="CE9" s="19">
        <f t="shared" si="25"/>
        <v>1.23</v>
      </c>
      <c r="CF9" s="56">
        <v>32355</v>
      </c>
      <c r="CG9" s="56">
        <v>20144</v>
      </c>
      <c r="CH9" s="19">
        <f t="shared" si="26"/>
        <v>0.62259310771132748</v>
      </c>
      <c r="CI9" s="56">
        <v>37786</v>
      </c>
      <c r="CJ9" s="56">
        <v>24696</v>
      </c>
      <c r="CK9" s="19">
        <f t="shared" si="27"/>
        <v>0.65357539829566502</v>
      </c>
      <c r="CL9" s="56">
        <v>1803</v>
      </c>
      <c r="CM9" s="56">
        <v>2079</v>
      </c>
      <c r="CN9" s="19">
        <f t="shared" si="28"/>
        <v>1.1530782029950084</v>
      </c>
      <c r="CO9" s="56">
        <v>600</v>
      </c>
      <c r="CP9" s="56">
        <v>738</v>
      </c>
      <c r="CQ9" s="19">
        <f t="shared" si="29"/>
        <v>1.23</v>
      </c>
      <c r="CR9" s="23">
        <v>0.77</v>
      </c>
      <c r="CS9" s="19">
        <v>0.95320308950477095</v>
      </c>
      <c r="CT9" s="19">
        <f t="shared" si="30"/>
        <v>1.2379260902659364</v>
      </c>
      <c r="CU9" s="23">
        <v>0.63</v>
      </c>
      <c r="CV9" s="19">
        <v>0.92399691358024705</v>
      </c>
      <c r="CW9" s="19">
        <f t="shared" si="31"/>
        <v>1.4666617675876936</v>
      </c>
      <c r="CX9" s="23">
        <v>0.83</v>
      </c>
      <c r="CY9" s="19">
        <v>0.91666666666666596</v>
      </c>
      <c r="CZ9" s="19">
        <f t="shared" si="32"/>
        <v>1.1044176706827302</v>
      </c>
      <c r="DA9" s="23">
        <v>0.75</v>
      </c>
      <c r="DB9" s="19">
        <v>0.86071428571428599</v>
      </c>
      <c r="DC9" s="19">
        <f t="shared" si="33"/>
        <v>1.147619047619048</v>
      </c>
      <c r="DD9" s="23">
        <v>0.8</v>
      </c>
      <c r="DE9" s="19">
        <v>0.94172639451542495</v>
      </c>
      <c r="DF9" s="19">
        <f t="shared" si="34"/>
        <v>1.177157993144281</v>
      </c>
      <c r="DG9" s="23">
        <v>0.69000000000000006</v>
      </c>
      <c r="DH9" s="19">
        <v>0.896748681898067</v>
      </c>
      <c r="DI9" s="19">
        <f t="shared" si="35"/>
        <v>1.2996357708667636</v>
      </c>
      <c r="DJ9" s="23">
        <v>0.89</v>
      </c>
      <c r="DK9" s="19">
        <v>0.83934294871794901</v>
      </c>
      <c r="DL9" s="19">
        <f t="shared" si="36"/>
        <v>0.9430819648516281</v>
      </c>
      <c r="DM9" s="23">
        <v>0.57499999999999996</v>
      </c>
      <c r="DN9" s="19">
        <v>0.610802223987292</v>
      </c>
      <c r="DO9" s="19">
        <f t="shared" si="37"/>
        <v>1.0622647373692036</v>
      </c>
      <c r="DP9" s="23">
        <v>0.84499999999999997</v>
      </c>
      <c r="DQ9" s="19">
        <v>0.86424619116197998</v>
      </c>
      <c r="DR9" s="19">
        <f t="shared" si="38"/>
        <v>1.022776557588142</v>
      </c>
      <c r="DS9" s="23">
        <v>0.63250000000000006</v>
      </c>
      <c r="DT9" s="19">
        <v>0.66350826044703604</v>
      </c>
      <c r="DU9" s="19">
        <f t="shared" si="39"/>
        <v>1.0490249177028237</v>
      </c>
      <c r="DV9" s="57">
        <v>0.83593109105824448</v>
      </c>
      <c r="DW9" s="19">
        <v>0.87397787397787396</v>
      </c>
      <c r="DX9" s="19">
        <f t="shared" si="40"/>
        <v>1.0455142574867795</v>
      </c>
      <c r="DY9" s="57">
        <v>0.61009999999999998</v>
      </c>
      <c r="DZ9" s="19">
        <v>0.86449864498645002</v>
      </c>
      <c r="EA9" s="19">
        <f t="shared" si="41"/>
        <v>1.4169786018463368</v>
      </c>
      <c r="EB9" s="16">
        <v>1167</v>
      </c>
      <c r="EC9" s="56">
        <v>147</v>
      </c>
      <c r="ED9" s="19">
        <f t="shared" si="42"/>
        <v>0.12596401028277635</v>
      </c>
      <c r="EE9" s="16">
        <v>326</v>
      </c>
      <c r="EF9" s="56">
        <v>163</v>
      </c>
      <c r="EG9" s="19">
        <f t="shared" si="43"/>
        <v>0.5</v>
      </c>
      <c r="EH9" s="16">
        <v>1493</v>
      </c>
      <c r="EI9" s="56">
        <v>310</v>
      </c>
      <c r="EJ9" s="19">
        <f t="shared" si="44"/>
        <v>0.20763563295378432</v>
      </c>
      <c r="EK9" s="16">
        <v>15220</v>
      </c>
      <c r="EL9" s="56">
        <v>6571</v>
      </c>
      <c r="EM9" s="19">
        <f t="shared" si="45"/>
        <v>0.43173455978975034</v>
      </c>
      <c r="EN9" s="16">
        <v>16713</v>
      </c>
      <c r="EO9" s="56">
        <v>6881</v>
      </c>
      <c r="EP9" s="19">
        <f t="shared" si="46"/>
        <v>0.41171543110153774</v>
      </c>
      <c r="EQ9" s="16">
        <v>597</v>
      </c>
      <c r="ER9" s="56">
        <v>0</v>
      </c>
      <c r="ES9" s="19">
        <f t="shared" si="47"/>
        <v>0</v>
      </c>
      <c r="ET9" s="56">
        <v>1338</v>
      </c>
      <c r="EU9" s="56">
        <v>706</v>
      </c>
      <c r="EV9" s="19">
        <f t="shared" si="48"/>
        <v>0.52765321375186847</v>
      </c>
      <c r="EW9" s="56">
        <v>366</v>
      </c>
      <c r="EX9" s="56">
        <v>144</v>
      </c>
      <c r="EY9" s="19">
        <f t="shared" si="49"/>
        <v>0.39344262295081966</v>
      </c>
    </row>
    <row r="10" spans="1:155" s="58" customFormat="1" x14ac:dyDescent="0.3">
      <c r="A10" s="34" t="s">
        <v>89</v>
      </c>
      <c r="B10" s="20">
        <v>5</v>
      </c>
      <c r="C10" s="20" t="s">
        <v>4</v>
      </c>
      <c r="D10" s="20">
        <v>9201</v>
      </c>
      <c r="E10" s="20" t="s">
        <v>79</v>
      </c>
      <c r="F10" s="56">
        <v>1293</v>
      </c>
      <c r="G10" s="56">
        <v>1036</v>
      </c>
      <c r="H10" s="19">
        <f t="shared" si="0"/>
        <v>0.80123743232791955</v>
      </c>
      <c r="I10" s="56">
        <v>0</v>
      </c>
      <c r="J10" s="56">
        <v>0</v>
      </c>
      <c r="K10" s="19">
        <f t="shared" si="1"/>
        <v>0</v>
      </c>
      <c r="L10" s="56">
        <v>0</v>
      </c>
      <c r="M10" s="56">
        <v>0</v>
      </c>
      <c r="N10" s="19">
        <f t="shared" si="2"/>
        <v>0</v>
      </c>
      <c r="O10" s="56">
        <v>0</v>
      </c>
      <c r="P10" s="56">
        <v>0</v>
      </c>
      <c r="Q10" s="19">
        <f t="shared" si="3"/>
        <v>0</v>
      </c>
      <c r="R10" s="56">
        <v>2485</v>
      </c>
      <c r="S10" s="56">
        <v>2444</v>
      </c>
      <c r="T10" s="19">
        <f t="shared" si="4"/>
        <v>0.98350100603621726</v>
      </c>
      <c r="U10" s="56">
        <v>2485</v>
      </c>
      <c r="V10" s="56">
        <v>2444</v>
      </c>
      <c r="W10" s="19">
        <f t="shared" si="5"/>
        <v>0.98350100603621726</v>
      </c>
      <c r="X10" s="56">
        <v>90</v>
      </c>
      <c r="Y10" s="56">
        <v>20</v>
      </c>
      <c r="Z10" s="19">
        <f t="shared" si="6"/>
        <v>0.22222222222222221</v>
      </c>
      <c r="AA10" s="56">
        <v>45</v>
      </c>
      <c r="AB10" s="56">
        <v>56</v>
      </c>
      <c r="AC10" s="19">
        <f t="shared" si="7"/>
        <v>1.2444444444444445</v>
      </c>
      <c r="AD10" s="56">
        <v>0</v>
      </c>
      <c r="AE10" s="56">
        <v>0</v>
      </c>
      <c r="AF10" s="19">
        <f t="shared" si="8"/>
        <v>0</v>
      </c>
      <c r="AG10" s="56">
        <v>135</v>
      </c>
      <c r="AH10" s="56">
        <v>76</v>
      </c>
      <c r="AI10" s="19">
        <f t="shared" si="9"/>
        <v>0.562962962962963</v>
      </c>
      <c r="AJ10" s="56">
        <v>0</v>
      </c>
      <c r="AK10" s="56">
        <v>0</v>
      </c>
      <c r="AL10" s="19">
        <f t="shared" si="10"/>
        <v>0</v>
      </c>
      <c r="AM10" s="56">
        <v>0</v>
      </c>
      <c r="AN10" s="56">
        <v>0</v>
      </c>
      <c r="AO10" s="19">
        <f t="shared" si="11"/>
        <v>0</v>
      </c>
      <c r="AP10" s="56">
        <v>0</v>
      </c>
      <c r="AQ10" s="56">
        <v>0</v>
      </c>
      <c r="AR10" s="19">
        <f t="shared" si="12"/>
        <v>0</v>
      </c>
      <c r="AS10" s="56">
        <v>0</v>
      </c>
      <c r="AT10" s="56">
        <v>0</v>
      </c>
      <c r="AU10" s="19">
        <f t="shared" si="13"/>
        <v>0</v>
      </c>
      <c r="AV10" s="56">
        <v>898</v>
      </c>
      <c r="AW10" s="56">
        <v>650</v>
      </c>
      <c r="AX10" s="19">
        <f t="shared" si="14"/>
        <v>0.72383073496659245</v>
      </c>
      <c r="AY10" s="56">
        <v>33</v>
      </c>
      <c r="AZ10" s="56">
        <v>38</v>
      </c>
      <c r="BA10" s="19">
        <f t="shared" si="15"/>
        <v>1.1515151515151516</v>
      </c>
      <c r="BB10" s="56">
        <v>0</v>
      </c>
      <c r="BC10" s="56">
        <v>0</v>
      </c>
      <c r="BD10" s="19">
        <f t="shared" si="16"/>
        <v>0</v>
      </c>
      <c r="BE10" s="56">
        <v>1480</v>
      </c>
      <c r="BF10" s="56">
        <v>1500</v>
      </c>
      <c r="BG10" s="19">
        <f t="shared" si="17"/>
        <v>1.0135135135135136</v>
      </c>
      <c r="BH10" s="56">
        <v>2811</v>
      </c>
      <c r="BI10" s="56">
        <v>2579</v>
      </c>
      <c r="BJ10" s="19">
        <f t="shared" si="18"/>
        <v>0.91746709356101031</v>
      </c>
      <c r="BK10" s="56">
        <v>0</v>
      </c>
      <c r="BL10" s="56">
        <v>0</v>
      </c>
      <c r="BM10" s="19">
        <f t="shared" si="19"/>
        <v>0</v>
      </c>
      <c r="BN10" s="56">
        <v>2946</v>
      </c>
      <c r="BO10" s="56">
        <v>2655</v>
      </c>
      <c r="BP10" s="19">
        <f t="shared" si="20"/>
        <v>0.90122199592668029</v>
      </c>
      <c r="BQ10" s="56">
        <v>5431</v>
      </c>
      <c r="BR10" s="56">
        <v>5099</v>
      </c>
      <c r="BS10" s="19">
        <f t="shared" si="21"/>
        <v>0.93886945313938497</v>
      </c>
      <c r="BT10" s="56">
        <v>1320</v>
      </c>
      <c r="BU10" s="56">
        <v>1463</v>
      </c>
      <c r="BV10" s="19">
        <f t="shared" si="22"/>
        <v>1.1083333333333334</v>
      </c>
      <c r="BW10" s="56">
        <v>9000</v>
      </c>
      <c r="BX10" s="56">
        <v>7623</v>
      </c>
      <c r="BY10" s="19">
        <f t="shared" si="23"/>
        <v>0.84699999999999998</v>
      </c>
      <c r="BZ10" s="56">
        <v>1725</v>
      </c>
      <c r="CA10" s="56">
        <v>2174</v>
      </c>
      <c r="CB10" s="19">
        <f t="shared" si="24"/>
        <v>1.2602898550724637</v>
      </c>
      <c r="CC10" s="56">
        <v>600</v>
      </c>
      <c r="CD10" s="56">
        <v>738</v>
      </c>
      <c r="CE10" s="19">
        <f t="shared" si="25"/>
        <v>1.23</v>
      </c>
      <c r="CF10" s="56">
        <v>32355</v>
      </c>
      <c r="CG10" s="56">
        <v>23491</v>
      </c>
      <c r="CH10" s="19">
        <f t="shared" si="26"/>
        <v>0.72603925204759701</v>
      </c>
      <c r="CI10" s="56">
        <v>37786</v>
      </c>
      <c r="CJ10" s="56">
        <v>28590</v>
      </c>
      <c r="CK10" s="19">
        <f t="shared" si="27"/>
        <v>0.75662943947493777</v>
      </c>
      <c r="CL10" s="56">
        <v>1803</v>
      </c>
      <c r="CM10" s="56">
        <v>2268</v>
      </c>
      <c r="CN10" s="19">
        <f t="shared" si="28"/>
        <v>1.2579034941763727</v>
      </c>
      <c r="CO10" s="56">
        <v>600</v>
      </c>
      <c r="CP10" s="56">
        <v>738</v>
      </c>
      <c r="CQ10" s="19">
        <f t="shared" si="29"/>
        <v>1.23</v>
      </c>
      <c r="CR10" s="23">
        <v>0.77</v>
      </c>
      <c r="CS10" s="19">
        <v>0.93639575971731404</v>
      </c>
      <c r="CT10" s="19">
        <f t="shared" si="30"/>
        <v>1.2160983892432649</v>
      </c>
      <c r="CU10" s="23">
        <v>0.63</v>
      </c>
      <c r="CV10" s="19">
        <v>0.90960451977401102</v>
      </c>
      <c r="CW10" s="19">
        <f t="shared" si="31"/>
        <v>1.4438166980539857</v>
      </c>
      <c r="CX10" s="23">
        <v>0.83</v>
      </c>
      <c r="CY10" s="19">
        <v>0.91409266409266399</v>
      </c>
      <c r="CZ10" s="19">
        <f t="shared" si="32"/>
        <v>1.1013164627622458</v>
      </c>
      <c r="DA10" s="23">
        <v>0.75</v>
      </c>
      <c r="DB10" s="19">
        <v>0.88297872340425498</v>
      </c>
      <c r="DC10" s="19">
        <f t="shared" si="33"/>
        <v>1.1773049645390066</v>
      </c>
      <c r="DD10" s="23">
        <v>0.8</v>
      </c>
      <c r="DE10" s="19">
        <v>0.92939393939393899</v>
      </c>
      <c r="DF10" s="19">
        <f t="shared" si="34"/>
        <v>1.1617424242424237</v>
      </c>
      <c r="DG10" s="23">
        <v>0.69000000000000006</v>
      </c>
      <c r="DH10" s="19">
        <v>0.89684251814081195</v>
      </c>
      <c r="DI10" s="19">
        <f t="shared" si="35"/>
        <v>1.2997717654214664</v>
      </c>
      <c r="DJ10" s="23">
        <v>0.89</v>
      </c>
      <c r="DK10" s="19">
        <v>0.84439103939575999</v>
      </c>
      <c r="DL10" s="19">
        <f t="shared" si="36"/>
        <v>0.94875397684916851</v>
      </c>
      <c r="DM10" s="23">
        <v>0.57499999999999996</v>
      </c>
      <c r="DN10" s="19">
        <v>0.61385211357541203</v>
      </c>
      <c r="DO10" s="19">
        <f t="shared" si="37"/>
        <v>1.0675688931746297</v>
      </c>
      <c r="DP10" s="23">
        <v>0.84499999999999997</v>
      </c>
      <c r="DQ10" s="19">
        <v>0.86315296635676497</v>
      </c>
      <c r="DR10" s="19">
        <f t="shared" si="38"/>
        <v>1.0214828004222072</v>
      </c>
      <c r="DS10" s="23">
        <v>0.63250000000000006</v>
      </c>
      <c r="DT10" s="19">
        <v>0.66432318992654804</v>
      </c>
      <c r="DU10" s="19">
        <f t="shared" si="39"/>
        <v>1.0503133437573882</v>
      </c>
      <c r="DV10" s="57">
        <v>0.83593109105824448</v>
      </c>
      <c r="DW10" s="19">
        <v>0.85978835978835999</v>
      </c>
      <c r="DX10" s="19">
        <f t="shared" si="40"/>
        <v>1.0285397552325917</v>
      </c>
      <c r="DY10" s="57">
        <v>0.61009999999999998</v>
      </c>
      <c r="DZ10" s="19">
        <v>0.844173441734417</v>
      </c>
      <c r="EA10" s="19">
        <f t="shared" si="41"/>
        <v>1.3836640579157795</v>
      </c>
      <c r="EB10" s="16">
        <v>1167</v>
      </c>
      <c r="EC10" s="56">
        <v>147</v>
      </c>
      <c r="ED10" s="19">
        <f t="shared" si="42"/>
        <v>0.12596401028277635</v>
      </c>
      <c r="EE10" s="16">
        <v>326</v>
      </c>
      <c r="EF10" s="56">
        <v>163</v>
      </c>
      <c r="EG10" s="19">
        <f t="shared" si="43"/>
        <v>0.5</v>
      </c>
      <c r="EH10" s="16">
        <v>1493</v>
      </c>
      <c r="EI10" s="56">
        <v>310</v>
      </c>
      <c r="EJ10" s="19">
        <f t="shared" si="44"/>
        <v>0.20763563295378432</v>
      </c>
      <c r="EK10" s="16">
        <v>15220</v>
      </c>
      <c r="EL10" s="56">
        <v>7859</v>
      </c>
      <c r="EM10" s="19">
        <f t="shared" si="45"/>
        <v>0.5163600525624179</v>
      </c>
      <c r="EN10" s="16">
        <v>16713</v>
      </c>
      <c r="EO10" s="56">
        <v>8169</v>
      </c>
      <c r="EP10" s="19">
        <f t="shared" si="46"/>
        <v>0.48878118829653561</v>
      </c>
      <c r="EQ10" s="16">
        <v>597</v>
      </c>
      <c r="ER10" s="56">
        <v>0</v>
      </c>
      <c r="ES10" s="19">
        <f t="shared" si="47"/>
        <v>0</v>
      </c>
      <c r="ET10" s="56">
        <v>1338</v>
      </c>
      <c r="EU10" s="56">
        <v>793</v>
      </c>
      <c r="EV10" s="19">
        <f t="shared" si="48"/>
        <v>0.59267563527653211</v>
      </c>
      <c r="EW10" s="56">
        <v>366</v>
      </c>
      <c r="EX10" s="56">
        <v>302</v>
      </c>
      <c r="EY10" s="19">
        <f t="shared" si="49"/>
        <v>0.82513661202185795</v>
      </c>
    </row>
    <row r="11" spans="1:155" s="58" customFormat="1" x14ac:dyDescent="0.3">
      <c r="A11" s="34" t="s">
        <v>90</v>
      </c>
      <c r="B11" s="20">
        <v>5</v>
      </c>
      <c r="C11" s="20" t="s">
        <v>4</v>
      </c>
      <c r="D11" s="20">
        <v>9201</v>
      </c>
      <c r="E11" s="20" t="s">
        <v>79</v>
      </c>
      <c r="F11" s="56">
        <v>1293</v>
      </c>
      <c r="G11" s="56">
        <v>1113</v>
      </c>
      <c r="H11" s="19">
        <f t="shared" si="0"/>
        <v>0.86078886310904867</v>
      </c>
      <c r="I11" s="56">
        <v>0</v>
      </c>
      <c r="J11" s="56">
        <v>0</v>
      </c>
      <c r="K11" s="19">
        <f t="shared" si="1"/>
        <v>0</v>
      </c>
      <c r="L11" s="56">
        <v>0</v>
      </c>
      <c r="M11" s="56">
        <v>0</v>
      </c>
      <c r="N11" s="19">
        <f t="shared" si="2"/>
        <v>0</v>
      </c>
      <c r="O11" s="56">
        <v>0</v>
      </c>
      <c r="P11" s="56">
        <v>0</v>
      </c>
      <c r="Q11" s="19">
        <f t="shared" si="3"/>
        <v>0</v>
      </c>
      <c r="R11" s="56">
        <v>2485</v>
      </c>
      <c r="S11" s="56">
        <v>2531</v>
      </c>
      <c r="T11" s="19">
        <f t="shared" si="4"/>
        <v>1.0185110663983903</v>
      </c>
      <c r="U11" s="56">
        <v>2485</v>
      </c>
      <c r="V11" s="56">
        <v>2531</v>
      </c>
      <c r="W11" s="19">
        <f t="shared" si="5"/>
        <v>1.0185110663983903</v>
      </c>
      <c r="X11" s="56">
        <v>90</v>
      </c>
      <c r="Y11" s="56">
        <v>46</v>
      </c>
      <c r="Z11" s="19">
        <f t="shared" si="6"/>
        <v>0.51111111111111107</v>
      </c>
      <c r="AA11" s="56">
        <v>45</v>
      </c>
      <c r="AB11" s="56">
        <v>56</v>
      </c>
      <c r="AC11" s="19">
        <f t="shared" si="7"/>
        <v>1.2444444444444445</v>
      </c>
      <c r="AD11" s="56">
        <v>0</v>
      </c>
      <c r="AE11" s="56">
        <v>0</v>
      </c>
      <c r="AF11" s="19">
        <f t="shared" si="8"/>
        <v>0</v>
      </c>
      <c r="AG11" s="56">
        <v>135</v>
      </c>
      <c r="AH11" s="56">
        <v>102</v>
      </c>
      <c r="AI11" s="19">
        <f t="shared" si="9"/>
        <v>0.75555555555555554</v>
      </c>
      <c r="AJ11" s="56">
        <v>0</v>
      </c>
      <c r="AK11" s="56">
        <v>0</v>
      </c>
      <c r="AL11" s="19">
        <f t="shared" si="10"/>
        <v>0</v>
      </c>
      <c r="AM11" s="56">
        <v>0</v>
      </c>
      <c r="AN11" s="56">
        <v>0</v>
      </c>
      <c r="AO11" s="19">
        <f t="shared" si="11"/>
        <v>0</v>
      </c>
      <c r="AP11" s="56">
        <v>0</v>
      </c>
      <c r="AQ11" s="56">
        <v>0</v>
      </c>
      <c r="AR11" s="19">
        <f t="shared" si="12"/>
        <v>0</v>
      </c>
      <c r="AS11" s="56">
        <v>0</v>
      </c>
      <c r="AT11" s="56">
        <v>0</v>
      </c>
      <c r="AU11" s="19">
        <f t="shared" si="13"/>
        <v>0</v>
      </c>
      <c r="AV11" s="56">
        <v>898</v>
      </c>
      <c r="AW11" s="56">
        <v>676</v>
      </c>
      <c r="AX11" s="19">
        <f t="shared" si="14"/>
        <v>0.75278396436525608</v>
      </c>
      <c r="AY11" s="56">
        <v>33</v>
      </c>
      <c r="AZ11" s="56">
        <v>39</v>
      </c>
      <c r="BA11" s="19">
        <f t="shared" si="15"/>
        <v>1.1818181818181819</v>
      </c>
      <c r="BB11" s="56">
        <v>0</v>
      </c>
      <c r="BC11" s="56">
        <v>0</v>
      </c>
      <c r="BD11" s="19">
        <f t="shared" si="16"/>
        <v>0</v>
      </c>
      <c r="BE11" s="56">
        <v>1480</v>
      </c>
      <c r="BF11" s="56">
        <v>1500</v>
      </c>
      <c r="BG11" s="19">
        <f t="shared" si="17"/>
        <v>1.0135135135135136</v>
      </c>
      <c r="BH11" s="56">
        <v>2811</v>
      </c>
      <c r="BI11" s="56">
        <v>2606</v>
      </c>
      <c r="BJ11" s="19">
        <f t="shared" si="18"/>
        <v>0.92707221629313408</v>
      </c>
      <c r="BK11" s="56">
        <v>0</v>
      </c>
      <c r="BL11" s="56">
        <v>0</v>
      </c>
      <c r="BM11" s="19">
        <f t="shared" si="19"/>
        <v>0</v>
      </c>
      <c r="BN11" s="56">
        <v>2946</v>
      </c>
      <c r="BO11" s="56">
        <v>2708</v>
      </c>
      <c r="BP11" s="19">
        <f t="shared" si="20"/>
        <v>0.91921249151391715</v>
      </c>
      <c r="BQ11" s="56">
        <v>5431</v>
      </c>
      <c r="BR11" s="56">
        <v>5239</v>
      </c>
      <c r="BS11" s="19">
        <f t="shared" si="21"/>
        <v>0.96464739458663229</v>
      </c>
      <c r="BT11" s="56">
        <v>1320</v>
      </c>
      <c r="BU11" s="56">
        <v>1463</v>
      </c>
      <c r="BV11" s="19">
        <f t="shared" si="22"/>
        <v>1.1083333333333334</v>
      </c>
      <c r="BW11" s="56">
        <v>9000</v>
      </c>
      <c r="BX11" s="56">
        <v>7623</v>
      </c>
      <c r="BY11" s="19">
        <f t="shared" si="23"/>
        <v>0.84699999999999998</v>
      </c>
      <c r="BZ11" s="56">
        <v>1725</v>
      </c>
      <c r="CA11" s="56">
        <v>2458</v>
      </c>
      <c r="CB11" s="19">
        <f t="shared" si="24"/>
        <v>1.4249275362318841</v>
      </c>
      <c r="CC11" s="56">
        <v>600</v>
      </c>
      <c r="CD11" s="56">
        <v>828</v>
      </c>
      <c r="CE11" s="19">
        <f t="shared" si="25"/>
        <v>1.38</v>
      </c>
      <c r="CF11" s="56">
        <v>32355</v>
      </c>
      <c r="CG11" s="56">
        <v>25627</v>
      </c>
      <c r="CH11" s="19">
        <f t="shared" si="26"/>
        <v>0.79205686910832951</v>
      </c>
      <c r="CI11" s="56">
        <v>37786</v>
      </c>
      <c r="CJ11" s="56">
        <v>30866</v>
      </c>
      <c r="CK11" s="19">
        <f t="shared" si="27"/>
        <v>0.81686338855660823</v>
      </c>
      <c r="CL11" s="56">
        <v>1803</v>
      </c>
      <c r="CM11" s="56">
        <v>2268</v>
      </c>
      <c r="CN11" s="19">
        <f t="shared" si="28"/>
        <v>1.2579034941763727</v>
      </c>
      <c r="CO11" s="56">
        <v>600</v>
      </c>
      <c r="CP11" s="56">
        <v>828</v>
      </c>
      <c r="CQ11" s="19">
        <f t="shared" si="29"/>
        <v>1.38</v>
      </c>
      <c r="CR11" s="23">
        <v>0.77</v>
      </c>
      <c r="CS11" s="19">
        <v>0.91195511437203303</v>
      </c>
      <c r="CT11" s="19">
        <f t="shared" si="30"/>
        <v>1.1843572913922507</v>
      </c>
      <c r="CU11" s="23">
        <v>0.63</v>
      </c>
      <c r="CV11" s="19">
        <v>0.88847858197931995</v>
      </c>
      <c r="CW11" s="19">
        <f t="shared" si="31"/>
        <v>1.4102834634592381</v>
      </c>
      <c r="CX11" s="23">
        <v>0.83</v>
      </c>
      <c r="CY11" s="19">
        <v>0.91554357592093405</v>
      </c>
      <c r="CZ11" s="19">
        <f t="shared" si="32"/>
        <v>1.1030645493023303</v>
      </c>
      <c r="DA11" s="23">
        <v>0.75</v>
      </c>
      <c r="DB11" s="19">
        <v>0.87356775977874401</v>
      </c>
      <c r="DC11" s="19">
        <f t="shared" si="33"/>
        <v>1.1647570130383254</v>
      </c>
      <c r="DD11" s="23">
        <v>0.8</v>
      </c>
      <c r="DE11" s="19">
        <v>0.91311953352769704</v>
      </c>
      <c r="DF11" s="19">
        <f t="shared" si="34"/>
        <v>1.1413994169096213</v>
      </c>
      <c r="DG11" s="23">
        <v>0.69000000000000006</v>
      </c>
      <c r="DH11" s="19">
        <v>0.88127505249093396</v>
      </c>
      <c r="DI11" s="19">
        <f t="shared" si="35"/>
        <v>1.2772102210013534</v>
      </c>
      <c r="DJ11" s="23">
        <v>0.89</v>
      </c>
      <c r="DK11" s="19">
        <v>0.79926079926079896</v>
      </c>
      <c r="DL11" s="19">
        <f t="shared" si="36"/>
        <v>0.89804584186606629</v>
      </c>
      <c r="DM11" s="23">
        <v>0.57499999999999996</v>
      </c>
      <c r="DN11" s="19">
        <v>0.57439419362391197</v>
      </c>
      <c r="DO11" s="19">
        <f t="shared" si="37"/>
        <v>0.99894642369376008</v>
      </c>
      <c r="DP11" s="23">
        <v>0.84499999999999997</v>
      </c>
      <c r="DQ11" s="19">
        <v>0.82304927818724505</v>
      </c>
      <c r="DR11" s="19">
        <f t="shared" si="38"/>
        <v>0.97402281442277527</v>
      </c>
      <c r="DS11" s="23">
        <v>0.63250000000000006</v>
      </c>
      <c r="DT11" s="19">
        <v>0.626482213438735</v>
      </c>
      <c r="DU11" s="19">
        <f t="shared" si="39"/>
        <v>0.99048571294661647</v>
      </c>
      <c r="DV11" s="57">
        <v>0.83593109105824448</v>
      </c>
      <c r="DW11" s="19">
        <v>0.77986682334508395</v>
      </c>
      <c r="DX11" s="19">
        <f t="shared" si="40"/>
        <v>0.93293195059632705</v>
      </c>
      <c r="DY11" s="57">
        <v>0.61009999999999998</v>
      </c>
      <c r="DZ11" s="19">
        <v>0.81038647342995196</v>
      </c>
      <c r="EA11" s="19">
        <f t="shared" si="41"/>
        <v>1.3282846638746959</v>
      </c>
      <c r="EB11" s="16">
        <v>1167</v>
      </c>
      <c r="EC11" s="56">
        <v>197</v>
      </c>
      <c r="ED11" s="19">
        <f t="shared" si="42"/>
        <v>0.16880891173950299</v>
      </c>
      <c r="EE11" s="16">
        <v>326</v>
      </c>
      <c r="EF11" s="56">
        <v>180</v>
      </c>
      <c r="EG11" s="19">
        <f t="shared" si="43"/>
        <v>0.55214723926380371</v>
      </c>
      <c r="EH11" s="16">
        <v>1493</v>
      </c>
      <c r="EI11" s="56">
        <v>377</v>
      </c>
      <c r="EJ11" s="19">
        <f t="shared" si="44"/>
        <v>0.2525117213663764</v>
      </c>
      <c r="EK11" s="16">
        <v>15220</v>
      </c>
      <c r="EL11" s="56">
        <v>10825</v>
      </c>
      <c r="EM11" s="19">
        <f t="shared" si="45"/>
        <v>0.7112352168199737</v>
      </c>
      <c r="EN11" s="16">
        <v>16713</v>
      </c>
      <c r="EO11" s="56">
        <v>11202</v>
      </c>
      <c r="EP11" s="19">
        <f t="shared" si="46"/>
        <v>0.67025668641177527</v>
      </c>
      <c r="EQ11" s="16">
        <v>597</v>
      </c>
      <c r="ER11" s="56">
        <v>0</v>
      </c>
      <c r="ES11" s="19">
        <f t="shared" si="47"/>
        <v>0</v>
      </c>
      <c r="ET11" s="56">
        <v>1338</v>
      </c>
      <c r="EU11" s="56">
        <v>1274</v>
      </c>
      <c r="EV11" s="19">
        <f t="shared" si="48"/>
        <v>0.95216741405082217</v>
      </c>
      <c r="EW11" s="56">
        <v>366</v>
      </c>
      <c r="EX11" s="56">
        <v>516</v>
      </c>
      <c r="EY11" s="19">
        <f t="shared" si="49"/>
        <v>1.4098360655737705</v>
      </c>
    </row>
    <row r="12" spans="1:155" s="58" customFormat="1" x14ac:dyDescent="0.3">
      <c r="A12" s="34" t="s">
        <v>91</v>
      </c>
      <c r="B12" s="20">
        <v>5</v>
      </c>
      <c r="C12" s="20" t="s">
        <v>4</v>
      </c>
      <c r="D12" s="20">
        <v>9201</v>
      </c>
      <c r="E12" s="20" t="s">
        <v>79</v>
      </c>
      <c r="F12" s="56">
        <f>VLOOKUP(D12,'[2]METAS FORMACIÓN X CTROS'!$C$11:$E$128,3,0)</f>
        <v>1043</v>
      </c>
      <c r="G12" s="56">
        <f>'[3]METAS FORMACIÓN X CTROS'!$E20</f>
        <v>3203</v>
      </c>
      <c r="H12" s="19">
        <f t="shared" si="0"/>
        <v>3.070949185043145</v>
      </c>
      <c r="I12" s="56">
        <f>VLOOKUP(D12,'[2]METAS FORMACIÓN X CTROS'!$C$11:$G$128,5,0)</f>
        <v>0</v>
      </c>
      <c r="J12" s="56">
        <f>'[3]METAS FORMACIÓN X CTROS'!$G20</f>
        <v>660</v>
      </c>
      <c r="K12" s="19">
        <f t="shared" si="1"/>
        <v>0</v>
      </c>
      <c r="L12" s="56">
        <v>0</v>
      </c>
      <c r="M12" s="56">
        <f>'[3]METAS FORMACIÓN X CTROS'!$H20</f>
        <v>0</v>
      </c>
      <c r="N12" s="19">
        <f t="shared" si="2"/>
        <v>0</v>
      </c>
      <c r="O12" s="56">
        <v>0</v>
      </c>
      <c r="P12" s="56">
        <f>'[3]METAS FORMACIÓN X CTROS'!$I20</f>
        <v>0</v>
      </c>
      <c r="Q12" s="19">
        <f t="shared" si="3"/>
        <v>0</v>
      </c>
      <c r="R12" s="56">
        <v>2485</v>
      </c>
      <c r="S12" s="56">
        <f>'[3]METAS FORMACIÓN X CTROS'!$J20</f>
        <v>5193</v>
      </c>
      <c r="T12" s="19">
        <f t="shared" si="4"/>
        <v>2.0897384305835009</v>
      </c>
      <c r="U12" s="56">
        <v>2485</v>
      </c>
      <c r="V12" s="56">
        <f>'[3]METAS FORMACIÓN X CTROS'!$K20</f>
        <v>5193</v>
      </c>
      <c r="W12" s="19">
        <f t="shared" si="5"/>
        <v>2.0897384305835009</v>
      </c>
      <c r="X12" s="56">
        <v>90</v>
      </c>
      <c r="Y12" s="56">
        <f>'[3]METAS FORMACIÓN X CTROS'!$L20</f>
        <v>293</v>
      </c>
      <c r="Z12" s="19">
        <f t="shared" si="6"/>
        <v>3.2555555555555555</v>
      </c>
      <c r="AA12" s="56">
        <v>45</v>
      </c>
      <c r="AB12" s="56">
        <f>'[3]METAS FORMACIÓN X CTROS'!$M20</f>
        <v>153</v>
      </c>
      <c r="AC12" s="19">
        <f t="shared" si="7"/>
        <v>3.4</v>
      </c>
      <c r="AD12" s="56">
        <v>0</v>
      </c>
      <c r="AE12" s="56">
        <f>'[3]METAS FORMACIÓN X CTROS'!$N20</f>
        <v>81</v>
      </c>
      <c r="AF12" s="19">
        <f t="shared" si="8"/>
        <v>0</v>
      </c>
      <c r="AG12" s="56">
        <v>135</v>
      </c>
      <c r="AH12" s="56">
        <f>'[3]METAS FORMACIÓN X CTROS'!$O20</f>
        <v>527</v>
      </c>
      <c r="AI12" s="19">
        <f t="shared" si="9"/>
        <v>3.9037037037037039</v>
      </c>
      <c r="AJ12" s="56">
        <v>0</v>
      </c>
      <c r="AK12" s="56">
        <f>'[3]METAS FORMACIÓN X CTROS'!$P20</f>
        <v>266</v>
      </c>
      <c r="AL12" s="19">
        <f t="shared" si="10"/>
        <v>0</v>
      </c>
      <c r="AM12" s="56">
        <v>0</v>
      </c>
      <c r="AN12" s="56">
        <f>'[3]METAS FORMACIÓN X CTROS'!$Q20</f>
        <v>228</v>
      </c>
      <c r="AO12" s="19">
        <f t="shared" si="11"/>
        <v>0</v>
      </c>
      <c r="AP12" s="56">
        <v>0</v>
      </c>
      <c r="AQ12" s="56">
        <f>'[3]METAS FORMACIÓN X CTROS'!$R20</f>
        <v>0</v>
      </c>
      <c r="AR12" s="19">
        <f t="shared" si="12"/>
        <v>0</v>
      </c>
      <c r="AS12" s="56">
        <v>0</v>
      </c>
      <c r="AT12" s="56">
        <f>'[3]METAS FORMACIÓN X CTROS'!$S20</f>
        <v>494</v>
      </c>
      <c r="AU12" s="19">
        <f t="shared" si="13"/>
        <v>0</v>
      </c>
      <c r="AV12" s="56">
        <v>898</v>
      </c>
      <c r="AW12" s="56">
        <f>'[3]METAS FORMACIÓN X CTROS'!$T20</f>
        <v>3309</v>
      </c>
      <c r="AX12" s="19">
        <f t="shared" si="14"/>
        <v>3.6848552338530065</v>
      </c>
      <c r="AY12" s="56">
        <v>33</v>
      </c>
      <c r="AZ12" s="56">
        <f>'[3]METAS FORMACIÓN X CTROS'!$V20</f>
        <v>397</v>
      </c>
      <c r="BA12" s="19">
        <f t="shared" si="15"/>
        <v>12.030303030303031</v>
      </c>
      <c r="BB12" s="56">
        <v>0</v>
      </c>
      <c r="BC12" s="56">
        <f>'[3]METAS FORMACIÓN X CTROS'!$W20</f>
        <v>98</v>
      </c>
      <c r="BD12" s="19">
        <f t="shared" si="16"/>
        <v>0</v>
      </c>
      <c r="BE12" s="56">
        <v>1480</v>
      </c>
      <c r="BF12" s="56">
        <f>'[3]METAS FORMACIÓN X CTROS'!$X20</f>
        <v>1929</v>
      </c>
      <c r="BG12" s="19">
        <f t="shared" si="17"/>
        <v>1.3033783783783783</v>
      </c>
      <c r="BH12" s="56">
        <v>2811</v>
      </c>
      <c r="BI12" s="56">
        <f>'[3]METAS FORMACIÓN X CTROS'!$Y20</f>
        <v>6922</v>
      </c>
      <c r="BJ12" s="19">
        <f t="shared" si="18"/>
        <v>2.4624688722874422</v>
      </c>
      <c r="BK12" s="56">
        <v>0</v>
      </c>
      <c r="BL12" s="56">
        <f>'[3]METAS FORMACIÓN X CTROS'!$Z20</f>
        <v>0</v>
      </c>
      <c r="BM12" s="19">
        <f t="shared" si="19"/>
        <v>0</v>
      </c>
      <c r="BN12" s="56">
        <v>2946</v>
      </c>
      <c r="BO12" s="56">
        <f>'[3]METAS FORMACIÓN X CTROS'!$AA20</f>
        <v>7943</v>
      </c>
      <c r="BP12" s="19">
        <f t="shared" si="20"/>
        <v>2.6961982348947724</v>
      </c>
      <c r="BQ12" s="56">
        <v>5431</v>
      </c>
      <c r="BR12" s="56">
        <f>'[3]METAS FORMACIÓN X CTROS'!$AB20</f>
        <v>13136</v>
      </c>
      <c r="BS12" s="19">
        <f t="shared" si="21"/>
        <v>2.4187074203645738</v>
      </c>
      <c r="BT12" s="56">
        <v>1320</v>
      </c>
      <c r="BU12" s="56">
        <f>'[3]METAS FORMACIÓN X CTROS'!$AF20</f>
        <v>0</v>
      </c>
      <c r="BV12" s="19">
        <f t="shared" si="22"/>
        <v>0</v>
      </c>
      <c r="BW12" s="56">
        <v>9000</v>
      </c>
      <c r="BX12" s="56">
        <f>'[3]METAS FORMACIÓN X CTROS'!$AG20</f>
        <v>5120</v>
      </c>
      <c r="BY12" s="19">
        <f t="shared" si="23"/>
        <v>0.56888888888888889</v>
      </c>
      <c r="BZ12" s="56">
        <v>1725</v>
      </c>
      <c r="CA12" s="56">
        <v>2503</v>
      </c>
      <c r="CB12" s="19">
        <f t="shared" si="24"/>
        <v>1.4510144927536233</v>
      </c>
      <c r="CC12" s="56">
        <v>600</v>
      </c>
      <c r="CD12" s="56">
        <f>'[3]METAS FORMACIÓN X CTROS'!$AI20</f>
        <v>1460</v>
      </c>
      <c r="CE12" s="19">
        <f t="shared" si="25"/>
        <v>2.4333333333333331</v>
      </c>
      <c r="CF12" s="56">
        <v>32355</v>
      </c>
      <c r="CG12" s="56">
        <f>'[3]METAS FORMACIÓN X CTROS'!$AJ20</f>
        <v>48958</v>
      </c>
      <c r="CH12" s="19">
        <f t="shared" si="26"/>
        <v>1.5131509813011899</v>
      </c>
      <c r="CI12" s="56">
        <v>37786</v>
      </c>
      <c r="CJ12" s="56">
        <f>'[3]METAS FORMACIÓN X CTROS'!$AK20</f>
        <v>62094</v>
      </c>
      <c r="CK12" s="19">
        <f t="shared" si="27"/>
        <v>1.6433070449372784</v>
      </c>
      <c r="CL12" s="56">
        <v>1803</v>
      </c>
      <c r="CM12" s="56">
        <f>'[3]METAS FORMACIÓN X CTROS'!$AL20</f>
        <v>8270</v>
      </c>
      <c r="CN12" s="19">
        <f t="shared" si="28"/>
        <v>4.5867997781475323</v>
      </c>
      <c r="CO12" s="56">
        <v>600</v>
      </c>
      <c r="CP12" s="56">
        <f>'[3]METAS FORMACIÓN X CTROS'!$AM20</f>
        <v>1639</v>
      </c>
      <c r="CQ12" s="19">
        <f t="shared" si="29"/>
        <v>2.7316666666666665</v>
      </c>
      <c r="CR12" s="23">
        <v>0.77</v>
      </c>
      <c r="CS12" s="19">
        <f>'[3]METAS FORMACIÓN X CTROS'!$AO20</f>
        <v>0.86274800118448303</v>
      </c>
      <c r="CT12" s="19">
        <f t="shared" si="30"/>
        <v>1.1204519495902376</v>
      </c>
      <c r="CU12" s="23">
        <v>0.63</v>
      </c>
      <c r="CV12" s="19">
        <f>'[3]METAS FORMACIÓN X CTROS'!$AQ20</f>
        <v>0.82210751605186905</v>
      </c>
      <c r="CW12" s="19">
        <f t="shared" si="31"/>
        <v>1.304932565161697</v>
      </c>
      <c r="CX12" s="23">
        <v>0.83</v>
      </c>
      <c r="CY12" s="19">
        <f>'[3]METAS FORMACIÓN X CTROS'!$AR20</f>
        <v>0.84235050478902396</v>
      </c>
      <c r="CZ12" s="19">
        <f t="shared" si="32"/>
        <v>1.0148801262518361</v>
      </c>
      <c r="DA12" s="23">
        <v>0.75</v>
      </c>
      <c r="DB12" s="19">
        <f>'[3]METAS FORMACIÓN X CTROS'!$AT20</f>
        <v>0.80184864240323495</v>
      </c>
      <c r="DC12" s="19">
        <f t="shared" si="33"/>
        <v>1.0691315232043133</v>
      </c>
      <c r="DD12" s="23">
        <v>0.8</v>
      </c>
      <c r="DE12" s="19">
        <f>'[3]METAS FORMACIÓN X CTROS'!$AU20</f>
        <v>0.85532636337948598</v>
      </c>
      <c r="DF12" s="19">
        <f t="shared" si="34"/>
        <v>1.0691579542243574</v>
      </c>
      <c r="DG12" s="23">
        <v>0.69000000000000006</v>
      </c>
      <c r="DH12" s="19">
        <f>'[3]METAS FORMACIÓN X CTROS'!$AW20</f>
        <v>0.81409866017052401</v>
      </c>
      <c r="DI12" s="19">
        <f t="shared" si="35"/>
        <v>1.1798531306819187</v>
      </c>
      <c r="DJ12" s="23">
        <v>0.89</v>
      </c>
      <c r="DK12" s="19">
        <f>'[3]METAS FORMACIÓN X CTROS'!$AX20</f>
        <v>0.909233326939063</v>
      </c>
      <c r="DL12" s="19">
        <f t="shared" si="36"/>
        <v>1.0216104797068124</v>
      </c>
      <c r="DM12" s="23">
        <v>0.57499999999999996</v>
      </c>
      <c r="DN12" s="19">
        <f>'[3]METAS FORMACIÓN X CTROS'!$AZ20</f>
        <v>0.69737325871154898</v>
      </c>
      <c r="DO12" s="19">
        <f t="shared" si="37"/>
        <v>1.2128230586287809</v>
      </c>
      <c r="DP12" s="23">
        <v>0.84499999999999997</v>
      </c>
      <c r="DQ12" s="19">
        <f>'[3]METAS FORMACIÓN X CTROS'!$BA20</f>
        <v>0.89557226399331702</v>
      </c>
      <c r="DR12" s="19">
        <f t="shared" si="38"/>
        <v>1.0598488331281859</v>
      </c>
      <c r="DS12" s="23">
        <v>0.63250000000000006</v>
      </c>
      <c r="DT12" s="19">
        <f>'[3]METAS FORMACIÓN X CTROS'!$BC20</f>
        <v>0.72206654427158801</v>
      </c>
      <c r="DU12" s="19">
        <f t="shared" si="39"/>
        <v>1.1416071846191114</v>
      </c>
      <c r="DV12" s="57">
        <v>0.83593109105824448</v>
      </c>
      <c r="DW12" s="19">
        <f>'[3]METAS FORMACIÓN X CTROS'!$BG20</f>
        <v>0.94026602176541696</v>
      </c>
      <c r="DX12" s="19">
        <f t="shared" si="40"/>
        <v>1.12481283663596</v>
      </c>
      <c r="DY12" s="57">
        <v>0.61009999999999998</v>
      </c>
      <c r="DZ12" s="19">
        <f>'[3]METAS FORMACIÓN X CTROS'!$BH20</f>
        <v>0.96827333740085397</v>
      </c>
      <c r="EA12" s="19">
        <f t="shared" si="41"/>
        <v>1.5870731640728635</v>
      </c>
      <c r="EB12" s="16">
        <v>1167</v>
      </c>
      <c r="EC12" s="56">
        <f>'[3]METAS FORMACIÓN X CTROS'!$BI20</f>
        <v>1982</v>
      </c>
      <c r="ED12" s="19">
        <f t="shared" si="42"/>
        <v>1.6983718937446444</v>
      </c>
      <c r="EE12" s="16">
        <v>326</v>
      </c>
      <c r="EF12" s="56">
        <f>'[3]METAS FORMACIÓN X CTROS'!$BJ20</f>
        <v>573</v>
      </c>
      <c r="EG12" s="19">
        <f t="shared" si="43"/>
        <v>1.7576687116564418</v>
      </c>
      <c r="EH12" s="16">
        <v>1493</v>
      </c>
      <c r="EI12" s="56">
        <f>'[3]METAS FORMACIÓN X CTROS'!$BK20</f>
        <v>2555</v>
      </c>
      <c r="EJ12" s="19">
        <f t="shared" si="44"/>
        <v>1.7113194909578031</v>
      </c>
      <c r="EK12" s="16">
        <v>15220</v>
      </c>
      <c r="EL12" s="56">
        <f>'[3]METAS FORMACIÓN X CTROS'!$BL20</f>
        <v>31220</v>
      </c>
      <c r="EM12" s="19">
        <f t="shared" si="45"/>
        <v>2.0512483574244413</v>
      </c>
      <c r="EN12" s="16">
        <v>16713</v>
      </c>
      <c r="EO12" s="56">
        <f>'[3]METAS FORMACIÓN X CTROS'!$BM20</f>
        <v>33775</v>
      </c>
      <c r="EP12" s="19">
        <f t="shared" si="46"/>
        <v>2.0208819481840483</v>
      </c>
      <c r="EQ12" s="16">
        <v>597</v>
      </c>
      <c r="ER12" s="56">
        <f>'[3]METAS FORMACIÓN X CTROS'!$BN20</f>
        <v>743</v>
      </c>
      <c r="ES12" s="19">
        <f t="shared" si="47"/>
        <v>1.2445561139028476</v>
      </c>
      <c r="ET12" s="56">
        <v>1338</v>
      </c>
      <c r="EU12" s="56">
        <f>'[3]METAS FORMACIÓN X CTROS'!$BO20</f>
        <v>6698</v>
      </c>
      <c r="EV12" s="19">
        <f t="shared" si="48"/>
        <v>5.0059790732436475</v>
      </c>
      <c r="EW12" s="56">
        <v>366</v>
      </c>
      <c r="EX12" s="56">
        <f>'[3]METAS FORMACIÓN X CTROS'!$BP20</f>
        <v>1203</v>
      </c>
      <c r="EY12" s="19">
        <f t="shared" si="49"/>
        <v>3.2868852459016393</v>
      </c>
    </row>
    <row r="13" spans="1:155" s="58" customFormat="1" x14ac:dyDescent="0.3">
      <c r="A13" s="34" t="s">
        <v>92</v>
      </c>
      <c r="B13" s="20">
        <v>5</v>
      </c>
      <c r="C13" s="20" t="s">
        <v>4</v>
      </c>
      <c r="D13" s="20">
        <v>9201</v>
      </c>
      <c r="E13" s="20" t="s">
        <v>79</v>
      </c>
      <c r="F13" s="56">
        <v>1043</v>
      </c>
      <c r="G13" s="56">
        <v>1207</v>
      </c>
      <c r="H13" s="19">
        <f t="shared" si="0"/>
        <v>1.1572387344199424</v>
      </c>
      <c r="I13" s="56">
        <v>0</v>
      </c>
      <c r="J13" s="56">
        <v>0</v>
      </c>
      <c r="K13" s="19">
        <f t="shared" si="1"/>
        <v>0</v>
      </c>
      <c r="L13" s="56">
        <v>0</v>
      </c>
      <c r="M13" s="56">
        <v>0</v>
      </c>
      <c r="N13" s="19">
        <f t="shared" si="2"/>
        <v>0</v>
      </c>
      <c r="O13" s="56">
        <v>0</v>
      </c>
      <c r="P13" s="56">
        <v>0</v>
      </c>
      <c r="Q13" s="19">
        <f t="shared" si="3"/>
        <v>0</v>
      </c>
      <c r="R13" s="56">
        <v>2485</v>
      </c>
      <c r="S13" s="56">
        <v>2796</v>
      </c>
      <c r="T13" s="19">
        <f t="shared" si="4"/>
        <v>1.1251509054325957</v>
      </c>
      <c r="U13" s="56">
        <v>2485</v>
      </c>
      <c r="V13" s="56">
        <v>2796</v>
      </c>
      <c r="W13" s="19">
        <f t="shared" si="5"/>
        <v>1.1251509054325957</v>
      </c>
      <c r="X13" s="56">
        <v>90</v>
      </c>
      <c r="Y13" s="56">
        <v>54</v>
      </c>
      <c r="Z13" s="19">
        <f t="shared" si="6"/>
        <v>0.6</v>
      </c>
      <c r="AA13" s="56">
        <v>45</v>
      </c>
      <c r="AB13" s="56">
        <v>56</v>
      </c>
      <c r="AC13" s="19">
        <f t="shared" si="7"/>
        <v>1.2444444444444445</v>
      </c>
      <c r="AD13" s="56">
        <v>0</v>
      </c>
      <c r="AE13" s="56">
        <v>0</v>
      </c>
      <c r="AF13" s="19">
        <f t="shared" si="8"/>
        <v>0</v>
      </c>
      <c r="AG13" s="56">
        <v>135</v>
      </c>
      <c r="AH13" s="56">
        <v>110</v>
      </c>
      <c r="AI13" s="19">
        <f t="shared" si="9"/>
        <v>0.81481481481481477</v>
      </c>
      <c r="AJ13" s="56">
        <v>0</v>
      </c>
      <c r="AK13" s="56">
        <v>0</v>
      </c>
      <c r="AL13" s="19">
        <f t="shared" si="10"/>
        <v>0</v>
      </c>
      <c r="AM13" s="56">
        <v>0</v>
      </c>
      <c r="AN13" s="56">
        <v>0</v>
      </c>
      <c r="AO13" s="19">
        <f t="shared" si="11"/>
        <v>0</v>
      </c>
      <c r="AP13" s="56">
        <v>0</v>
      </c>
      <c r="AQ13" s="56">
        <v>0</v>
      </c>
      <c r="AR13" s="19">
        <f t="shared" si="12"/>
        <v>0</v>
      </c>
      <c r="AS13" s="56">
        <v>0</v>
      </c>
      <c r="AT13" s="56">
        <v>0</v>
      </c>
      <c r="AU13" s="19">
        <f t="shared" si="13"/>
        <v>0</v>
      </c>
      <c r="AV13" s="56">
        <v>898</v>
      </c>
      <c r="AW13" s="56">
        <v>678</v>
      </c>
      <c r="AX13" s="19">
        <f t="shared" si="14"/>
        <v>0.75501113585746105</v>
      </c>
      <c r="AY13" s="56">
        <v>33</v>
      </c>
      <c r="AZ13" s="56">
        <v>39</v>
      </c>
      <c r="BA13" s="19">
        <f t="shared" si="15"/>
        <v>1.1818181818181819</v>
      </c>
      <c r="BB13" s="56">
        <v>0</v>
      </c>
      <c r="BC13" s="56">
        <v>0</v>
      </c>
      <c r="BD13" s="19">
        <f t="shared" si="16"/>
        <v>0</v>
      </c>
      <c r="BE13" s="56">
        <v>1480</v>
      </c>
      <c r="BF13" s="56">
        <v>1500</v>
      </c>
      <c r="BG13" s="19">
        <f t="shared" si="17"/>
        <v>1.0135135135135136</v>
      </c>
      <c r="BH13" s="56">
        <v>2811</v>
      </c>
      <c r="BI13" s="56">
        <v>2608</v>
      </c>
      <c r="BJ13" s="19">
        <f t="shared" si="18"/>
        <v>0.92778370686588407</v>
      </c>
      <c r="BK13" s="56">
        <v>0</v>
      </c>
      <c r="BL13" s="56">
        <v>0</v>
      </c>
      <c r="BM13" s="19">
        <f t="shared" si="19"/>
        <v>0</v>
      </c>
      <c r="BN13" s="56">
        <v>2946</v>
      </c>
      <c r="BO13" s="56">
        <v>2718</v>
      </c>
      <c r="BP13" s="19">
        <f t="shared" si="20"/>
        <v>0.92260692464358451</v>
      </c>
      <c r="BQ13" s="56">
        <v>5431</v>
      </c>
      <c r="BR13" s="56">
        <v>5514</v>
      </c>
      <c r="BS13" s="19">
        <f t="shared" si="21"/>
        <v>1.0152826367151537</v>
      </c>
      <c r="BT13" s="56">
        <v>1320</v>
      </c>
      <c r="BU13" s="56">
        <v>1463</v>
      </c>
      <c r="BV13" s="19">
        <f t="shared" si="22"/>
        <v>1.1083333333333334</v>
      </c>
      <c r="BW13" s="56">
        <v>9000</v>
      </c>
      <c r="BX13" s="56">
        <v>7623</v>
      </c>
      <c r="BY13" s="19">
        <f t="shared" si="23"/>
        <v>0.84699999999999998</v>
      </c>
      <c r="BZ13" s="56">
        <v>1725</v>
      </c>
      <c r="CA13" s="56">
        <v>2549</v>
      </c>
      <c r="CB13" s="19">
        <f t="shared" si="24"/>
        <v>1.4776811594202899</v>
      </c>
      <c r="CC13" s="56">
        <v>600</v>
      </c>
      <c r="CD13" s="56">
        <v>828</v>
      </c>
      <c r="CE13" s="19">
        <f t="shared" si="25"/>
        <v>1.38</v>
      </c>
      <c r="CF13" s="56">
        <v>32355</v>
      </c>
      <c r="CG13" s="56">
        <v>27065</v>
      </c>
      <c r="CH13" s="19">
        <f t="shared" si="26"/>
        <v>0.83650131355277391</v>
      </c>
      <c r="CI13" s="56">
        <v>37786</v>
      </c>
      <c r="CJ13" s="56">
        <v>32579</v>
      </c>
      <c r="CK13" s="19">
        <f t="shared" si="27"/>
        <v>0.86219763933732074</v>
      </c>
      <c r="CL13" s="56">
        <v>1803</v>
      </c>
      <c r="CM13" s="56">
        <v>2644</v>
      </c>
      <c r="CN13" s="19">
        <f t="shared" si="28"/>
        <v>1.466444814198558</v>
      </c>
      <c r="CO13" s="56">
        <v>600</v>
      </c>
      <c r="CP13" s="56">
        <v>828</v>
      </c>
      <c r="CQ13" s="19">
        <f t="shared" si="29"/>
        <v>1.38</v>
      </c>
      <c r="CR13" s="23">
        <v>0.77</v>
      </c>
      <c r="CS13" s="19">
        <v>0.84529437043403499</v>
      </c>
      <c r="CT13" s="19">
        <f t="shared" si="30"/>
        <v>1.0977848966675778</v>
      </c>
      <c r="CU13" s="23">
        <v>0.63</v>
      </c>
      <c r="CV13" s="19">
        <v>0.82192788815305395</v>
      </c>
      <c r="CW13" s="19">
        <f t="shared" si="31"/>
        <v>1.304647441512784</v>
      </c>
      <c r="CX13" s="23">
        <v>0.83</v>
      </c>
      <c r="CY13" s="19">
        <v>0.88483844241922105</v>
      </c>
      <c r="CZ13" s="19">
        <f t="shared" si="32"/>
        <v>1.0660704125532785</v>
      </c>
      <c r="DA13" s="23">
        <v>0.75</v>
      </c>
      <c r="DB13" s="19">
        <v>0.83333333333333304</v>
      </c>
      <c r="DC13" s="19">
        <f t="shared" si="33"/>
        <v>1.1111111111111107</v>
      </c>
      <c r="DD13" s="23">
        <v>0.8</v>
      </c>
      <c r="DE13" s="19">
        <v>0.85880022637238296</v>
      </c>
      <c r="DF13" s="19">
        <f t="shared" si="34"/>
        <v>1.0735002829654787</v>
      </c>
      <c r="DG13" s="23">
        <v>0.69000000000000006</v>
      </c>
      <c r="DH13" s="19">
        <v>0.82771128037722197</v>
      </c>
      <c r="DI13" s="19">
        <f t="shared" si="35"/>
        <v>1.1995815657640898</v>
      </c>
      <c r="DJ13" s="23">
        <v>0.89</v>
      </c>
      <c r="DK13" s="19">
        <v>0.754965937612047</v>
      </c>
      <c r="DL13" s="19">
        <f t="shared" si="36"/>
        <v>0.84827633439555838</v>
      </c>
      <c r="DM13" s="23">
        <v>0.57499999999999996</v>
      </c>
      <c r="DN13" s="19">
        <v>0.51719933493441705</v>
      </c>
      <c r="DO13" s="19">
        <f t="shared" si="37"/>
        <v>0.89947710423376881</v>
      </c>
      <c r="DP13" s="23">
        <v>0.84499999999999997</v>
      </c>
      <c r="DQ13" s="19">
        <v>0.77595972309628702</v>
      </c>
      <c r="DR13" s="19">
        <f t="shared" si="38"/>
        <v>0.91829553029146394</v>
      </c>
      <c r="DS13" s="23">
        <v>0.63250000000000006</v>
      </c>
      <c r="DT13" s="19">
        <v>0.56975352220755704</v>
      </c>
      <c r="DU13" s="19">
        <f t="shared" si="39"/>
        <v>0.90079608254159205</v>
      </c>
      <c r="DV13" s="57">
        <v>0.83593109105824448</v>
      </c>
      <c r="DW13" s="19">
        <v>0.74205748865355503</v>
      </c>
      <c r="DX13" s="19">
        <f t="shared" si="40"/>
        <v>0.88770174550410552</v>
      </c>
      <c r="DY13" s="57">
        <v>0.61009999999999998</v>
      </c>
      <c r="DZ13" s="19">
        <v>0.76449275362318803</v>
      </c>
      <c r="EA13" s="19">
        <f t="shared" si="41"/>
        <v>1.2530613893184528</v>
      </c>
      <c r="EB13" s="16">
        <v>1167</v>
      </c>
      <c r="EC13" s="56">
        <v>858</v>
      </c>
      <c r="ED13" s="19">
        <f t="shared" si="42"/>
        <v>0.73521850899742935</v>
      </c>
      <c r="EE13" s="16">
        <v>326</v>
      </c>
      <c r="EF13" s="56">
        <v>239</v>
      </c>
      <c r="EG13" s="19">
        <f t="shared" si="43"/>
        <v>0.73312883435582821</v>
      </c>
      <c r="EH13" s="16">
        <v>1493</v>
      </c>
      <c r="EI13" s="56">
        <v>1097</v>
      </c>
      <c r="EJ13" s="19">
        <f t="shared" si="44"/>
        <v>0.7347622237106497</v>
      </c>
      <c r="EK13" s="16">
        <v>15220</v>
      </c>
      <c r="EL13" s="56">
        <v>14659</v>
      </c>
      <c r="EM13" s="19">
        <f t="shared" si="45"/>
        <v>0.96314060446780547</v>
      </c>
      <c r="EN13" s="16">
        <v>16713</v>
      </c>
      <c r="EO13" s="56">
        <v>15756</v>
      </c>
      <c r="EP13" s="19">
        <f t="shared" si="46"/>
        <v>0.9427391850655179</v>
      </c>
      <c r="EQ13" s="16">
        <v>597</v>
      </c>
      <c r="ER13" s="56">
        <v>611</v>
      </c>
      <c r="ES13" s="19">
        <f t="shared" si="47"/>
        <v>1.0234505862646566</v>
      </c>
      <c r="ET13" s="56">
        <v>1338</v>
      </c>
      <c r="EU13" s="56">
        <v>1956</v>
      </c>
      <c r="EV13" s="19">
        <f t="shared" si="48"/>
        <v>1.4618834080717489</v>
      </c>
      <c r="EW13" s="56">
        <v>366</v>
      </c>
      <c r="EX13" s="56">
        <v>633</v>
      </c>
      <c r="EY13" s="19">
        <f t="shared" si="49"/>
        <v>1.7295081967213115</v>
      </c>
    </row>
    <row r="16" spans="1:155" x14ac:dyDescent="0.3">
      <c r="CA16" s="82"/>
      <c r="CB16" s="82"/>
    </row>
  </sheetData>
  <phoneticPr fontId="2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5C42-9348-4B36-B5A8-786B71A510B6}">
  <dimension ref="A1:FT16"/>
  <sheetViews>
    <sheetView topLeftCell="FD1" zoomScale="98" zoomScaleNormal="98" workbookViewId="0">
      <selection activeCell="EK1" sqref="EK1:ES1048576"/>
    </sheetView>
  </sheetViews>
  <sheetFormatPr baseColWidth="10" defaultRowHeight="14.4" x14ac:dyDescent="0.3"/>
  <sheetData>
    <row r="1" spans="1:176" s="58" customFormat="1" ht="158.4" x14ac:dyDescent="0.3">
      <c r="A1" s="80" t="s">
        <v>97</v>
      </c>
      <c r="B1" s="25" t="s">
        <v>7</v>
      </c>
      <c r="C1" s="25" t="s">
        <v>96</v>
      </c>
      <c r="D1" s="25" t="s">
        <v>9</v>
      </c>
      <c r="E1" s="25" t="s">
        <v>3</v>
      </c>
      <c r="F1" s="26" t="s">
        <v>296</v>
      </c>
      <c r="G1" s="26" t="s">
        <v>297</v>
      </c>
      <c r="H1" s="27" t="s">
        <v>298</v>
      </c>
      <c r="I1" s="26" t="s">
        <v>299</v>
      </c>
      <c r="J1" s="26" t="s">
        <v>300</v>
      </c>
      <c r="K1" s="27" t="s">
        <v>301</v>
      </c>
      <c r="L1" s="28" t="s">
        <v>302</v>
      </c>
      <c r="M1" s="28" t="s">
        <v>303</v>
      </c>
      <c r="N1" s="29" t="s">
        <v>304</v>
      </c>
      <c r="O1" s="26" t="s">
        <v>305</v>
      </c>
      <c r="P1" s="26" t="s">
        <v>306</v>
      </c>
      <c r="Q1" s="27" t="s">
        <v>307</v>
      </c>
      <c r="R1" s="28" t="s">
        <v>308</v>
      </c>
      <c r="S1" s="28" t="s">
        <v>309</v>
      </c>
      <c r="T1" s="29" t="s">
        <v>310</v>
      </c>
      <c r="U1" s="26" t="s">
        <v>311</v>
      </c>
      <c r="V1" s="26" t="s">
        <v>312</v>
      </c>
      <c r="W1" s="27" t="s">
        <v>313</v>
      </c>
      <c r="X1" s="28" t="s">
        <v>314</v>
      </c>
      <c r="Y1" s="28" t="s">
        <v>315</v>
      </c>
      <c r="Z1" s="29" t="s">
        <v>316</v>
      </c>
      <c r="AA1" s="26" t="s">
        <v>317</v>
      </c>
      <c r="AB1" s="26" t="s">
        <v>318</v>
      </c>
      <c r="AC1" s="27" t="s">
        <v>319</v>
      </c>
      <c r="AD1" s="28" t="s">
        <v>320</v>
      </c>
      <c r="AE1" s="28" t="s">
        <v>321</v>
      </c>
      <c r="AF1" s="29" t="s">
        <v>322</v>
      </c>
      <c r="AG1" s="26" t="s">
        <v>323</v>
      </c>
      <c r="AH1" s="26" t="s">
        <v>324</v>
      </c>
      <c r="AI1" s="27" t="s">
        <v>325</v>
      </c>
      <c r="AJ1" s="28" t="s">
        <v>326</v>
      </c>
      <c r="AK1" s="28" t="s">
        <v>327</v>
      </c>
      <c r="AL1" s="29" t="s">
        <v>328</v>
      </c>
      <c r="AM1" s="26" t="s">
        <v>329</v>
      </c>
      <c r="AN1" s="26" t="s">
        <v>330</v>
      </c>
      <c r="AO1" s="27" t="s">
        <v>331</v>
      </c>
      <c r="AP1" s="28" t="s">
        <v>332</v>
      </c>
      <c r="AQ1" s="28" t="s">
        <v>333</v>
      </c>
      <c r="AR1" s="29" t="s">
        <v>334</v>
      </c>
      <c r="AS1" s="26" t="s">
        <v>335</v>
      </c>
      <c r="AT1" s="26" t="s">
        <v>336</v>
      </c>
      <c r="AU1" s="27" t="s">
        <v>337</v>
      </c>
      <c r="AV1" s="28" t="s">
        <v>338</v>
      </c>
      <c r="AW1" s="28" t="s">
        <v>339</v>
      </c>
      <c r="AX1" s="29" t="s">
        <v>340</v>
      </c>
      <c r="AY1" s="26" t="s">
        <v>341</v>
      </c>
      <c r="AZ1" s="26" t="s">
        <v>342</v>
      </c>
      <c r="BA1" s="27" t="s">
        <v>343</v>
      </c>
      <c r="BB1" s="28" t="s">
        <v>344</v>
      </c>
      <c r="BC1" s="28" t="s">
        <v>345</v>
      </c>
      <c r="BD1" s="29" t="s">
        <v>346</v>
      </c>
      <c r="BE1" s="28" t="s">
        <v>347</v>
      </c>
      <c r="BF1" s="28" t="s">
        <v>348</v>
      </c>
      <c r="BG1" s="29" t="s">
        <v>349</v>
      </c>
      <c r="BH1" s="26" t="s">
        <v>350</v>
      </c>
      <c r="BI1" s="26" t="s">
        <v>351</v>
      </c>
      <c r="BJ1" s="27" t="s">
        <v>352</v>
      </c>
      <c r="BK1" s="28" t="s">
        <v>353</v>
      </c>
      <c r="BL1" s="28" t="s">
        <v>354</v>
      </c>
      <c r="BM1" s="29" t="s">
        <v>355</v>
      </c>
      <c r="BN1" s="26" t="s">
        <v>356</v>
      </c>
      <c r="BO1" s="26" t="s">
        <v>357</v>
      </c>
      <c r="BP1" s="27" t="s">
        <v>358</v>
      </c>
      <c r="BQ1" s="28" t="s">
        <v>359</v>
      </c>
      <c r="BR1" s="28" t="s">
        <v>360</v>
      </c>
      <c r="BS1" s="29" t="s">
        <v>361</v>
      </c>
      <c r="BT1" s="26" t="s">
        <v>362</v>
      </c>
      <c r="BU1" s="26" t="s">
        <v>363</v>
      </c>
      <c r="BV1" s="27" t="s">
        <v>364</v>
      </c>
      <c r="BW1" s="28" t="s">
        <v>365</v>
      </c>
      <c r="BX1" s="28" t="s">
        <v>366</v>
      </c>
      <c r="BY1" s="29" t="s">
        <v>367</v>
      </c>
      <c r="BZ1" s="30" t="s">
        <v>368</v>
      </c>
      <c r="CA1" s="30" t="s">
        <v>369</v>
      </c>
      <c r="CB1" s="31" t="s">
        <v>370</v>
      </c>
      <c r="CC1" s="26" t="s">
        <v>371</v>
      </c>
      <c r="CD1" s="26" t="s">
        <v>372</v>
      </c>
      <c r="CE1" s="27" t="s">
        <v>373</v>
      </c>
      <c r="CF1" s="26" t="s">
        <v>374</v>
      </c>
      <c r="CG1" s="26" t="s">
        <v>375</v>
      </c>
      <c r="CH1" s="27" t="s">
        <v>376</v>
      </c>
      <c r="CI1" s="26" t="s">
        <v>377</v>
      </c>
      <c r="CJ1" s="26" t="s">
        <v>378</v>
      </c>
      <c r="CK1" s="27" t="s">
        <v>379</v>
      </c>
      <c r="CL1" s="28" t="s">
        <v>380</v>
      </c>
      <c r="CM1" s="28" t="s">
        <v>381</v>
      </c>
      <c r="CN1" s="29" t="s">
        <v>382</v>
      </c>
      <c r="CO1" s="26" t="s">
        <v>383</v>
      </c>
      <c r="CP1" s="26" t="s">
        <v>384</v>
      </c>
      <c r="CQ1" s="27" t="s">
        <v>385</v>
      </c>
      <c r="CR1" s="28" t="s">
        <v>386</v>
      </c>
      <c r="CS1" s="28" t="s">
        <v>387</v>
      </c>
      <c r="CT1" s="29" t="s">
        <v>388</v>
      </c>
      <c r="CU1" s="26" t="s">
        <v>389</v>
      </c>
      <c r="CV1" s="26" t="s">
        <v>390</v>
      </c>
      <c r="CW1" s="27" t="s">
        <v>391</v>
      </c>
      <c r="CX1" s="28" t="s">
        <v>392</v>
      </c>
      <c r="CY1" s="28" t="s">
        <v>393</v>
      </c>
      <c r="CZ1" s="29" t="s">
        <v>394</v>
      </c>
      <c r="DA1" s="26" t="s">
        <v>395</v>
      </c>
      <c r="DB1" s="26" t="s">
        <v>396</v>
      </c>
      <c r="DC1" s="27" t="s">
        <v>397</v>
      </c>
      <c r="DD1" s="32" t="s">
        <v>398</v>
      </c>
      <c r="DE1" s="32" t="s">
        <v>399</v>
      </c>
      <c r="DF1" s="33" t="s">
        <v>400</v>
      </c>
      <c r="DG1" s="30" t="s">
        <v>401</v>
      </c>
      <c r="DH1" s="30" t="s">
        <v>402</v>
      </c>
      <c r="DI1" s="31" t="s">
        <v>403</v>
      </c>
      <c r="DJ1" s="28" t="s">
        <v>404</v>
      </c>
      <c r="DK1" s="28" t="s">
        <v>405</v>
      </c>
      <c r="DL1" s="29" t="s">
        <v>406</v>
      </c>
      <c r="DM1" s="26" t="s">
        <v>407</v>
      </c>
      <c r="DN1" s="26" t="s">
        <v>408</v>
      </c>
      <c r="DO1" s="27" t="s">
        <v>409</v>
      </c>
      <c r="DP1" s="26" t="s">
        <v>410</v>
      </c>
      <c r="DQ1" s="26" t="s">
        <v>411</v>
      </c>
      <c r="DR1" s="27" t="s">
        <v>412</v>
      </c>
      <c r="DS1" s="28" t="s">
        <v>413</v>
      </c>
      <c r="DT1" s="28" t="s">
        <v>414</v>
      </c>
      <c r="DU1" s="29" t="s">
        <v>415</v>
      </c>
      <c r="DV1" s="28" t="s">
        <v>416</v>
      </c>
      <c r="DW1" s="28" t="s">
        <v>417</v>
      </c>
      <c r="DX1" s="29" t="s">
        <v>418</v>
      </c>
      <c r="DY1" s="26" t="s">
        <v>419</v>
      </c>
      <c r="DZ1" s="26" t="s">
        <v>420</v>
      </c>
      <c r="EA1" s="27" t="s">
        <v>421</v>
      </c>
      <c r="EB1" s="26" t="s">
        <v>422</v>
      </c>
      <c r="EC1" s="26" t="s">
        <v>423</v>
      </c>
      <c r="ED1" s="27" t="s">
        <v>424</v>
      </c>
      <c r="EE1" s="30" t="s">
        <v>425</v>
      </c>
      <c r="EF1" s="30" t="s">
        <v>426</v>
      </c>
      <c r="EG1" s="31" t="s">
        <v>427</v>
      </c>
      <c r="EH1" s="28" t="s">
        <v>428</v>
      </c>
      <c r="EI1" s="28" t="s">
        <v>429</v>
      </c>
      <c r="EJ1" s="29" t="s">
        <v>430</v>
      </c>
      <c r="EK1" s="32" t="s">
        <v>431</v>
      </c>
      <c r="EL1" s="32" t="s">
        <v>432</v>
      </c>
      <c r="EM1" s="33" t="s">
        <v>433</v>
      </c>
      <c r="EN1" s="30" t="s">
        <v>434</v>
      </c>
      <c r="EO1" s="30" t="s">
        <v>435</v>
      </c>
      <c r="EP1" s="31" t="s">
        <v>436</v>
      </c>
      <c r="EQ1" s="28" t="s">
        <v>437</v>
      </c>
      <c r="ER1" s="28" t="s">
        <v>438</v>
      </c>
      <c r="ES1" s="29" t="s">
        <v>439</v>
      </c>
      <c r="ET1" s="26" t="s">
        <v>440</v>
      </c>
      <c r="EU1" s="26" t="s">
        <v>441</v>
      </c>
      <c r="EV1" s="27" t="s">
        <v>442</v>
      </c>
      <c r="EW1" s="28" t="s">
        <v>443</v>
      </c>
      <c r="EX1" s="28" t="s">
        <v>444</v>
      </c>
      <c r="EY1" s="29" t="s">
        <v>445</v>
      </c>
      <c r="EZ1" s="26" t="s">
        <v>446</v>
      </c>
      <c r="FA1" s="26" t="s">
        <v>447</v>
      </c>
      <c r="FB1" s="27" t="s">
        <v>448</v>
      </c>
      <c r="FC1" s="30" t="s">
        <v>449</v>
      </c>
      <c r="FD1" s="30" t="s">
        <v>450</v>
      </c>
      <c r="FE1" s="30" t="s">
        <v>451</v>
      </c>
      <c r="FF1" s="32" t="s">
        <v>452</v>
      </c>
      <c r="FG1" s="32" t="s">
        <v>453</v>
      </c>
      <c r="FH1" s="32" t="s">
        <v>454</v>
      </c>
      <c r="FI1" s="30" t="s">
        <v>455</v>
      </c>
      <c r="FJ1" s="30" t="s">
        <v>456</v>
      </c>
      <c r="FK1" s="30" t="s">
        <v>457</v>
      </c>
      <c r="FL1" s="26" t="s">
        <v>458</v>
      </c>
      <c r="FM1" s="26" t="s">
        <v>459</v>
      </c>
      <c r="FN1" s="26" t="s">
        <v>460</v>
      </c>
      <c r="FO1" s="28" t="s">
        <v>461</v>
      </c>
      <c r="FP1" s="28" t="s">
        <v>462</v>
      </c>
      <c r="FQ1" s="28" t="s">
        <v>463</v>
      </c>
      <c r="FR1" s="26" t="s">
        <v>464</v>
      </c>
      <c r="FS1" s="26" t="s">
        <v>465</v>
      </c>
      <c r="FT1" s="27" t="s">
        <v>466</v>
      </c>
    </row>
    <row r="2" spans="1:176" s="58" customFormat="1" x14ac:dyDescent="0.3">
      <c r="A2" s="34" t="s">
        <v>81</v>
      </c>
      <c r="B2" s="34">
        <v>5</v>
      </c>
      <c r="C2" s="34" t="s">
        <v>4</v>
      </c>
      <c r="D2" s="34">
        <v>9201</v>
      </c>
      <c r="E2" s="34" t="s">
        <v>79</v>
      </c>
      <c r="F2" s="60">
        <v>1229</v>
      </c>
      <c r="G2" s="60">
        <v>823</v>
      </c>
      <c r="H2" s="57">
        <f t="shared" ref="H2:H7" si="0">IFERROR(G2/F2,0)</f>
        <v>0.66965012205044749</v>
      </c>
      <c r="I2" s="60">
        <v>0</v>
      </c>
      <c r="J2" s="60">
        <v>0</v>
      </c>
      <c r="K2" s="57">
        <f t="shared" ref="K2:K7" si="1">IFERROR(J2/I2,0)</f>
        <v>0</v>
      </c>
      <c r="L2" s="60">
        <v>0</v>
      </c>
      <c r="M2" s="60">
        <v>0</v>
      </c>
      <c r="N2" s="57">
        <f t="shared" ref="N2:N7" si="2">IFERROR(M2/L2,0)</f>
        <v>0</v>
      </c>
      <c r="O2" s="60">
        <v>15</v>
      </c>
      <c r="P2" s="60">
        <v>0</v>
      </c>
      <c r="Q2" s="57">
        <f t="shared" ref="Q2:Q7" si="3">IFERROR(P2/O2,0)</f>
        <v>0</v>
      </c>
      <c r="R2" s="60">
        <v>0</v>
      </c>
      <c r="S2" s="60">
        <v>0</v>
      </c>
      <c r="T2" s="57">
        <f t="shared" ref="T2:T7" si="4">IFERROR(S2/R2,0)</f>
        <v>0</v>
      </c>
      <c r="U2" s="60">
        <v>2566</v>
      </c>
      <c r="V2" s="60">
        <v>1980</v>
      </c>
      <c r="W2" s="57">
        <f t="shared" ref="W2:W7" si="5">IFERROR(V2/U2,0)</f>
        <v>0.77162899454403744</v>
      </c>
      <c r="X2" s="60">
        <f t="shared" ref="X2" si="6">+U2</f>
        <v>2566</v>
      </c>
      <c r="Y2" s="60">
        <v>1980</v>
      </c>
      <c r="Z2" s="57">
        <f t="shared" ref="Z2:Z7" si="7">IFERROR(Y2/X2,0)</f>
        <v>0.77162899454403744</v>
      </c>
      <c r="AA2" s="60">
        <v>54</v>
      </c>
      <c r="AB2" s="60">
        <v>34</v>
      </c>
      <c r="AC2" s="57">
        <f>IFERROR(AB2/AA2,0)</f>
        <v>0.62962962962962965</v>
      </c>
      <c r="AD2" s="60">
        <v>45</v>
      </c>
      <c r="AE2" s="60">
        <v>0</v>
      </c>
      <c r="AF2" s="57">
        <f t="shared" ref="AF2:AF7" si="8">IFERROR(AE2/AD2,0)</f>
        <v>0</v>
      </c>
      <c r="AG2" s="60">
        <v>0</v>
      </c>
      <c r="AH2" s="60">
        <v>0</v>
      </c>
      <c r="AI2" s="57">
        <f t="shared" ref="AI2:AI7" si="9">IFERROR(AH2/AG2,0)</f>
        <v>0</v>
      </c>
      <c r="AJ2" s="60">
        <v>0</v>
      </c>
      <c r="AK2" s="60">
        <v>0</v>
      </c>
      <c r="AL2" s="57">
        <f t="shared" ref="AL2:AL7" si="10">IFERROR(AK2/AJ2,0)</f>
        <v>0</v>
      </c>
      <c r="AM2" s="60">
        <f t="shared" ref="AM2" si="11">SUM(AA2:AJ2)</f>
        <v>133.62962962962962</v>
      </c>
      <c r="AN2" s="60">
        <v>34</v>
      </c>
      <c r="AO2" s="57">
        <f t="shared" ref="AO2:AO7" si="12">IFERROR(AN2/AM2,0)</f>
        <v>0.25443458980044348</v>
      </c>
      <c r="AP2" s="60">
        <v>60</v>
      </c>
      <c r="AQ2" s="60">
        <v>0</v>
      </c>
      <c r="AR2" s="57">
        <f t="shared" ref="AR2:AR7" si="13">IFERROR(AQ2/AP2,0)</f>
        <v>0</v>
      </c>
      <c r="AS2" s="60">
        <v>0</v>
      </c>
      <c r="AT2" s="60">
        <v>0</v>
      </c>
      <c r="AU2" s="57">
        <f t="shared" ref="AU2:AU7" si="14">IFERROR(AT2/AS2,0)</f>
        <v>0</v>
      </c>
      <c r="AV2" s="60">
        <v>0</v>
      </c>
      <c r="AW2" s="60">
        <v>0</v>
      </c>
      <c r="AX2" s="57">
        <f t="shared" ref="AX2:AX7" si="15">IFERROR(AW2/AV2,0)</f>
        <v>0</v>
      </c>
      <c r="AY2" s="60">
        <f t="shared" ref="AY2" si="16">SUM(AP2:AV2)</f>
        <v>60</v>
      </c>
      <c r="AZ2" s="60">
        <v>0</v>
      </c>
      <c r="BA2" s="57">
        <f t="shared" ref="BA2:BA7" si="17">IFERROR(AZ2/AY2,0)</f>
        <v>0</v>
      </c>
      <c r="BB2" s="60">
        <v>631</v>
      </c>
      <c r="BC2" s="60">
        <v>314</v>
      </c>
      <c r="BD2" s="57">
        <f t="shared" ref="BD2:BD7" si="18">IFERROR(BC2/BB2,0)</f>
        <v>0.49762282091917592</v>
      </c>
      <c r="BE2" s="60">
        <v>110</v>
      </c>
      <c r="BF2" s="60">
        <v>14</v>
      </c>
      <c r="BG2" s="57">
        <f t="shared" ref="BG2:BG7" si="19">IFERROR(BF2/BE2,0)</f>
        <v>0.12727272727272726</v>
      </c>
      <c r="BH2" s="60">
        <v>0</v>
      </c>
      <c r="BI2" s="60">
        <v>0</v>
      </c>
      <c r="BJ2" s="57">
        <f t="shared" ref="BJ2:BJ7" si="20">IFERROR(BI2/BH2,0)</f>
        <v>0</v>
      </c>
      <c r="BK2" s="60">
        <v>1499</v>
      </c>
      <c r="BL2" s="60">
        <v>0</v>
      </c>
      <c r="BM2" s="57">
        <f t="shared" ref="BM2:BM7" si="21">IFERROR(BL2/BK2,0)</f>
        <v>0</v>
      </c>
      <c r="BN2" s="60">
        <v>0</v>
      </c>
      <c r="BO2" s="60">
        <v>0</v>
      </c>
      <c r="BP2" s="57">
        <f t="shared" ref="BP2:BP7" si="22">IFERROR(BO2/BN2,0)</f>
        <v>0</v>
      </c>
      <c r="BQ2" s="60">
        <v>2689</v>
      </c>
      <c r="BR2" s="60">
        <v>471</v>
      </c>
      <c r="BS2" s="57">
        <f t="shared" ref="BS2:BS7" si="23">IFERROR(BR2/BQ2,0)</f>
        <v>0.17515805132019338</v>
      </c>
      <c r="BT2" s="60">
        <v>0</v>
      </c>
      <c r="BU2" s="60">
        <v>0</v>
      </c>
      <c r="BV2" s="57">
        <f t="shared" ref="BV2:BV7" si="24">IFERROR(BU2/BT2,0)</f>
        <v>0</v>
      </c>
      <c r="BW2" s="60">
        <v>2883</v>
      </c>
      <c r="BX2" s="60">
        <v>505</v>
      </c>
      <c r="BY2" s="57">
        <f t="shared" ref="BY2:BY7" si="25">IFERROR(BX2/BW2,0)</f>
        <v>0.17516475893166841</v>
      </c>
      <c r="BZ2" s="60">
        <f>SUM(BW2,X2)</f>
        <v>5449</v>
      </c>
      <c r="CA2" s="60">
        <v>2485</v>
      </c>
      <c r="CB2" s="57">
        <f t="shared" ref="CB2:CB7" si="26">IFERROR(CA2/BZ2,0)</f>
        <v>0.45604698109744907</v>
      </c>
      <c r="CC2" s="60">
        <v>9660</v>
      </c>
      <c r="CD2" s="60">
        <v>0</v>
      </c>
      <c r="CE2" s="57">
        <f t="shared" ref="CE2:CE7" si="27">IFERROR(CD2/CC2,0)</f>
        <v>0</v>
      </c>
      <c r="CF2" s="60">
        <v>0</v>
      </c>
      <c r="CG2" s="60">
        <v>0</v>
      </c>
      <c r="CH2" s="57">
        <f t="shared" ref="CH2:CH7" si="28">IFERROR(CG2/CF2,0)</f>
        <v>0</v>
      </c>
      <c r="CI2" s="60">
        <v>60</v>
      </c>
      <c r="CJ2" s="60">
        <v>0</v>
      </c>
      <c r="CK2" s="57">
        <f t="shared" ref="CK2:CK7" si="29">IFERROR(CJ2/CI2,0)</f>
        <v>0</v>
      </c>
      <c r="CL2" s="60">
        <v>60</v>
      </c>
      <c r="CM2" s="60">
        <v>0</v>
      </c>
      <c r="CN2" s="57">
        <f t="shared" ref="CN2:CN7" si="30">IFERROR(CM2/CL2,0)</f>
        <v>0</v>
      </c>
      <c r="CO2" s="60">
        <v>1725</v>
      </c>
      <c r="CP2" s="60">
        <v>0</v>
      </c>
      <c r="CQ2" s="57">
        <f t="shared" ref="CQ2:CQ7" si="31">IFERROR(CP2/CO2,0)</f>
        <v>0</v>
      </c>
      <c r="CR2" s="60">
        <f t="shared" ref="CR2" si="32">SUM(CL2:CO2)</f>
        <v>1785</v>
      </c>
      <c r="CS2" s="60">
        <v>0</v>
      </c>
      <c r="CT2" s="57">
        <f t="shared" ref="CT2:CT7" si="33">IFERROR(CS2/CR2,0)</f>
        <v>0</v>
      </c>
      <c r="CU2" s="60">
        <v>500</v>
      </c>
      <c r="CV2" s="60">
        <v>0</v>
      </c>
      <c r="CW2" s="57">
        <f t="shared" ref="CW2:CW7" si="34">IFERROR(CV2/CU2,0)</f>
        <v>0</v>
      </c>
      <c r="CX2" s="60">
        <v>45</v>
      </c>
      <c r="CY2" s="60">
        <v>0</v>
      </c>
      <c r="CZ2" s="57">
        <f t="shared" ref="CZ2:CZ7" si="35">IFERROR(CY2/CX2,0)</f>
        <v>0</v>
      </c>
      <c r="DA2" s="60">
        <f t="shared" ref="DA2" si="36">SUM(CU2:CX2)</f>
        <v>545</v>
      </c>
      <c r="DB2" s="60">
        <v>0</v>
      </c>
      <c r="DC2" s="57">
        <f t="shared" ref="DC2:DC7" si="37">IFERROR(DB2/DA2,0)</f>
        <v>0</v>
      </c>
      <c r="DD2" s="60" t="e">
        <f>SUM(DA2,CR2,#REF!,CC2,#REF!)</f>
        <v>#REF!</v>
      </c>
      <c r="DE2" s="61">
        <v>0</v>
      </c>
      <c r="DF2" s="57">
        <f t="shared" ref="DF2:DF7" si="38">IFERROR(DE2/DD2,0)</f>
        <v>0</v>
      </c>
      <c r="DG2" s="61" t="e">
        <f>SUM(DD2,BZ2)</f>
        <v>#REF!</v>
      </c>
      <c r="DH2" s="62">
        <v>2485</v>
      </c>
      <c r="DI2" s="57">
        <f t="shared" ref="DI2:DI7" si="39">IFERROR(DH2/DG2,0)</f>
        <v>0</v>
      </c>
      <c r="DJ2" s="63">
        <f>SUM(CR2,BE2,AS2,AD2,L2)</f>
        <v>1940</v>
      </c>
      <c r="DK2" s="63">
        <v>14</v>
      </c>
      <c r="DL2" s="57">
        <f t="shared" ref="DL2:DL7" si="40">IFERROR(DK2/DJ2,0)</f>
        <v>7.2164948453608251E-3</v>
      </c>
      <c r="DM2" s="63">
        <f>SUM(DA2,BH2,AG2,O2,AV2)</f>
        <v>560</v>
      </c>
      <c r="DN2" s="63">
        <v>0</v>
      </c>
      <c r="DO2" s="57">
        <f t="shared" ref="DO2:DO7" si="41">IFERROR(DN2/DM2,0)</f>
        <v>0</v>
      </c>
      <c r="DP2" s="60">
        <v>951</v>
      </c>
      <c r="DQ2" s="63">
        <v>0</v>
      </c>
      <c r="DR2" s="57">
        <f t="shared" ref="DR2:DR7" si="42">IFERROR(DQ2/DP2,0)</f>
        <v>0</v>
      </c>
      <c r="DS2" s="64">
        <v>0.82</v>
      </c>
      <c r="DT2" s="64">
        <v>0.99756986634264899</v>
      </c>
      <c r="DU2" s="57">
        <f>IFERROR(DT2/DS2,0)</f>
        <v>1.2165486174910354</v>
      </c>
      <c r="DV2" s="64">
        <v>0.83</v>
      </c>
      <c r="DW2" s="64">
        <v>0.99696969696969695</v>
      </c>
      <c r="DX2" s="57">
        <f t="shared" ref="DX2:DX7" si="43">IFERROR(DW2/DV2,0)</f>
        <v>1.2011683096020447</v>
      </c>
      <c r="DY2" s="64">
        <v>0.75</v>
      </c>
      <c r="DZ2" s="64">
        <v>1</v>
      </c>
      <c r="EA2" s="57">
        <f t="shared" ref="EA2:EA7" si="44">IFERROR(DZ2/DY2,0)</f>
        <v>1.3333333333333333</v>
      </c>
      <c r="EB2" s="64">
        <v>0.64</v>
      </c>
      <c r="EC2" s="64">
        <v>1</v>
      </c>
      <c r="ED2" s="57">
        <f t="shared" ref="ED2:ED7" si="45">IFERROR(EC2/EB2,0)</f>
        <v>1.5625</v>
      </c>
      <c r="EE2" s="64">
        <v>0.74</v>
      </c>
      <c r="EF2" s="64">
        <v>0.99758551307847099</v>
      </c>
      <c r="EG2" s="57">
        <f t="shared" ref="EG2:EG7" si="46">IFERROR(EF2/EE2,0)</f>
        <v>1.3480885311871229</v>
      </c>
      <c r="EH2" s="64">
        <v>0.76</v>
      </c>
      <c r="EI2" s="64">
        <v>0</v>
      </c>
      <c r="EJ2" s="57">
        <f t="shared" ref="EJ2:EJ7" si="47">IFERROR(EI2/EH2,0)</f>
        <v>0</v>
      </c>
      <c r="EK2" s="64">
        <v>0.5</v>
      </c>
      <c r="EL2" s="64">
        <v>0</v>
      </c>
      <c r="EM2" s="57">
        <f t="shared" ref="EM2:EM7" si="48">IFERROR(EL2/EK2,0)</f>
        <v>0</v>
      </c>
      <c r="EN2" s="64">
        <v>0.62</v>
      </c>
      <c r="EO2" s="64">
        <v>0.99758551307847099</v>
      </c>
      <c r="EP2" s="57">
        <f t="shared" ref="EP2:EP7" si="49">IFERROR(EO2/EN2,0)</f>
        <v>1.60900889206205</v>
      </c>
      <c r="EQ2" s="64">
        <v>0.78</v>
      </c>
      <c r="ER2" s="64">
        <v>1</v>
      </c>
      <c r="ES2" s="57">
        <f t="shared" ref="ES2:ES7" si="50">IFERROR(ER2/EQ2,0)</f>
        <v>1.2820512820512819</v>
      </c>
      <c r="ET2" s="64">
        <v>0.81</v>
      </c>
      <c r="EU2" s="57">
        <v>0</v>
      </c>
      <c r="EV2" s="57">
        <f t="shared" ref="EV2:EV7" si="51">IFERROR(EU2/ET2,0)</f>
        <v>0</v>
      </c>
      <c r="EW2" s="35">
        <v>330</v>
      </c>
      <c r="EX2" s="35">
        <v>0</v>
      </c>
      <c r="EY2" s="57">
        <f t="shared" ref="EY2:EY7" si="52">IFERROR(EX2/EW2,0)</f>
        <v>0</v>
      </c>
      <c r="EZ2" s="35">
        <v>859</v>
      </c>
      <c r="FA2" s="35">
        <v>0</v>
      </c>
      <c r="FB2" s="57">
        <f t="shared" ref="FB2:FB7" si="53">IFERROR(FA2/EZ2,0)</f>
        <v>0</v>
      </c>
      <c r="FC2" s="36">
        <v>1189</v>
      </c>
      <c r="FD2" s="35">
        <v>0</v>
      </c>
      <c r="FE2" s="57">
        <f t="shared" ref="FE2:FE7" si="54">IFERROR(FD2/FC2,0)</f>
        <v>0</v>
      </c>
      <c r="FF2" s="35">
        <v>14211</v>
      </c>
      <c r="FG2" s="35">
        <v>0</v>
      </c>
      <c r="FH2" s="57">
        <f t="shared" ref="FH2:FH7" si="55">IFERROR(FG2/FF2,0)</f>
        <v>0</v>
      </c>
      <c r="FI2" s="36">
        <v>15400</v>
      </c>
      <c r="FJ2" s="36">
        <v>0</v>
      </c>
      <c r="FK2" s="57">
        <f t="shared" ref="FK2:FK7" si="56">IFERROR(FJ2/FI2,0)</f>
        <v>0</v>
      </c>
      <c r="FL2" s="36">
        <v>555</v>
      </c>
      <c r="FM2" s="36">
        <v>0</v>
      </c>
      <c r="FN2" s="57">
        <f>IFERROR(FM2/FL2,0)</f>
        <v>0</v>
      </c>
      <c r="FO2" s="36">
        <v>1362</v>
      </c>
      <c r="FP2" s="36">
        <v>0</v>
      </c>
      <c r="FQ2" s="57">
        <f t="shared" ref="FQ2:FQ7" si="57">IFERROR(FP2/FO2,0)</f>
        <v>0</v>
      </c>
      <c r="FR2" s="65">
        <v>405</v>
      </c>
      <c r="FS2" s="66">
        <v>0</v>
      </c>
      <c r="FT2" s="57">
        <f t="shared" ref="FT2:FT7" si="58">IFERROR(FS2/FR2,0)</f>
        <v>0</v>
      </c>
    </row>
    <row r="3" spans="1:176" s="58" customFormat="1" x14ac:dyDescent="0.3">
      <c r="A3" s="34" t="s">
        <v>82</v>
      </c>
      <c r="B3" s="37">
        <v>5</v>
      </c>
      <c r="C3" s="37" t="s">
        <v>4</v>
      </c>
      <c r="D3" s="37">
        <v>9201</v>
      </c>
      <c r="E3" s="37" t="s">
        <v>79</v>
      </c>
      <c r="F3" s="67">
        <v>1229</v>
      </c>
      <c r="G3" s="67">
        <v>917</v>
      </c>
      <c r="H3" s="57">
        <f t="shared" si="0"/>
        <v>0.74613506916192029</v>
      </c>
      <c r="I3" s="67">
        <v>0</v>
      </c>
      <c r="J3" s="67">
        <v>0</v>
      </c>
      <c r="K3" s="57">
        <f t="shared" si="1"/>
        <v>0</v>
      </c>
      <c r="L3" s="67">
        <v>0</v>
      </c>
      <c r="M3" s="67">
        <v>0</v>
      </c>
      <c r="N3" s="57">
        <f t="shared" si="2"/>
        <v>0</v>
      </c>
      <c r="O3" s="67">
        <v>15</v>
      </c>
      <c r="P3" s="67">
        <v>0</v>
      </c>
      <c r="Q3" s="57">
        <f t="shared" si="3"/>
        <v>0</v>
      </c>
      <c r="R3" s="67">
        <v>0</v>
      </c>
      <c r="S3" s="67">
        <v>0</v>
      </c>
      <c r="T3" s="57">
        <f t="shared" si="4"/>
        <v>0</v>
      </c>
      <c r="U3" s="67">
        <v>3320</v>
      </c>
      <c r="V3" s="67">
        <v>2074</v>
      </c>
      <c r="W3" s="57">
        <f t="shared" si="5"/>
        <v>0.62469879518072291</v>
      </c>
      <c r="X3" s="67">
        <f t="shared" ref="X3" si="59">+U3</f>
        <v>3320</v>
      </c>
      <c r="Y3" s="67">
        <v>2074</v>
      </c>
      <c r="Z3" s="57">
        <f t="shared" si="7"/>
        <v>0.62469879518072291</v>
      </c>
      <c r="AA3" s="67">
        <v>54</v>
      </c>
      <c r="AB3" s="67">
        <v>34</v>
      </c>
      <c r="AC3" s="57">
        <f t="shared" ref="AC3:AC7" si="60">IFERROR(AB3/AA3,0)</f>
        <v>0.62962962962962965</v>
      </c>
      <c r="AD3" s="67">
        <v>45</v>
      </c>
      <c r="AE3" s="67">
        <v>15</v>
      </c>
      <c r="AF3" s="57">
        <f t="shared" si="8"/>
        <v>0.33333333333333331</v>
      </c>
      <c r="AG3" s="67">
        <v>0</v>
      </c>
      <c r="AH3" s="67">
        <v>0</v>
      </c>
      <c r="AI3" s="57">
        <f t="shared" si="9"/>
        <v>0</v>
      </c>
      <c r="AJ3" s="67">
        <v>0</v>
      </c>
      <c r="AK3" s="67">
        <v>0</v>
      </c>
      <c r="AL3" s="57">
        <f t="shared" si="10"/>
        <v>0</v>
      </c>
      <c r="AM3" s="67">
        <f t="shared" ref="AM3" si="61">+AA3+AD3+AG3+AJ3</f>
        <v>99</v>
      </c>
      <c r="AN3" s="67">
        <v>49</v>
      </c>
      <c r="AO3" s="57">
        <f t="shared" si="12"/>
        <v>0.49494949494949497</v>
      </c>
      <c r="AP3" s="67">
        <v>60</v>
      </c>
      <c r="AQ3" s="67">
        <v>0</v>
      </c>
      <c r="AR3" s="57">
        <f t="shared" si="13"/>
        <v>0</v>
      </c>
      <c r="AS3" s="67">
        <v>0</v>
      </c>
      <c r="AT3" s="67">
        <v>0</v>
      </c>
      <c r="AU3" s="57">
        <f t="shared" si="14"/>
        <v>0</v>
      </c>
      <c r="AV3" s="67">
        <v>0</v>
      </c>
      <c r="AW3" s="67">
        <v>0</v>
      </c>
      <c r="AX3" s="57">
        <f t="shared" si="15"/>
        <v>0</v>
      </c>
      <c r="AY3" s="67">
        <f t="shared" ref="AY3" si="62">+AP3+AS3+AV3</f>
        <v>60</v>
      </c>
      <c r="AZ3" s="67">
        <v>0</v>
      </c>
      <c r="BA3" s="57">
        <f t="shared" si="17"/>
        <v>0</v>
      </c>
      <c r="BB3" s="67">
        <v>631</v>
      </c>
      <c r="BC3" s="67">
        <v>361</v>
      </c>
      <c r="BD3" s="57">
        <f t="shared" si="18"/>
        <v>0.57210776545166397</v>
      </c>
      <c r="BE3" s="67">
        <v>110</v>
      </c>
      <c r="BF3" s="67">
        <v>44</v>
      </c>
      <c r="BG3" s="57">
        <f t="shared" si="19"/>
        <v>0.4</v>
      </c>
      <c r="BH3" s="67">
        <v>0</v>
      </c>
      <c r="BI3" s="67">
        <v>0</v>
      </c>
      <c r="BJ3" s="57">
        <f t="shared" si="20"/>
        <v>0</v>
      </c>
      <c r="BK3" s="67">
        <v>1499</v>
      </c>
      <c r="BL3" s="67">
        <v>674</v>
      </c>
      <c r="BM3" s="57">
        <f t="shared" si="21"/>
        <v>0.4496330887258172</v>
      </c>
      <c r="BN3" s="67">
        <v>0</v>
      </c>
      <c r="BO3" s="67">
        <v>0</v>
      </c>
      <c r="BP3" s="57">
        <f t="shared" si="22"/>
        <v>0</v>
      </c>
      <c r="BQ3" s="67">
        <v>2689</v>
      </c>
      <c r="BR3" s="67">
        <v>1222</v>
      </c>
      <c r="BS3" s="57">
        <f t="shared" si="23"/>
        <v>0.45444403123837857</v>
      </c>
      <c r="BT3" s="67">
        <v>0</v>
      </c>
      <c r="BU3" s="67">
        <v>0</v>
      </c>
      <c r="BV3" s="57">
        <f t="shared" si="24"/>
        <v>0</v>
      </c>
      <c r="BW3" s="67">
        <v>2848</v>
      </c>
      <c r="BX3" s="67">
        <v>1271</v>
      </c>
      <c r="BY3" s="57">
        <f t="shared" si="25"/>
        <v>0.44627808988764045</v>
      </c>
      <c r="BZ3" s="67">
        <v>5414</v>
      </c>
      <c r="CA3" s="67">
        <v>3345</v>
      </c>
      <c r="CB3" s="57">
        <f t="shared" si="26"/>
        <v>0.61784263021795349</v>
      </c>
      <c r="CC3" s="67">
        <v>9660</v>
      </c>
      <c r="CD3" s="67">
        <v>561</v>
      </c>
      <c r="CE3" s="57">
        <f t="shared" si="27"/>
        <v>5.8074534161490686E-2</v>
      </c>
      <c r="CF3" s="67">
        <v>0</v>
      </c>
      <c r="CG3" s="67">
        <v>0</v>
      </c>
      <c r="CH3" s="57">
        <f t="shared" si="28"/>
        <v>0</v>
      </c>
      <c r="CI3" s="67">
        <v>60</v>
      </c>
      <c r="CJ3" s="67">
        <v>0</v>
      </c>
      <c r="CK3" s="57">
        <f t="shared" si="29"/>
        <v>0</v>
      </c>
      <c r="CL3" s="67">
        <v>60</v>
      </c>
      <c r="CM3" s="67">
        <v>0</v>
      </c>
      <c r="CN3" s="57">
        <f t="shared" si="30"/>
        <v>0</v>
      </c>
      <c r="CO3" s="67">
        <v>1725</v>
      </c>
      <c r="CP3" s="67">
        <v>381</v>
      </c>
      <c r="CQ3" s="57">
        <f t="shared" si="31"/>
        <v>0.22086956521739132</v>
      </c>
      <c r="CR3" s="67">
        <f t="shared" ref="CR3" si="63">+CL3+CO3</f>
        <v>1785</v>
      </c>
      <c r="CS3" s="67">
        <v>381</v>
      </c>
      <c r="CT3" s="57">
        <f t="shared" si="33"/>
        <v>0.2134453781512605</v>
      </c>
      <c r="CU3" s="67">
        <v>500</v>
      </c>
      <c r="CV3" s="67">
        <v>29</v>
      </c>
      <c r="CW3" s="57">
        <f t="shared" si="34"/>
        <v>5.8000000000000003E-2</v>
      </c>
      <c r="CX3" s="67">
        <v>45</v>
      </c>
      <c r="CY3" s="67">
        <v>0</v>
      </c>
      <c r="CZ3" s="57">
        <f t="shared" si="35"/>
        <v>0</v>
      </c>
      <c r="DA3" s="67">
        <f t="shared" ref="DA3" si="64">+CU3+CX3</f>
        <v>545</v>
      </c>
      <c r="DB3" s="67">
        <v>29</v>
      </c>
      <c r="DC3" s="57">
        <f t="shared" si="37"/>
        <v>5.321100917431193E-2</v>
      </c>
      <c r="DD3" s="67" t="e">
        <f>SUM(DA3,CR3,#REF!,CC3,#REF!)</f>
        <v>#REF!</v>
      </c>
      <c r="DE3" s="67">
        <v>3531</v>
      </c>
      <c r="DF3" s="57">
        <f t="shared" si="38"/>
        <v>0</v>
      </c>
      <c r="DG3" s="67" t="e">
        <f>SUM(DD3,BZ3)</f>
        <v>#REF!</v>
      </c>
      <c r="DH3" s="67">
        <v>6876</v>
      </c>
      <c r="DI3" s="57">
        <f t="shared" si="39"/>
        <v>0</v>
      </c>
      <c r="DJ3" s="67">
        <f>SUM(CR3,BE3,AS3,AD3,L3)</f>
        <v>1940</v>
      </c>
      <c r="DK3" s="67">
        <v>440</v>
      </c>
      <c r="DL3" s="57">
        <f t="shared" si="40"/>
        <v>0.22680412371134021</v>
      </c>
      <c r="DM3" s="67">
        <f>SUM(DA3,BH3,AG3,O3,AV3)</f>
        <v>560</v>
      </c>
      <c r="DN3" s="67">
        <v>29</v>
      </c>
      <c r="DO3" s="57">
        <f t="shared" si="41"/>
        <v>5.1785714285714289E-2</v>
      </c>
      <c r="DP3" s="67">
        <v>951</v>
      </c>
      <c r="DQ3" s="67">
        <v>86</v>
      </c>
      <c r="DR3" s="57">
        <f t="shared" si="42"/>
        <v>9.0431125131440596E-2</v>
      </c>
      <c r="DS3" s="23">
        <v>0.82</v>
      </c>
      <c r="DT3" s="19">
        <v>0.97164667393674997</v>
      </c>
      <c r="DU3" s="57">
        <f t="shared" ref="DU3:DU7" si="65">IFERROR(DT3/DS3,0)</f>
        <v>1.1849349682155488</v>
      </c>
      <c r="DV3" s="23">
        <v>0.83</v>
      </c>
      <c r="DW3" s="19">
        <v>0.93683702989392503</v>
      </c>
      <c r="DX3" s="57">
        <f t="shared" si="43"/>
        <v>1.1287193131252109</v>
      </c>
      <c r="DY3" s="23">
        <v>0.75</v>
      </c>
      <c r="DZ3" s="19">
        <v>0.97695035460992896</v>
      </c>
      <c r="EA3" s="57">
        <f t="shared" si="44"/>
        <v>1.3026004728132385</v>
      </c>
      <c r="EB3" s="23">
        <v>0.64</v>
      </c>
      <c r="EC3" s="19">
        <v>0.94807238394964599</v>
      </c>
      <c r="ED3" s="57">
        <f t="shared" si="45"/>
        <v>1.4813630999213219</v>
      </c>
      <c r="EE3" s="23">
        <v>0.74</v>
      </c>
      <c r="EF3" s="19">
        <v>0.94110612855007503</v>
      </c>
      <c r="EG3" s="57">
        <f t="shared" si="46"/>
        <v>1.2717650385811825</v>
      </c>
      <c r="EH3" s="23">
        <v>0.76</v>
      </c>
      <c r="EI3" s="19">
        <v>1</v>
      </c>
      <c r="EJ3" s="57">
        <f t="shared" si="47"/>
        <v>1.3157894736842106</v>
      </c>
      <c r="EK3" s="23">
        <v>0.5</v>
      </c>
      <c r="EL3" s="19">
        <v>0.901727555933164</v>
      </c>
      <c r="EM3" s="57">
        <f t="shared" si="48"/>
        <v>1.803455111866328</v>
      </c>
      <c r="EN3" s="23">
        <v>0.62</v>
      </c>
      <c r="EO3" s="19">
        <v>0.92088423502035999</v>
      </c>
      <c r="EP3" s="57">
        <f t="shared" si="49"/>
        <v>1.4852971532586452</v>
      </c>
      <c r="EQ3" s="23">
        <v>0.78</v>
      </c>
      <c r="ER3" s="19">
        <v>0.99772727272727302</v>
      </c>
      <c r="ES3" s="57">
        <f t="shared" si="50"/>
        <v>1.2791375291375295</v>
      </c>
      <c r="ET3" s="23">
        <v>0.81</v>
      </c>
      <c r="EU3" s="19">
        <v>1</v>
      </c>
      <c r="EV3" s="57">
        <f t="shared" si="51"/>
        <v>1.2345679012345678</v>
      </c>
      <c r="EW3" s="68">
        <v>330</v>
      </c>
      <c r="EX3" s="68">
        <v>24</v>
      </c>
      <c r="EY3" s="57">
        <f t="shared" si="52"/>
        <v>7.2727272727272724E-2</v>
      </c>
      <c r="EZ3" s="38">
        <v>859</v>
      </c>
      <c r="FA3" s="68">
        <v>30</v>
      </c>
      <c r="FB3" s="57">
        <f t="shared" si="53"/>
        <v>3.4924330616996506E-2</v>
      </c>
      <c r="FC3" s="39">
        <v>1189</v>
      </c>
      <c r="FD3" s="68">
        <v>54</v>
      </c>
      <c r="FE3" s="57">
        <f t="shared" si="54"/>
        <v>4.5416316232127836E-2</v>
      </c>
      <c r="FF3" s="40">
        <v>14211</v>
      </c>
      <c r="FG3" s="68">
        <v>29</v>
      </c>
      <c r="FH3" s="57">
        <f t="shared" si="55"/>
        <v>2.040672718316797E-3</v>
      </c>
      <c r="FI3" s="39">
        <v>15400</v>
      </c>
      <c r="FJ3" s="68">
        <v>83</v>
      </c>
      <c r="FK3" s="57">
        <f t="shared" si="56"/>
        <v>5.3896103896103895E-3</v>
      </c>
      <c r="FL3" s="39">
        <v>555</v>
      </c>
      <c r="FM3" s="68">
        <v>0</v>
      </c>
      <c r="FN3" s="57">
        <f>IFERROR(FM3/FL3,0)</f>
        <v>0</v>
      </c>
      <c r="FO3" s="39">
        <v>1362</v>
      </c>
      <c r="FP3" s="68">
        <v>10</v>
      </c>
      <c r="FQ3" s="57">
        <f t="shared" si="57"/>
        <v>7.3421439060205578E-3</v>
      </c>
      <c r="FR3" s="69">
        <v>405</v>
      </c>
      <c r="FS3" s="68">
        <v>0</v>
      </c>
      <c r="FT3" s="57">
        <f t="shared" si="58"/>
        <v>0</v>
      </c>
    </row>
    <row r="4" spans="1:176" s="58" customFormat="1" ht="15.6" x14ac:dyDescent="0.3">
      <c r="A4" s="34" t="s">
        <v>83</v>
      </c>
      <c r="B4" s="41">
        <v>5</v>
      </c>
      <c r="C4" s="41" t="s">
        <v>4</v>
      </c>
      <c r="D4" s="41">
        <v>9201</v>
      </c>
      <c r="E4" s="41" t="s">
        <v>79</v>
      </c>
      <c r="F4" s="70">
        <v>1229</v>
      </c>
      <c r="G4" s="70">
        <v>1007</v>
      </c>
      <c r="H4" s="57">
        <f t="shared" si="0"/>
        <v>0.81936533767290476</v>
      </c>
      <c r="I4" s="70">
        <v>0</v>
      </c>
      <c r="J4" s="70">
        <v>0</v>
      </c>
      <c r="K4" s="57">
        <f t="shared" si="1"/>
        <v>0</v>
      </c>
      <c r="L4" s="70">
        <v>0</v>
      </c>
      <c r="M4" s="70">
        <v>0</v>
      </c>
      <c r="N4" s="57">
        <f t="shared" si="2"/>
        <v>0</v>
      </c>
      <c r="O4" s="70">
        <v>15</v>
      </c>
      <c r="P4" s="70">
        <v>0</v>
      </c>
      <c r="Q4" s="57">
        <f t="shared" si="3"/>
        <v>0</v>
      </c>
      <c r="R4" s="70">
        <v>0</v>
      </c>
      <c r="S4" s="70">
        <v>0</v>
      </c>
      <c r="T4" s="57">
        <f t="shared" si="4"/>
        <v>0</v>
      </c>
      <c r="U4" s="70">
        <v>2566</v>
      </c>
      <c r="V4" s="70">
        <v>2165</v>
      </c>
      <c r="W4" s="57">
        <f t="shared" si="5"/>
        <v>0.84372564302416209</v>
      </c>
      <c r="X4" s="70">
        <v>2566</v>
      </c>
      <c r="Y4" s="70">
        <v>2165</v>
      </c>
      <c r="Z4" s="57">
        <f t="shared" si="7"/>
        <v>0.84372564302416209</v>
      </c>
      <c r="AA4" s="70">
        <v>54</v>
      </c>
      <c r="AB4" s="70">
        <v>34</v>
      </c>
      <c r="AC4" s="57">
        <f t="shared" si="60"/>
        <v>0.62962962962962965</v>
      </c>
      <c r="AD4" s="70">
        <v>45</v>
      </c>
      <c r="AE4" s="70">
        <v>15</v>
      </c>
      <c r="AF4" s="57">
        <f t="shared" si="8"/>
        <v>0.33333333333333331</v>
      </c>
      <c r="AG4" s="70">
        <v>0</v>
      </c>
      <c r="AH4" s="70">
        <v>0</v>
      </c>
      <c r="AI4" s="57">
        <f t="shared" si="9"/>
        <v>0</v>
      </c>
      <c r="AJ4" s="70">
        <v>0</v>
      </c>
      <c r="AK4" s="70">
        <v>0</v>
      </c>
      <c r="AL4" s="57">
        <f t="shared" si="10"/>
        <v>0</v>
      </c>
      <c r="AM4" s="70">
        <v>99</v>
      </c>
      <c r="AN4" s="70">
        <v>49</v>
      </c>
      <c r="AO4" s="57">
        <f t="shared" si="12"/>
        <v>0.49494949494949497</v>
      </c>
      <c r="AP4" s="70">
        <v>60</v>
      </c>
      <c r="AQ4" s="70">
        <v>0</v>
      </c>
      <c r="AR4" s="57">
        <f t="shared" si="13"/>
        <v>0</v>
      </c>
      <c r="AS4" s="70">
        <v>0</v>
      </c>
      <c r="AT4" s="70">
        <v>0</v>
      </c>
      <c r="AU4" s="57">
        <f t="shared" si="14"/>
        <v>0</v>
      </c>
      <c r="AV4" s="70">
        <v>0</v>
      </c>
      <c r="AW4" s="70">
        <v>0</v>
      </c>
      <c r="AX4" s="57">
        <f t="shared" si="15"/>
        <v>0</v>
      </c>
      <c r="AY4" s="70">
        <v>60</v>
      </c>
      <c r="AZ4" s="70">
        <v>0</v>
      </c>
      <c r="BA4" s="57">
        <f t="shared" si="17"/>
        <v>0</v>
      </c>
      <c r="BB4" s="70">
        <v>631</v>
      </c>
      <c r="BC4" s="70">
        <v>390</v>
      </c>
      <c r="BD4" s="57">
        <f t="shared" si="18"/>
        <v>0.61806656101426305</v>
      </c>
      <c r="BE4" s="70">
        <v>110</v>
      </c>
      <c r="BF4" s="70">
        <v>44</v>
      </c>
      <c r="BG4" s="57">
        <f t="shared" si="19"/>
        <v>0.4</v>
      </c>
      <c r="BH4" s="70">
        <v>0</v>
      </c>
      <c r="BI4" s="70">
        <v>0</v>
      </c>
      <c r="BJ4" s="57">
        <f t="shared" si="20"/>
        <v>0</v>
      </c>
      <c r="BK4" s="70">
        <v>1499</v>
      </c>
      <c r="BL4" s="70">
        <v>1434</v>
      </c>
      <c r="BM4" s="57">
        <f t="shared" si="21"/>
        <v>0.95663775850567045</v>
      </c>
      <c r="BN4" s="70">
        <v>0</v>
      </c>
      <c r="BO4" s="70">
        <v>0</v>
      </c>
      <c r="BP4" s="57">
        <f t="shared" si="22"/>
        <v>0</v>
      </c>
      <c r="BQ4" s="70">
        <v>2689</v>
      </c>
      <c r="BR4" s="70">
        <v>2011</v>
      </c>
      <c r="BS4" s="57">
        <f t="shared" si="23"/>
        <v>0.74786165860914833</v>
      </c>
      <c r="BT4" s="70">
        <v>0</v>
      </c>
      <c r="BU4" s="70">
        <v>0</v>
      </c>
      <c r="BV4" s="57">
        <f t="shared" si="24"/>
        <v>0</v>
      </c>
      <c r="BW4" s="70">
        <v>2848</v>
      </c>
      <c r="BX4" s="70">
        <v>2060</v>
      </c>
      <c r="BY4" s="57">
        <f t="shared" si="25"/>
        <v>0.723314606741573</v>
      </c>
      <c r="BZ4" s="70">
        <v>5414</v>
      </c>
      <c r="CA4" s="70">
        <v>4225</v>
      </c>
      <c r="CB4" s="57">
        <f t="shared" si="26"/>
        <v>0.78038418913926855</v>
      </c>
      <c r="CC4" s="70">
        <v>9660</v>
      </c>
      <c r="CD4" s="70">
        <v>1121</v>
      </c>
      <c r="CE4" s="57">
        <f t="shared" si="27"/>
        <v>0.11604554865424431</v>
      </c>
      <c r="CF4" s="70">
        <v>0</v>
      </c>
      <c r="CG4" s="70">
        <v>0</v>
      </c>
      <c r="CH4" s="57">
        <f t="shared" si="28"/>
        <v>0</v>
      </c>
      <c r="CI4" s="70">
        <v>60</v>
      </c>
      <c r="CJ4" s="70">
        <v>0</v>
      </c>
      <c r="CK4" s="57">
        <f t="shared" si="29"/>
        <v>0</v>
      </c>
      <c r="CL4" s="70">
        <v>60</v>
      </c>
      <c r="CM4" s="70">
        <v>0</v>
      </c>
      <c r="CN4" s="57">
        <f t="shared" si="30"/>
        <v>0</v>
      </c>
      <c r="CO4" s="70">
        <v>1725</v>
      </c>
      <c r="CP4" s="70">
        <v>470</v>
      </c>
      <c r="CQ4" s="57">
        <f t="shared" si="31"/>
        <v>0.27246376811594203</v>
      </c>
      <c r="CR4" s="70">
        <v>1785</v>
      </c>
      <c r="CS4" s="70">
        <v>470</v>
      </c>
      <c r="CT4" s="57">
        <f t="shared" si="33"/>
        <v>0.26330532212885155</v>
      </c>
      <c r="CU4" s="70">
        <v>500</v>
      </c>
      <c r="CV4" s="70">
        <v>190</v>
      </c>
      <c r="CW4" s="57">
        <f t="shared" si="34"/>
        <v>0.38</v>
      </c>
      <c r="CX4" s="70">
        <v>45</v>
      </c>
      <c r="CY4" s="70">
        <v>0</v>
      </c>
      <c r="CZ4" s="57">
        <f t="shared" si="35"/>
        <v>0</v>
      </c>
      <c r="DA4" s="70">
        <v>545</v>
      </c>
      <c r="DB4" s="70">
        <v>190</v>
      </c>
      <c r="DC4" s="57">
        <f t="shared" si="37"/>
        <v>0.34862385321100919</v>
      </c>
      <c r="DD4" s="70">
        <v>32410</v>
      </c>
      <c r="DE4" s="70">
        <v>6681</v>
      </c>
      <c r="DF4" s="57">
        <f t="shared" si="38"/>
        <v>0.20614008022215366</v>
      </c>
      <c r="DG4" s="70">
        <v>37824</v>
      </c>
      <c r="DH4" s="70">
        <v>10906</v>
      </c>
      <c r="DI4" s="57">
        <f t="shared" si="39"/>
        <v>0.28833544839255498</v>
      </c>
      <c r="DJ4" s="70">
        <v>1940</v>
      </c>
      <c r="DK4" s="70">
        <v>529</v>
      </c>
      <c r="DL4" s="57">
        <f t="shared" si="40"/>
        <v>0.272680412371134</v>
      </c>
      <c r="DM4" s="70">
        <v>560</v>
      </c>
      <c r="DN4" s="70">
        <v>190</v>
      </c>
      <c r="DO4" s="57">
        <f t="shared" si="41"/>
        <v>0.3392857142857143</v>
      </c>
      <c r="DP4" s="70">
        <v>951</v>
      </c>
      <c r="DQ4" s="70">
        <v>173</v>
      </c>
      <c r="DR4" s="57">
        <f t="shared" si="42"/>
        <v>0.18191377497371189</v>
      </c>
      <c r="DS4" s="42">
        <v>0.82</v>
      </c>
      <c r="DT4" s="59">
        <v>0.94240317775571003</v>
      </c>
      <c r="DU4" s="57">
        <f t="shared" si="65"/>
        <v>1.1492721679947684</v>
      </c>
      <c r="DV4" s="42">
        <v>0.83</v>
      </c>
      <c r="DW4" s="59">
        <v>0.92378752886836002</v>
      </c>
      <c r="DX4" s="57">
        <f t="shared" si="43"/>
        <v>1.112997022732964</v>
      </c>
      <c r="DY4" s="42">
        <v>0.75</v>
      </c>
      <c r="DZ4" s="59">
        <v>0.97756911841418903</v>
      </c>
      <c r="EA4" s="57">
        <f t="shared" si="44"/>
        <v>1.3034254912189187</v>
      </c>
      <c r="EB4" s="42">
        <v>0.64</v>
      </c>
      <c r="EC4" s="59">
        <v>0.95970873786407795</v>
      </c>
      <c r="ED4" s="57">
        <f t="shared" si="45"/>
        <v>1.4995449029126218</v>
      </c>
      <c r="EE4" s="42">
        <v>0.74</v>
      </c>
      <c r="EF4" s="59">
        <v>0.94130177514792901</v>
      </c>
      <c r="EG4" s="57">
        <f t="shared" si="46"/>
        <v>1.2720294258755798</v>
      </c>
      <c r="EH4" s="42">
        <v>0.76</v>
      </c>
      <c r="EI4" s="59">
        <v>0.99681020733652304</v>
      </c>
      <c r="EJ4" s="57">
        <f t="shared" si="47"/>
        <v>1.3115923780743723</v>
      </c>
      <c r="EK4" s="42">
        <v>0.5</v>
      </c>
      <c r="EL4" s="59">
        <v>0.67370154168537599</v>
      </c>
      <c r="EM4" s="57">
        <f t="shared" si="48"/>
        <v>1.347403083370752</v>
      </c>
      <c r="EN4" s="42">
        <v>0.62</v>
      </c>
      <c r="EO4" s="59">
        <v>0.777370254905556</v>
      </c>
      <c r="EP4" s="57">
        <f t="shared" si="49"/>
        <v>1.2538229917831549</v>
      </c>
      <c r="EQ4" s="42">
        <v>0.78</v>
      </c>
      <c r="ER4" s="59">
        <v>0.986767485822306</v>
      </c>
      <c r="ES4" s="57">
        <f t="shared" si="50"/>
        <v>1.2650865202850077</v>
      </c>
      <c r="ET4" s="42">
        <v>0.81</v>
      </c>
      <c r="EU4" s="59">
        <v>1</v>
      </c>
      <c r="EV4" s="57">
        <f t="shared" si="51"/>
        <v>1.2345679012345678</v>
      </c>
      <c r="EW4" s="71">
        <v>330</v>
      </c>
      <c r="EX4" s="70">
        <v>61</v>
      </c>
      <c r="EY4" s="57">
        <f t="shared" si="52"/>
        <v>0.18484848484848485</v>
      </c>
      <c r="EZ4" s="43">
        <v>859</v>
      </c>
      <c r="FA4" s="70">
        <v>58</v>
      </c>
      <c r="FB4" s="57">
        <f t="shared" si="53"/>
        <v>6.7520372526193251E-2</v>
      </c>
      <c r="FC4" s="44">
        <v>1189</v>
      </c>
      <c r="FD4" s="70">
        <v>119</v>
      </c>
      <c r="FE4" s="57">
        <f t="shared" si="54"/>
        <v>0.10008410428931876</v>
      </c>
      <c r="FF4" s="45">
        <v>14211</v>
      </c>
      <c r="FG4" s="70">
        <v>463</v>
      </c>
      <c r="FH4" s="57">
        <f t="shared" si="55"/>
        <v>3.2580395468299203E-2</v>
      </c>
      <c r="FI4" s="44">
        <v>15400</v>
      </c>
      <c r="FJ4" s="70">
        <v>582</v>
      </c>
      <c r="FK4" s="57">
        <f t="shared" si="56"/>
        <v>3.7792207792207794E-2</v>
      </c>
      <c r="FL4" s="44">
        <v>555</v>
      </c>
      <c r="FM4" s="70">
        <v>0</v>
      </c>
      <c r="FN4" s="57">
        <f t="shared" ref="FN4:FN7" si="66">IFERROR(FM4/FL4,0)</f>
        <v>0</v>
      </c>
      <c r="FO4" s="44">
        <v>1362</v>
      </c>
      <c r="FP4" s="70">
        <v>37</v>
      </c>
      <c r="FQ4" s="57">
        <f t="shared" si="57"/>
        <v>2.7165932452276064E-2</v>
      </c>
      <c r="FR4" s="72">
        <v>405</v>
      </c>
      <c r="FS4" s="70">
        <v>0</v>
      </c>
      <c r="FT4" s="57">
        <f t="shared" si="58"/>
        <v>0</v>
      </c>
    </row>
    <row r="5" spans="1:176" s="58" customFormat="1" ht="15.6" x14ac:dyDescent="0.3">
      <c r="A5" s="34" t="s">
        <v>84</v>
      </c>
      <c r="B5" s="41">
        <v>5</v>
      </c>
      <c r="C5" s="41" t="s">
        <v>4</v>
      </c>
      <c r="D5" s="41">
        <v>9201</v>
      </c>
      <c r="E5" s="41" t="s">
        <v>79</v>
      </c>
      <c r="F5" s="70">
        <v>1229</v>
      </c>
      <c r="G5" s="70">
        <v>1010</v>
      </c>
      <c r="H5" s="57">
        <f t="shared" si="0"/>
        <v>0.8218063466232709</v>
      </c>
      <c r="I5" s="70">
        <v>0</v>
      </c>
      <c r="J5" s="70">
        <v>0</v>
      </c>
      <c r="K5" s="57">
        <f t="shared" si="1"/>
        <v>0</v>
      </c>
      <c r="L5" s="70">
        <v>0</v>
      </c>
      <c r="M5" s="70">
        <v>0</v>
      </c>
      <c r="N5" s="57">
        <f t="shared" si="2"/>
        <v>0</v>
      </c>
      <c r="O5" s="70">
        <v>15</v>
      </c>
      <c r="P5" s="70">
        <v>0</v>
      </c>
      <c r="Q5" s="57">
        <f t="shared" si="3"/>
        <v>0</v>
      </c>
      <c r="R5" s="70">
        <v>0</v>
      </c>
      <c r="S5" s="70">
        <v>0</v>
      </c>
      <c r="T5" s="57">
        <f t="shared" si="4"/>
        <v>0</v>
      </c>
      <c r="U5" s="70">
        <v>2566</v>
      </c>
      <c r="V5" s="70">
        <v>2168</v>
      </c>
      <c r="W5" s="57">
        <f t="shared" si="5"/>
        <v>0.84489477786438039</v>
      </c>
      <c r="X5" s="70">
        <v>2566</v>
      </c>
      <c r="Y5" s="70">
        <v>2168</v>
      </c>
      <c r="Z5" s="57">
        <f t="shared" si="7"/>
        <v>0.84489477786438039</v>
      </c>
      <c r="AA5" s="70">
        <v>54</v>
      </c>
      <c r="AB5" s="70">
        <v>57</v>
      </c>
      <c r="AC5" s="57">
        <f t="shared" si="60"/>
        <v>1.0555555555555556</v>
      </c>
      <c r="AD5" s="70">
        <v>45</v>
      </c>
      <c r="AE5" s="70">
        <v>15</v>
      </c>
      <c r="AF5" s="57">
        <f t="shared" si="8"/>
        <v>0.33333333333333331</v>
      </c>
      <c r="AG5" s="70">
        <v>0</v>
      </c>
      <c r="AH5" s="70">
        <v>0</v>
      </c>
      <c r="AI5" s="57">
        <f t="shared" si="9"/>
        <v>0</v>
      </c>
      <c r="AJ5" s="70">
        <v>0</v>
      </c>
      <c r="AK5" s="70">
        <v>0</v>
      </c>
      <c r="AL5" s="57">
        <f t="shared" si="10"/>
        <v>0</v>
      </c>
      <c r="AM5" s="70">
        <v>99</v>
      </c>
      <c r="AN5" s="70">
        <v>72</v>
      </c>
      <c r="AO5" s="57">
        <f t="shared" si="12"/>
        <v>0.72727272727272729</v>
      </c>
      <c r="AP5" s="70">
        <v>60</v>
      </c>
      <c r="AQ5" s="70">
        <v>0</v>
      </c>
      <c r="AR5" s="57">
        <f t="shared" si="13"/>
        <v>0</v>
      </c>
      <c r="AS5" s="70">
        <v>0</v>
      </c>
      <c r="AT5" s="70">
        <v>0</v>
      </c>
      <c r="AU5" s="57">
        <f t="shared" si="14"/>
        <v>0</v>
      </c>
      <c r="AV5" s="70">
        <v>0</v>
      </c>
      <c r="AW5" s="70">
        <v>0</v>
      </c>
      <c r="AX5" s="57">
        <f t="shared" si="15"/>
        <v>0</v>
      </c>
      <c r="AY5" s="70">
        <v>60</v>
      </c>
      <c r="AZ5" s="70">
        <v>0</v>
      </c>
      <c r="BA5" s="57">
        <f t="shared" si="17"/>
        <v>0</v>
      </c>
      <c r="BB5" s="70">
        <v>631</v>
      </c>
      <c r="BC5" s="70">
        <v>464</v>
      </c>
      <c r="BD5" s="57">
        <f t="shared" si="18"/>
        <v>0.73534072900158476</v>
      </c>
      <c r="BE5" s="70">
        <v>110</v>
      </c>
      <c r="BF5" s="70">
        <v>44</v>
      </c>
      <c r="BG5" s="57">
        <f t="shared" si="19"/>
        <v>0.4</v>
      </c>
      <c r="BH5" s="70">
        <v>0</v>
      </c>
      <c r="BI5" s="70">
        <v>0</v>
      </c>
      <c r="BJ5" s="57">
        <f t="shared" si="20"/>
        <v>0</v>
      </c>
      <c r="BK5" s="70">
        <v>1499</v>
      </c>
      <c r="BL5" s="70">
        <v>1490</v>
      </c>
      <c r="BM5" s="57">
        <f t="shared" si="21"/>
        <v>0.99399599733155442</v>
      </c>
      <c r="BN5" s="70">
        <v>0</v>
      </c>
      <c r="BO5" s="70">
        <v>0</v>
      </c>
      <c r="BP5" s="57">
        <f t="shared" si="22"/>
        <v>0</v>
      </c>
      <c r="BQ5" s="70">
        <v>2689</v>
      </c>
      <c r="BR5" s="70">
        <v>2212</v>
      </c>
      <c r="BS5" s="57">
        <f t="shared" si="23"/>
        <v>0.82261063592413541</v>
      </c>
      <c r="BT5" s="70">
        <v>0</v>
      </c>
      <c r="BU5" s="70">
        <v>0</v>
      </c>
      <c r="BV5" s="57">
        <f t="shared" si="24"/>
        <v>0</v>
      </c>
      <c r="BW5" s="70">
        <v>2848</v>
      </c>
      <c r="BX5" s="70">
        <v>2284</v>
      </c>
      <c r="BY5" s="57">
        <f t="shared" si="25"/>
        <v>0.8019662921348315</v>
      </c>
      <c r="BZ5" s="70">
        <v>5414</v>
      </c>
      <c r="CA5" s="70">
        <v>4452</v>
      </c>
      <c r="CB5" s="57">
        <f t="shared" si="26"/>
        <v>0.82231252308828962</v>
      </c>
      <c r="CC5" s="70">
        <v>9660</v>
      </c>
      <c r="CD5" s="70">
        <v>1664</v>
      </c>
      <c r="CE5" s="57">
        <f t="shared" si="27"/>
        <v>0.1722567287784679</v>
      </c>
      <c r="CF5" s="70">
        <v>0</v>
      </c>
      <c r="CG5" s="70">
        <v>0</v>
      </c>
      <c r="CH5" s="57">
        <f t="shared" si="28"/>
        <v>0</v>
      </c>
      <c r="CI5" s="70">
        <v>60</v>
      </c>
      <c r="CJ5" s="70">
        <v>0</v>
      </c>
      <c r="CK5" s="57">
        <f t="shared" si="29"/>
        <v>0</v>
      </c>
      <c r="CL5" s="70">
        <v>60</v>
      </c>
      <c r="CM5" s="70">
        <v>0</v>
      </c>
      <c r="CN5" s="57">
        <f t="shared" si="30"/>
        <v>0</v>
      </c>
      <c r="CO5" s="70">
        <v>1725</v>
      </c>
      <c r="CP5" s="70">
        <v>613</v>
      </c>
      <c r="CQ5" s="57">
        <f t="shared" si="31"/>
        <v>0.35536231884057973</v>
      </c>
      <c r="CR5" s="70">
        <v>1785</v>
      </c>
      <c r="CS5" s="70">
        <v>613</v>
      </c>
      <c r="CT5" s="57">
        <f t="shared" si="33"/>
        <v>0.34341736694677871</v>
      </c>
      <c r="CU5" s="70">
        <v>500</v>
      </c>
      <c r="CV5" s="70">
        <v>228</v>
      </c>
      <c r="CW5" s="57">
        <f t="shared" si="34"/>
        <v>0.45600000000000002</v>
      </c>
      <c r="CX5" s="70">
        <v>45</v>
      </c>
      <c r="CY5" s="70">
        <v>0</v>
      </c>
      <c r="CZ5" s="57">
        <f t="shared" si="35"/>
        <v>0</v>
      </c>
      <c r="DA5" s="70">
        <v>545</v>
      </c>
      <c r="DB5" s="70">
        <v>228</v>
      </c>
      <c r="DC5" s="57">
        <f t="shared" si="37"/>
        <v>0.41834862385321103</v>
      </c>
      <c r="DD5" s="70">
        <v>32410</v>
      </c>
      <c r="DE5" s="70">
        <v>9325</v>
      </c>
      <c r="DF5" s="57">
        <f t="shared" si="38"/>
        <v>0.28771983955569269</v>
      </c>
      <c r="DG5" s="70">
        <v>37824</v>
      </c>
      <c r="DH5" s="70">
        <v>13777</v>
      </c>
      <c r="DI5" s="57">
        <f t="shared" si="39"/>
        <v>0.36423963620981387</v>
      </c>
      <c r="DJ5" s="70">
        <v>1940</v>
      </c>
      <c r="DK5" s="70">
        <v>672</v>
      </c>
      <c r="DL5" s="57">
        <f t="shared" si="40"/>
        <v>0.34639175257731958</v>
      </c>
      <c r="DM5" s="70">
        <v>560</v>
      </c>
      <c r="DN5" s="70">
        <v>228</v>
      </c>
      <c r="DO5" s="57">
        <f t="shared" si="41"/>
        <v>0.40714285714285714</v>
      </c>
      <c r="DP5" s="70">
        <v>951</v>
      </c>
      <c r="DQ5" s="70">
        <v>174</v>
      </c>
      <c r="DR5" s="57">
        <f t="shared" si="42"/>
        <v>0.18296529968454259</v>
      </c>
      <c r="DS5" s="42">
        <v>0.82</v>
      </c>
      <c r="DT5" s="64">
        <v>0.93267326732673295</v>
      </c>
      <c r="DU5" s="57">
        <f t="shared" si="65"/>
        <v>1.1374064235691865</v>
      </c>
      <c r="DV5" s="42">
        <v>0.83</v>
      </c>
      <c r="DW5" s="64">
        <v>0.911439114391144</v>
      </c>
      <c r="DX5" s="57">
        <f t="shared" si="43"/>
        <v>1.0981194149290892</v>
      </c>
      <c r="DY5" s="42">
        <v>0.75</v>
      </c>
      <c r="DZ5" s="64">
        <v>0.97439613526570001</v>
      </c>
      <c r="EA5" s="57">
        <f t="shared" si="44"/>
        <v>1.2991948470209334</v>
      </c>
      <c r="EB5" s="42">
        <v>0.64</v>
      </c>
      <c r="EC5" s="64">
        <v>0.95928196147110301</v>
      </c>
      <c r="ED5" s="57">
        <f t="shared" si="45"/>
        <v>1.4988780647985984</v>
      </c>
      <c r="EE5" s="42">
        <v>0.74</v>
      </c>
      <c r="EF5" s="64">
        <v>0.93598382749326103</v>
      </c>
      <c r="EG5" s="57">
        <f t="shared" si="46"/>
        <v>1.2648430101260284</v>
      </c>
      <c r="EH5" s="42">
        <v>0.76</v>
      </c>
      <c r="EI5" s="64">
        <v>0.92629558541266799</v>
      </c>
      <c r="EJ5" s="57">
        <f t="shared" si="47"/>
        <v>1.2188099808061421</v>
      </c>
      <c r="EK5" s="42">
        <v>0.5</v>
      </c>
      <c r="EL5" s="59">
        <v>0.583592493297587</v>
      </c>
      <c r="EM5" s="57">
        <f t="shared" si="48"/>
        <v>1.167184986595174</v>
      </c>
      <c r="EN5" s="42">
        <v>0.62</v>
      </c>
      <c r="EO5" s="59">
        <v>0.69746679248022103</v>
      </c>
      <c r="EP5" s="57">
        <f t="shared" si="49"/>
        <v>1.1249464394842275</v>
      </c>
      <c r="EQ5" s="42">
        <v>0.78</v>
      </c>
      <c r="ER5" s="59">
        <v>0.91815476190476197</v>
      </c>
      <c r="ES5" s="57">
        <f t="shared" si="50"/>
        <v>1.1771214896214897</v>
      </c>
      <c r="ET5" s="42">
        <v>0.81</v>
      </c>
      <c r="EU5" s="59">
        <v>0.91666666666666596</v>
      </c>
      <c r="EV5" s="57">
        <f t="shared" si="51"/>
        <v>1.1316872427983529</v>
      </c>
      <c r="EW5" s="71">
        <v>330</v>
      </c>
      <c r="EX5" s="70">
        <v>67</v>
      </c>
      <c r="EY5" s="57">
        <f t="shared" si="52"/>
        <v>0.20303030303030303</v>
      </c>
      <c r="EZ5" s="43">
        <v>859</v>
      </c>
      <c r="FA5" s="73">
        <v>61</v>
      </c>
      <c r="FB5" s="57">
        <f t="shared" si="53"/>
        <v>7.1012805587892899E-2</v>
      </c>
      <c r="FC5" s="44">
        <v>1189</v>
      </c>
      <c r="FD5" s="70">
        <v>128</v>
      </c>
      <c r="FE5" s="57">
        <f t="shared" si="54"/>
        <v>0.10765349032800672</v>
      </c>
      <c r="FF5" s="45">
        <v>14211</v>
      </c>
      <c r="FG5" s="70">
        <v>1515</v>
      </c>
      <c r="FH5" s="57">
        <f t="shared" si="55"/>
        <v>0.10660755752586025</v>
      </c>
      <c r="FI5" s="44">
        <v>15400</v>
      </c>
      <c r="FJ5" s="70">
        <v>1643</v>
      </c>
      <c r="FK5" s="57">
        <f t="shared" si="56"/>
        <v>0.10668831168831169</v>
      </c>
      <c r="FL5" s="44">
        <v>555</v>
      </c>
      <c r="FM5" s="70">
        <v>0</v>
      </c>
      <c r="FN5" s="57">
        <f t="shared" si="66"/>
        <v>0</v>
      </c>
      <c r="FO5" s="44">
        <v>1362</v>
      </c>
      <c r="FP5" s="70">
        <v>312</v>
      </c>
      <c r="FQ5" s="57">
        <f t="shared" si="57"/>
        <v>0.22907488986784141</v>
      </c>
      <c r="FR5" s="72">
        <v>405</v>
      </c>
      <c r="FS5" s="70">
        <v>0</v>
      </c>
      <c r="FT5" s="57">
        <f t="shared" si="58"/>
        <v>0</v>
      </c>
    </row>
    <row r="6" spans="1:176" s="58" customFormat="1" ht="15.6" x14ac:dyDescent="0.3">
      <c r="A6" s="34" t="s">
        <v>85</v>
      </c>
      <c r="B6" s="41">
        <v>5</v>
      </c>
      <c r="C6" s="41" t="s">
        <v>4</v>
      </c>
      <c r="D6" s="41">
        <v>9201</v>
      </c>
      <c r="E6" s="41" t="s">
        <v>79</v>
      </c>
      <c r="F6" s="70">
        <v>1229</v>
      </c>
      <c r="G6" s="70">
        <v>1034</v>
      </c>
      <c r="H6" s="57">
        <f t="shared" si="0"/>
        <v>0.84133441822620014</v>
      </c>
      <c r="I6" s="70">
        <v>0</v>
      </c>
      <c r="J6" s="70">
        <v>0</v>
      </c>
      <c r="K6" s="57">
        <f t="shared" si="1"/>
        <v>0</v>
      </c>
      <c r="L6" s="70">
        <v>0</v>
      </c>
      <c r="M6" s="70">
        <v>0</v>
      </c>
      <c r="N6" s="57">
        <f t="shared" si="2"/>
        <v>0</v>
      </c>
      <c r="O6" s="70">
        <v>15</v>
      </c>
      <c r="P6" s="70">
        <v>0</v>
      </c>
      <c r="Q6" s="57">
        <f t="shared" si="3"/>
        <v>0</v>
      </c>
      <c r="R6" s="70">
        <v>0</v>
      </c>
      <c r="S6" s="70">
        <v>0</v>
      </c>
      <c r="T6" s="57">
        <f t="shared" si="4"/>
        <v>0</v>
      </c>
      <c r="U6" s="70">
        <v>2566</v>
      </c>
      <c r="V6" s="70">
        <v>2193</v>
      </c>
      <c r="W6" s="57">
        <f t="shared" si="5"/>
        <v>0.85463756819953229</v>
      </c>
      <c r="X6" s="70">
        <v>2566</v>
      </c>
      <c r="Y6" s="70">
        <v>2193</v>
      </c>
      <c r="Z6" s="57">
        <f t="shared" si="7"/>
        <v>0.85463756819953229</v>
      </c>
      <c r="AA6" s="70">
        <v>54</v>
      </c>
      <c r="AB6" s="70">
        <v>57</v>
      </c>
      <c r="AC6" s="57">
        <f t="shared" si="60"/>
        <v>1.0555555555555556</v>
      </c>
      <c r="AD6" s="70">
        <v>45</v>
      </c>
      <c r="AE6" s="70">
        <v>15</v>
      </c>
      <c r="AF6" s="57">
        <f t="shared" si="8"/>
        <v>0.33333333333333331</v>
      </c>
      <c r="AG6" s="70">
        <v>0</v>
      </c>
      <c r="AH6" s="70">
        <v>0</v>
      </c>
      <c r="AI6" s="57">
        <f t="shared" si="9"/>
        <v>0</v>
      </c>
      <c r="AJ6" s="70">
        <v>0</v>
      </c>
      <c r="AK6" s="70">
        <v>0</v>
      </c>
      <c r="AL6" s="57">
        <f t="shared" si="10"/>
        <v>0</v>
      </c>
      <c r="AM6" s="70">
        <v>99</v>
      </c>
      <c r="AN6" s="70">
        <v>72</v>
      </c>
      <c r="AO6" s="57">
        <f t="shared" si="12"/>
        <v>0.72727272727272729</v>
      </c>
      <c r="AP6" s="70">
        <v>60</v>
      </c>
      <c r="AQ6" s="70">
        <v>0</v>
      </c>
      <c r="AR6" s="57">
        <f t="shared" si="13"/>
        <v>0</v>
      </c>
      <c r="AS6" s="70">
        <v>0</v>
      </c>
      <c r="AT6" s="70">
        <v>0</v>
      </c>
      <c r="AU6" s="57">
        <f t="shared" si="14"/>
        <v>0</v>
      </c>
      <c r="AV6" s="70">
        <v>0</v>
      </c>
      <c r="AW6" s="70">
        <v>0</v>
      </c>
      <c r="AX6" s="57">
        <f t="shared" si="15"/>
        <v>0</v>
      </c>
      <c r="AY6" s="70">
        <v>60</v>
      </c>
      <c r="AZ6" s="70">
        <v>0</v>
      </c>
      <c r="BA6" s="57">
        <f t="shared" si="17"/>
        <v>0</v>
      </c>
      <c r="BB6" s="70">
        <v>631</v>
      </c>
      <c r="BC6" s="70">
        <v>488</v>
      </c>
      <c r="BD6" s="57">
        <f t="shared" si="18"/>
        <v>0.77337559429477021</v>
      </c>
      <c r="BE6" s="70">
        <v>110</v>
      </c>
      <c r="BF6" s="70">
        <v>44</v>
      </c>
      <c r="BG6" s="57">
        <f t="shared" si="19"/>
        <v>0.4</v>
      </c>
      <c r="BH6" s="70">
        <v>0</v>
      </c>
      <c r="BI6" s="70">
        <v>0</v>
      </c>
      <c r="BJ6" s="57">
        <f t="shared" si="20"/>
        <v>0</v>
      </c>
      <c r="BK6" s="70">
        <v>1499</v>
      </c>
      <c r="BL6" s="70">
        <v>1505</v>
      </c>
      <c r="BM6" s="57">
        <f t="shared" si="21"/>
        <v>1.0040026684456305</v>
      </c>
      <c r="BN6" s="70">
        <v>0</v>
      </c>
      <c r="BO6" s="70">
        <v>0</v>
      </c>
      <c r="BP6" s="57">
        <f t="shared" si="22"/>
        <v>0</v>
      </c>
      <c r="BQ6" s="70">
        <v>2689</v>
      </c>
      <c r="BR6" s="70">
        <v>2251</v>
      </c>
      <c r="BS6" s="57">
        <f t="shared" si="23"/>
        <v>0.83711416883599854</v>
      </c>
      <c r="BT6" s="70">
        <v>0</v>
      </c>
      <c r="BU6" s="70">
        <v>0</v>
      </c>
      <c r="BV6" s="57">
        <f t="shared" si="24"/>
        <v>0</v>
      </c>
      <c r="BW6" s="70">
        <v>2848</v>
      </c>
      <c r="BX6" s="70">
        <v>2323</v>
      </c>
      <c r="BY6" s="57">
        <f t="shared" si="25"/>
        <v>0.8156601123595506</v>
      </c>
      <c r="BZ6" s="70">
        <v>5414</v>
      </c>
      <c r="CA6" s="70">
        <v>4516</v>
      </c>
      <c r="CB6" s="57">
        <f t="shared" si="26"/>
        <v>0.83413372737347613</v>
      </c>
      <c r="CC6" s="70">
        <v>9660</v>
      </c>
      <c r="CD6" s="70">
        <v>2357</v>
      </c>
      <c r="CE6" s="57">
        <f t="shared" si="27"/>
        <v>0.24399585921325051</v>
      </c>
      <c r="CF6" s="70">
        <v>0</v>
      </c>
      <c r="CG6" s="70">
        <v>0</v>
      </c>
      <c r="CH6" s="57">
        <f t="shared" si="28"/>
        <v>0</v>
      </c>
      <c r="CI6" s="70">
        <v>60</v>
      </c>
      <c r="CJ6" s="70">
        <v>0</v>
      </c>
      <c r="CK6" s="57">
        <f t="shared" si="29"/>
        <v>0</v>
      </c>
      <c r="CL6" s="70">
        <v>60</v>
      </c>
      <c r="CM6" s="70">
        <v>0</v>
      </c>
      <c r="CN6" s="57">
        <f t="shared" si="30"/>
        <v>0</v>
      </c>
      <c r="CO6" s="70">
        <v>1725</v>
      </c>
      <c r="CP6" s="70">
        <v>919</v>
      </c>
      <c r="CQ6" s="57">
        <f t="shared" si="31"/>
        <v>0.5327536231884058</v>
      </c>
      <c r="CR6" s="70">
        <v>1785</v>
      </c>
      <c r="CS6" s="70">
        <v>919</v>
      </c>
      <c r="CT6" s="57">
        <f t="shared" si="33"/>
        <v>0.51484593837535009</v>
      </c>
      <c r="CU6" s="70">
        <v>500</v>
      </c>
      <c r="CV6" s="70">
        <v>412</v>
      </c>
      <c r="CW6" s="57">
        <f t="shared" si="34"/>
        <v>0.82399999999999995</v>
      </c>
      <c r="CX6" s="70">
        <v>45</v>
      </c>
      <c r="CY6" s="70">
        <v>0</v>
      </c>
      <c r="CZ6" s="57">
        <f t="shared" si="35"/>
        <v>0</v>
      </c>
      <c r="DA6" s="70">
        <v>545</v>
      </c>
      <c r="DB6" s="70">
        <v>412</v>
      </c>
      <c r="DC6" s="57">
        <f t="shared" si="37"/>
        <v>0.75596330275229362</v>
      </c>
      <c r="DD6" s="70">
        <v>32410</v>
      </c>
      <c r="DE6" s="70">
        <v>12847</v>
      </c>
      <c r="DF6" s="57">
        <f t="shared" si="38"/>
        <v>0.39639000308546746</v>
      </c>
      <c r="DG6" s="70">
        <v>37824</v>
      </c>
      <c r="DH6" s="70">
        <v>17363</v>
      </c>
      <c r="DI6" s="57">
        <f t="shared" si="39"/>
        <v>0.45904716582064298</v>
      </c>
      <c r="DJ6" s="70">
        <v>1940</v>
      </c>
      <c r="DK6" s="70">
        <v>978</v>
      </c>
      <c r="DL6" s="57">
        <f t="shared" si="40"/>
        <v>0.50412371134020617</v>
      </c>
      <c r="DM6" s="70">
        <v>560</v>
      </c>
      <c r="DN6" s="70">
        <v>412</v>
      </c>
      <c r="DO6" s="57">
        <f t="shared" si="41"/>
        <v>0.73571428571428577</v>
      </c>
      <c r="DP6" s="70">
        <v>951</v>
      </c>
      <c r="DQ6" s="70">
        <v>196</v>
      </c>
      <c r="DR6" s="57">
        <f t="shared" si="42"/>
        <v>0.20609884332281808</v>
      </c>
      <c r="DS6" s="42">
        <v>0.82</v>
      </c>
      <c r="DT6" s="64">
        <v>0.93230174081237904</v>
      </c>
      <c r="DU6" s="57">
        <f t="shared" si="65"/>
        <v>1.1369533424541209</v>
      </c>
      <c r="DV6" s="42">
        <v>0.83</v>
      </c>
      <c r="DW6" s="64">
        <v>0.90743274053807599</v>
      </c>
      <c r="DX6" s="57">
        <f t="shared" si="43"/>
        <v>1.0932924584796098</v>
      </c>
      <c r="DY6" s="42">
        <v>0.75</v>
      </c>
      <c r="DZ6" s="64">
        <v>0.97202465623518197</v>
      </c>
      <c r="EA6" s="57">
        <f t="shared" si="44"/>
        <v>1.2960328749802426</v>
      </c>
      <c r="EB6" s="42">
        <v>0.64</v>
      </c>
      <c r="EC6" s="64">
        <v>0.95738269479121796</v>
      </c>
      <c r="ED6" s="57">
        <f t="shared" si="45"/>
        <v>1.4959104606112781</v>
      </c>
      <c r="EE6" s="42">
        <v>0.74</v>
      </c>
      <c r="EF6" s="64">
        <v>0.933126660761736</v>
      </c>
      <c r="EG6" s="57">
        <f t="shared" si="46"/>
        <v>1.260981974002346</v>
      </c>
      <c r="EH6" s="42">
        <v>0.76</v>
      </c>
      <c r="EI6" s="64">
        <v>0.90609724723437102</v>
      </c>
      <c r="EJ6" s="57">
        <f t="shared" si="47"/>
        <v>1.192233220045225</v>
      </c>
      <c r="EK6" s="42">
        <v>0.5</v>
      </c>
      <c r="EL6" s="59">
        <v>0.54137152642640296</v>
      </c>
      <c r="EM6" s="57">
        <f t="shared" si="48"/>
        <v>1.0827430528528059</v>
      </c>
      <c r="EN6" s="42">
        <v>0.62</v>
      </c>
      <c r="EO6" s="59">
        <v>0.64326441283188396</v>
      </c>
      <c r="EP6" s="57">
        <f t="shared" si="49"/>
        <v>1.0375232465030386</v>
      </c>
      <c r="EQ6" s="42">
        <v>0.78</v>
      </c>
      <c r="ER6" s="59">
        <v>0.92229038854805701</v>
      </c>
      <c r="ES6" s="57">
        <f t="shared" si="50"/>
        <v>1.1824235750616114</v>
      </c>
      <c r="ET6" s="42">
        <v>0.81</v>
      </c>
      <c r="EU6" s="59">
        <v>0.86650485436893199</v>
      </c>
      <c r="EV6" s="57">
        <f t="shared" si="51"/>
        <v>1.0697590794678171</v>
      </c>
      <c r="EW6" s="71">
        <v>330</v>
      </c>
      <c r="EX6" s="70">
        <v>146</v>
      </c>
      <c r="EY6" s="57">
        <f t="shared" si="52"/>
        <v>0.44242424242424244</v>
      </c>
      <c r="EZ6" s="43">
        <v>859</v>
      </c>
      <c r="FA6" s="73">
        <v>74</v>
      </c>
      <c r="FB6" s="57">
        <f t="shared" si="53"/>
        <v>8.6146682188591381E-2</v>
      </c>
      <c r="FC6" s="44">
        <v>1189</v>
      </c>
      <c r="FD6" s="70">
        <v>220</v>
      </c>
      <c r="FE6" s="57">
        <f t="shared" si="54"/>
        <v>0.18502943650126155</v>
      </c>
      <c r="FF6" s="45">
        <v>14211</v>
      </c>
      <c r="FG6" s="70">
        <v>2968</v>
      </c>
      <c r="FH6" s="57">
        <f t="shared" si="55"/>
        <v>0.20885229751600873</v>
      </c>
      <c r="FI6" s="44">
        <v>15400</v>
      </c>
      <c r="FJ6" s="70">
        <v>3188</v>
      </c>
      <c r="FK6" s="57">
        <f t="shared" si="56"/>
        <v>0.20701298701298701</v>
      </c>
      <c r="FL6" s="44">
        <v>555</v>
      </c>
      <c r="FM6" s="70">
        <v>0</v>
      </c>
      <c r="FN6" s="57">
        <f t="shared" si="66"/>
        <v>0</v>
      </c>
      <c r="FO6" s="44">
        <v>1362</v>
      </c>
      <c r="FP6" s="70">
        <v>403</v>
      </c>
      <c r="FQ6" s="57">
        <f t="shared" si="57"/>
        <v>0.29588839941262851</v>
      </c>
      <c r="FR6" s="72">
        <v>405</v>
      </c>
      <c r="FS6" s="70">
        <v>137</v>
      </c>
      <c r="FT6" s="57">
        <f t="shared" si="58"/>
        <v>0.33827160493827163</v>
      </c>
    </row>
    <row r="7" spans="1:176" s="58" customFormat="1" ht="15.6" x14ac:dyDescent="0.3">
      <c r="A7" s="34" t="s">
        <v>86</v>
      </c>
      <c r="B7" s="41">
        <v>5</v>
      </c>
      <c r="C7" s="41" t="s">
        <v>4</v>
      </c>
      <c r="D7" s="41">
        <v>9201</v>
      </c>
      <c r="E7" s="41" t="s">
        <v>79</v>
      </c>
      <c r="F7" s="70">
        <v>1229</v>
      </c>
      <c r="G7" s="70">
        <v>1060</v>
      </c>
      <c r="H7" s="57">
        <f t="shared" si="0"/>
        <v>0.86248982912937344</v>
      </c>
      <c r="I7" s="70">
        <v>0</v>
      </c>
      <c r="J7" s="70">
        <v>0</v>
      </c>
      <c r="K7" s="57">
        <f t="shared" si="1"/>
        <v>0</v>
      </c>
      <c r="L7" s="70">
        <v>0</v>
      </c>
      <c r="M7" s="70">
        <v>0</v>
      </c>
      <c r="N7" s="57">
        <f t="shared" si="2"/>
        <v>0</v>
      </c>
      <c r="O7" s="70">
        <v>15</v>
      </c>
      <c r="P7" s="70">
        <v>0</v>
      </c>
      <c r="Q7" s="57">
        <f t="shared" si="3"/>
        <v>0</v>
      </c>
      <c r="R7" s="70">
        <v>0</v>
      </c>
      <c r="S7" s="70">
        <v>0</v>
      </c>
      <c r="T7" s="57">
        <f t="shared" si="4"/>
        <v>0</v>
      </c>
      <c r="U7" s="70">
        <v>2566</v>
      </c>
      <c r="V7" s="70">
        <v>2224</v>
      </c>
      <c r="W7" s="57">
        <f t="shared" si="5"/>
        <v>0.8667186282151208</v>
      </c>
      <c r="X7" s="70">
        <v>2566</v>
      </c>
      <c r="Y7" s="70">
        <v>2224</v>
      </c>
      <c r="Z7" s="57">
        <f t="shared" si="7"/>
        <v>0.8667186282151208</v>
      </c>
      <c r="AA7" s="70">
        <v>54</v>
      </c>
      <c r="AB7" s="70">
        <v>57</v>
      </c>
      <c r="AC7" s="57">
        <f t="shared" si="60"/>
        <v>1.0555555555555556</v>
      </c>
      <c r="AD7" s="70">
        <v>45</v>
      </c>
      <c r="AE7" s="70">
        <v>15</v>
      </c>
      <c r="AF7" s="57">
        <f t="shared" si="8"/>
        <v>0.33333333333333331</v>
      </c>
      <c r="AG7" s="70">
        <v>0</v>
      </c>
      <c r="AH7" s="70">
        <v>0</v>
      </c>
      <c r="AI7" s="57">
        <f t="shared" si="9"/>
        <v>0</v>
      </c>
      <c r="AJ7" s="70">
        <v>0</v>
      </c>
      <c r="AK7" s="70">
        <v>0</v>
      </c>
      <c r="AL7" s="57">
        <f t="shared" si="10"/>
        <v>0</v>
      </c>
      <c r="AM7" s="70">
        <v>99</v>
      </c>
      <c r="AN7" s="70">
        <v>72</v>
      </c>
      <c r="AO7" s="57">
        <f t="shared" si="12"/>
        <v>0.72727272727272729</v>
      </c>
      <c r="AP7" s="70">
        <v>60</v>
      </c>
      <c r="AQ7" s="70">
        <v>0</v>
      </c>
      <c r="AR7" s="57">
        <f t="shared" si="13"/>
        <v>0</v>
      </c>
      <c r="AS7" s="70">
        <v>0</v>
      </c>
      <c r="AT7" s="70">
        <v>0</v>
      </c>
      <c r="AU7" s="57">
        <f t="shared" si="14"/>
        <v>0</v>
      </c>
      <c r="AV7" s="70">
        <v>0</v>
      </c>
      <c r="AW7" s="70">
        <v>0</v>
      </c>
      <c r="AX7" s="57">
        <f t="shared" si="15"/>
        <v>0</v>
      </c>
      <c r="AY7" s="70">
        <v>60</v>
      </c>
      <c r="AZ7" s="70">
        <v>0</v>
      </c>
      <c r="BA7" s="57">
        <f t="shared" si="17"/>
        <v>0</v>
      </c>
      <c r="BB7" s="70">
        <v>631</v>
      </c>
      <c r="BC7" s="70">
        <v>488</v>
      </c>
      <c r="BD7" s="57">
        <f t="shared" si="18"/>
        <v>0.77337559429477021</v>
      </c>
      <c r="BE7" s="70">
        <v>110</v>
      </c>
      <c r="BF7" s="70">
        <v>44</v>
      </c>
      <c r="BG7" s="57">
        <f t="shared" si="19"/>
        <v>0.4</v>
      </c>
      <c r="BH7" s="70">
        <v>0</v>
      </c>
      <c r="BI7" s="70">
        <v>0</v>
      </c>
      <c r="BJ7" s="57">
        <f t="shared" si="20"/>
        <v>0</v>
      </c>
      <c r="BK7" s="70">
        <v>1499</v>
      </c>
      <c r="BL7" s="70">
        <v>1523</v>
      </c>
      <c r="BM7" s="57">
        <f t="shared" si="21"/>
        <v>1.0160106737825216</v>
      </c>
      <c r="BN7" s="70">
        <v>0</v>
      </c>
      <c r="BO7" s="70">
        <v>0</v>
      </c>
      <c r="BP7" s="57">
        <f t="shared" si="22"/>
        <v>0</v>
      </c>
      <c r="BQ7" s="70">
        <v>2689</v>
      </c>
      <c r="BR7" s="70">
        <v>2269</v>
      </c>
      <c r="BS7" s="57">
        <f t="shared" si="23"/>
        <v>0.84380810710301224</v>
      </c>
      <c r="BT7" s="70">
        <v>0</v>
      </c>
      <c r="BU7" s="70">
        <v>0</v>
      </c>
      <c r="BV7" s="57">
        <f t="shared" si="24"/>
        <v>0</v>
      </c>
      <c r="BW7" s="70">
        <v>2848</v>
      </c>
      <c r="BX7" s="70">
        <v>2341</v>
      </c>
      <c r="BY7" s="57">
        <f t="shared" si="25"/>
        <v>0.8219803370786517</v>
      </c>
      <c r="BZ7" s="70">
        <v>5414</v>
      </c>
      <c r="CA7" s="70">
        <v>4565</v>
      </c>
      <c r="CB7" s="57">
        <f t="shared" si="26"/>
        <v>0.84318433690432215</v>
      </c>
      <c r="CC7" s="70">
        <v>9660</v>
      </c>
      <c r="CD7" s="70">
        <v>3150</v>
      </c>
      <c r="CE7" s="57">
        <f t="shared" si="27"/>
        <v>0.32608695652173914</v>
      </c>
      <c r="CF7" s="70">
        <v>0</v>
      </c>
      <c r="CG7" s="70">
        <v>0</v>
      </c>
      <c r="CH7" s="57">
        <f t="shared" si="28"/>
        <v>0</v>
      </c>
      <c r="CI7" s="70">
        <v>60</v>
      </c>
      <c r="CJ7" s="70">
        <v>0</v>
      </c>
      <c r="CK7" s="57">
        <f t="shared" si="29"/>
        <v>0</v>
      </c>
      <c r="CL7" s="70">
        <v>60</v>
      </c>
      <c r="CM7" s="70">
        <v>0</v>
      </c>
      <c r="CN7" s="57">
        <f t="shared" si="30"/>
        <v>0</v>
      </c>
      <c r="CO7" s="70">
        <v>1725</v>
      </c>
      <c r="CP7" s="70">
        <v>1090</v>
      </c>
      <c r="CQ7" s="57">
        <f t="shared" si="31"/>
        <v>0.63188405797101455</v>
      </c>
      <c r="CR7" s="70">
        <v>1785</v>
      </c>
      <c r="CS7" s="70">
        <v>1090</v>
      </c>
      <c r="CT7" s="57">
        <f t="shared" si="33"/>
        <v>0.61064425770308128</v>
      </c>
      <c r="CU7" s="70">
        <v>500</v>
      </c>
      <c r="CV7" s="70">
        <v>474</v>
      </c>
      <c r="CW7" s="57">
        <f t="shared" si="34"/>
        <v>0.94799999999999995</v>
      </c>
      <c r="CX7" s="70">
        <v>45</v>
      </c>
      <c r="CY7" s="70">
        <v>0</v>
      </c>
      <c r="CZ7" s="57">
        <f t="shared" si="35"/>
        <v>0</v>
      </c>
      <c r="DA7" s="70">
        <v>545</v>
      </c>
      <c r="DB7" s="70">
        <v>474</v>
      </c>
      <c r="DC7" s="57">
        <f t="shared" si="37"/>
        <v>0.86972477064220188</v>
      </c>
      <c r="DD7" s="70">
        <v>32410</v>
      </c>
      <c r="DE7" s="70">
        <v>15214</v>
      </c>
      <c r="DF7" s="57">
        <f t="shared" si="38"/>
        <v>0.46942301758716448</v>
      </c>
      <c r="DG7" s="70">
        <v>37824</v>
      </c>
      <c r="DH7" s="70">
        <v>19779</v>
      </c>
      <c r="DI7" s="57">
        <f t="shared" si="39"/>
        <v>0.52292195431472077</v>
      </c>
      <c r="DJ7" s="70">
        <v>1940</v>
      </c>
      <c r="DK7" s="70">
        <v>1149</v>
      </c>
      <c r="DL7" s="57">
        <f t="shared" si="40"/>
        <v>0.59226804123711341</v>
      </c>
      <c r="DM7" s="70">
        <v>560</v>
      </c>
      <c r="DN7" s="70">
        <v>474</v>
      </c>
      <c r="DO7" s="57">
        <f t="shared" si="41"/>
        <v>0.84642857142857142</v>
      </c>
      <c r="DP7" s="70">
        <v>951</v>
      </c>
      <c r="DQ7" s="70">
        <v>218</v>
      </c>
      <c r="DR7" s="57">
        <f t="shared" si="42"/>
        <v>0.22923238696109358</v>
      </c>
      <c r="DS7" s="42">
        <v>0.82</v>
      </c>
      <c r="DT7" s="64">
        <v>0.89150943396226401</v>
      </c>
      <c r="DU7" s="57">
        <f t="shared" si="65"/>
        <v>1.0872066267832488</v>
      </c>
      <c r="DV7" s="42">
        <v>0.83</v>
      </c>
      <c r="DW7" s="64">
        <v>0.84127697841726601</v>
      </c>
      <c r="DX7" s="57">
        <f t="shared" si="43"/>
        <v>1.0135867209846579</v>
      </c>
      <c r="DY7" s="42">
        <v>0.75</v>
      </c>
      <c r="DZ7" s="64">
        <v>0.94076163610719299</v>
      </c>
      <c r="EA7" s="57">
        <f t="shared" si="44"/>
        <v>1.2543488481429239</v>
      </c>
      <c r="EB7" s="42">
        <v>0.64</v>
      </c>
      <c r="EC7" s="64">
        <v>0.92695429303716403</v>
      </c>
      <c r="ED7" s="57">
        <f t="shared" si="45"/>
        <v>1.4483660828705687</v>
      </c>
      <c r="EE7" s="42">
        <v>0.74</v>
      </c>
      <c r="EF7" s="64">
        <v>0.885213581599124</v>
      </c>
      <c r="EG7" s="57">
        <f t="shared" si="46"/>
        <v>1.1962345697285459</v>
      </c>
      <c r="EH7" s="42">
        <v>0.76</v>
      </c>
      <c r="EI7" s="64">
        <v>0.79615384615384599</v>
      </c>
      <c r="EJ7" s="57">
        <f t="shared" si="47"/>
        <v>1.047570850202429</v>
      </c>
      <c r="EK7" s="42">
        <v>0.5</v>
      </c>
      <c r="EL7" s="59">
        <v>0.49244117260418002</v>
      </c>
      <c r="EM7" s="57">
        <f t="shared" si="48"/>
        <v>0.98488234520836004</v>
      </c>
      <c r="EN7" s="42">
        <v>0.62</v>
      </c>
      <c r="EO7" s="59">
        <v>0.58309317963496599</v>
      </c>
      <c r="EP7" s="57">
        <f t="shared" si="49"/>
        <v>0.94047287037897742</v>
      </c>
      <c r="EQ7" s="42">
        <v>0.78</v>
      </c>
      <c r="ER7" s="59">
        <v>0.91035683202785</v>
      </c>
      <c r="ES7" s="57">
        <f t="shared" si="50"/>
        <v>1.1671241436254487</v>
      </c>
      <c r="ET7" s="42">
        <v>0.81</v>
      </c>
      <c r="EU7" s="59">
        <v>0.86286919831223596</v>
      </c>
      <c r="EV7" s="57">
        <f t="shared" si="51"/>
        <v>1.0652706152002913</v>
      </c>
      <c r="EW7" s="74">
        <v>330</v>
      </c>
      <c r="EX7" s="70">
        <v>197</v>
      </c>
      <c r="EY7" s="57">
        <f t="shared" si="52"/>
        <v>0.59696969696969693</v>
      </c>
      <c r="EZ7" s="43">
        <v>859</v>
      </c>
      <c r="FA7" s="75">
        <v>93</v>
      </c>
      <c r="FB7" s="57">
        <f t="shared" si="53"/>
        <v>0.10826542491268917</v>
      </c>
      <c r="FC7" s="44">
        <v>1189</v>
      </c>
      <c r="FD7" s="70">
        <v>290</v>
      </c>
      <c r="FE7" s="57">
        <f t="shared" si="54"/>
        <v>0.24390243902439024</v>
      </c>
      <c r="FF7" s="45">
        <v>14211</v>
      </c>
      <c r="FG7" s="70">
        <v>3826</v>
      </c>
      <c r="FH7" s="57">
        <f t="shared" si="55"/>
        <v>0.2692280627682781</v>
      </c>
      <c r="FI7" s="44">
        <v>15400</v>
      </c>
      <c r="FJ7" s="70">
        <v>4116</v>
      </c>
      <c r="FK7" s="57">
        <f t="shared" si="56"/>
        <v>0.26727272727272727</v>
      </c>
      <c r="FL7" s="44">
        <v>555</v>
      </c>
      <c r="FM7" s="70">
        <v>1</v>
      </c>
      <c r="FN7" s="57">
        <f t="shared" si="66"/>
        <v>1.8018018018018018E-3</v>
      </c>
      <c r="FO7" s="44">
        <v>1362</v>
      </c>
      <c r="FP7" s="70">
        <v>555</v>
      </c>
      <c r="FQ7" s="57">
        <f t="shared" si="57"/>
        <v>0.40748898678414097</v>
      </c>
      <c r="FR7" s="76">
        <v>405</v>
      </c>
      <c r="FS7" s="70">
        <v>151</v>
      </c>
      <c r="FT7" s="57">
        <f t="shared" si="58"/>
        <v>0.37283950617283951</v>
      </c>
    </row>
    <row r="16" spans="1:176" x14ac:dyDescent="0.3">
      <c r="ER16" s="81">
        <f>+EX3/EW3</f>
        <v>7.2727272727272724E-2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Maribel Gil</dc:creator>
  <cp:lastModifiedBy>Maribel Gil</cp:lastModifiedBy>
  <dcterms:created xsi:type="dcterms:W3CDTF">2026-08-27T15:34:05Z</dcterms:created>
  <dcterms:modified xsi:type="dcterms:W3CDTF">2026-08-29T00:24:14Z</dcterms:modified>
</cp:coreProperties>
</file>