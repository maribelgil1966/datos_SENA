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4\"/>
    </mc:Choice>
  </mc:AlternateContent>
  <xr:revisionPtr revIDLastSave="0" documentId="8_{1F73811B-937C-4F26-8831-E0359B5A3A4F}" xr6:coauthVersionLast="47" xr6:coauthVersionMax="47" xr10:uidLastSave="{00000000-0000-0000-0000-000000000000}"/>
  <bookViews>
    <workbookView xWindow="-108" yWindow="-108" windowWidth="23256" windowHeight="12456" firstSheet="2" activeTab="2" xr2:uid="{57CC9A88-38E5-4FF2-84CB-0FF4668E2603}"/>
  </bookViews>
  <sheets>
    <sheet name="FABLAB" sheetId="1" r:id="rId1"/>
    <sheet name="SST" sheetId="3" r:id="rId2"/>
    <sheet name="PELETERIA" sheetId="2" r:id="rId3"/>
  </sheets>
  <definedNames>
    <definedName name="_xlnm._FilterDatabase" localSheetId="0" hidden="1">FABLAB!$A$2:$K$103</definedName>
    <definedName name="_xlnm._FilterDatabase" localSheetId="2" hidden="1">PELETERIA!$A$1:$T$1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 i="2" l="1"/>
  <c r="S29" i="2"/>
  <c r="F232" i="2"/>
  <c r="F231" i="2"/>
  <c r="S117"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81" i="2"/>
  <c r="S5" i="2"/>
  <c r="S2" i="2"/>
  <c r="S78" i="2"/>
  <c r="S77" i="2"/>
  <c r="S76" i="2"/>
  <c r="S62" i="2"/>
  <c r="S61" i="2"/>
  <c r="S57" i="2"/>
  <c r="S56" i="2"/>
  <c r="S55" i="2"/>
  <c r="S54" i="2"/>
  <c r="S53" i="2"/>
  <c r="S52" i="2"/>
  <c r="S51" i="2"/>
  <c r="S50" i="2"/>
  <c r="S49" i="2"/>
  <c r="S48" i="2"/>
  <c r="S47" i="2"/>
  <c r="S46" i="2"/>
  <c r="S35" i="2"/>
  <c r="S34" i="2"/>
  <c r="S30" i="2"/>
  <c r="S25" i="2"/>
  <c r="S24" i="2"/>
  <c r="S23" i="2"/>
  <c r="S21" i="2"/>
  <c r="S20" i="2"/>
  <c r="S19" i="2"/>
  <c r="S18" i="2"/>
  <c r="S17" i="2"/>
  <c r="S16" i="2"/>
  <c r="S15" i="2"/>
  <c r="S14" i="2"/>
  <c r="S13" i="2"/>
  <c r="S12" i="2"/>
  <c r="S11" i="2"/>
  <c r="S10" i="2"/>
  <c r="S9" i="2"/>
  <c r="S8" i="2"/>
  <c r="S7" i="2"/>
  <c r="S6" i="2"/>
  <c r="S4" i="2"/>
  <c r="S3" i="2"/>
  <c r="S22" i="2"/>
  <c r="S26" i="2"/>
  <c r="S27" i="2"/>
  <c r="S31" i="2"/>
  <c r="S32" i="2"/>
  <c r="S33" i="2"/>
  <c r="S36" i="2"/>
  <c r="S37" i="2"/>
  <c r="S38" i="2"/>
  <c r="S39" i="2"/>
  <c r="S40" i="2"/>
  <c r="S41" i="2"/>
  <c r="S42" i="2"/>
  <c r="S43" i="2"/>
  <c r="S44" i="2"/>
  <c r="S45" i="2"/>
  <c r="S58" i="2"/>
  <c r="S59" i="2"/>
  <c r="S60" i="2"/>
  <c r="S63" i="2"/>
  <c r="S64" i="2"/>
  <c r="S65" i="2"/>
  <c r="S66" i="2"/>
  <c r="S67" i="2"/>
  <c r="S68" i="2"/>
  <c r="S69" i="2"/>
  <c r="S70" i="2"/>
  <c r="S71" i="2"/>
  <c r="S72" i="2"/>
  <c r="S73" i="2"/>
  <c r="S74" i="2"/>
  <c r="S75" i="2"/>
  <c r="S79" i="2"/>
  <c r="S80" i="2"/>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3" i="1"/>
</calcChain>
</file>

<file path=xl/sharedStrings.xml><?xml version="1.0" encoding="utf-8"?>
<sst xmlns="http://schemas.openxmlformats.org/spreadsheetml/2006/main" count="1343" uniqueCount="636">
  <si>
    <t>Item</t>
  </si>
  <si>
    <t>Código</t>
  </si>
  <si>
    <t>Producto</t>
  </si>
  <si>
    <t xml:space="preserve">Unidad de medida </t>
  </si>
  <si>
    <t>Presentación</t>
  </si>
  <si>
    <t>Cantidad pedida</t>
  </si>
  <si>
    <t xml:space="preserve">Entrega 1, agosto 28 </t>
  </si>
  <si>
    <t>Entrega 2
15 oct</t>
  </si>
  <si>
    <t>Entrega 17 oct</t>
  </si>
  <si>
    <t>Entrega 29 Nov</t>
  </si>
  <si>
    <t>Faltantes</t>
  </si>
  <si>
    <t>WypAll X75 Plus con Power Pockets</t>
  </si>
  <si>
    <t>Rollo de 60 paños</t>
  </si>
  <si>
    <t>Rollos</t>
  </si>
  <si>
    <t>Estopa Algodón</t>
  </si>
  <si>
    <t>kg</t>
  </si>
  <si>
    <t>Paquete por KG</t>
  </si>
  <si>
    <t>Limpiador de contactos QD Contact cleaner 235ML</t>
  </si>
  <si>
    <t>UNIDAD</t>
  </si>
  <si>
    <t>Unidad Lata de Aerosol contenido 235 ML</t>
  </si>
  <si>
    <t>Limpiador QD para contactos electronicos en aerosol 235 ML</t>
  </si>
  <si>
    <t>Unidad</t>
  </si>
  <si>
    <t>UND Lata de Aerosol contenido 235 ML</t>
  </si>
  <si>
    <t>Traba Roscas o Fijador de roscas rojo de alta resistencia y alta viscocidad en base metacrilato, adecuado para la fijacion y el sellado de tornilleria.</t>
  </si>
  <si>
    <t>unidad 50 ml</t>
  </si>
  <si>
    <t>Traba Roscas  tambien llamado adhesivo fijador de roscas azul de resistencia media que sella y fija tuercas y pernos para evitar su aflojamiento a causa de impactos y vibraciones.</t>
  </si>
  <si>
    <t>Unidad 50 ml</t>
  </si>
  <si>
    <t>Traba Roscas tambien llamado adhesivo fijador de roscas violeta de resistencia baja que sella y fija tuercas, pernos para evitar su aflojamiento a causa de impactos y vibraciones</t>
  </si>
  <si>
    <t>lubricante penetrante Multiproposito 5-56 en aerosol 400ml</t>
  </si>
  <si>
    <t>ml</t>
  </si>
  <si>
    <t>Unidades, lata 400 ml</t>
  </si>
  <si>
    <t>Masilla Epoxica x 50 gr</t>
  </si>
  <si>
    <t>g</t>
  </si>
  <si>
    <t>unidad de 50 gramos</t>
  </si>
  <si>
    <t>Engrasadora manual 14 onzas ( 400g) 78-031. Grasera tipo palanca anti-atascamiento Tiene una manguera de apolicacion rigida y flexible</t>
  </si>
  <si>
    <t>kit el cual lo compone grasera + manguera rigida + manguera flexible</t>
  </si>
  <si>
    <t>Amarre Transparente 3,6 X 250 mm x 100 unidades</t>
  </si>
  <si>
    <t>Paquete</t>
  </si>
  <si>
    <t xml:space="preserve">Paquete por 100 unidades </t>
  </si>
  <si>
    <t>Desengrasante industrial Biodegradable</t>
  </si>
  <si>
    <t>Galon</t>
  </si>
  <si>
    <t>galon</t>
  </si>
  <si>
    <t>Desoximetal: Removedor de Oxido para metales</t>
  </si>
  <si>
    <t>Empaque por galon</t>
  </si>
  <si>
    <t>Vaselina Industrial</t>
  </si>
  <si>
    <t>KG</t>
  </si>
  <si>
    <t>Empoaque por kg</t>
  </si>
  <si>
    <t xml:space="preserve">Pintura Anticorrosivo </t>
  </si>
  <si>
    <t>Pintura Anticorrosivo en aerosol aerocolor, pintura metal</t>
  </si>
  <si>
    <t>Unidad de aerosol contenido 300 ml</t>
  </si>
  <si>
    <t xml:space="preserve">Filamento color blanco PLA diametro 1,75mm para impresora 3D </t>
  </si>
  <si>
    <t>Kilogramo</t>
  </si>
  <si>
    <t>Caja con carreta x 1KG</t>
  </si>
  <si>
    <t xml:space="preserve">Filamento Color Verde PLA diametro 1,75mm para impresora 3D </t>
  </si>
  <si>
    <t xml:space="preserve">Filamento Color Azul PLA diametro 1,75mm para impresora 3D </t>
  </si>
  <si>
    <t>Filamento TPU color Blanco diametro 1,75mm para impresora 3D</t>
  </si>
  <si>
    <t>Caja con carreta x 800 gr como minimo</t>
  </si>
  <si>
    <t>Filamento TPU color Negro diametro 1,75mm para impresora 3D</t>
  </si>
  <si>
    <t>Caja con carreta x 800 gr como mimino</t>
  </si>
  <si>
    <t>Filamento TPU color Rojo diametro 1,75mm para impresora 3D</t>
  </si>
  <si>
    <t>Filamento TPU color Azul diametro 1,75mm para impresora 3D</t>
  </si>
  <si>
    <t>Caja con carreta x 800 gr</t>
  </si>
  <si>
    <t>GAFAS DE PROTECCION PARA LASER</t>
  </si>
  <si>
    <t>UNIDAD EN BOLSA</t>
  </si>
  <si>
    <t>PINZA PELACABLES</t>
  </si>
  <si>
    <t>UNIDAD POR EMPAQUE</t>
  </si>
  <si>
    <t>ALICATE CORTA FRIO</t>
  </si>
  <si>
    <t>ALICATE PINZA</t>
  </si>
  <si>
    <t>TUBO DE TEFLON</t>
  </si>
  <si>
    <t>m</t>
  </si>
  <si>
    <t>METRO</t>
  </si>
  <si>
    <t>CORREA DENTADA</t>
  </si>
  <si>
    <t>KIT DE 2 CORREAS DENTADAS PARA IMPRESORA 3D</t>
  </si>
  <si>
    <t>Kit de extrusion para impresora 3D Chiron</t>
  </si>
  <si>
    <t>Kit de partes para extrusor con boquilla, bloque calentador, termistor y cuerpo radiador. compatible con impresora 3D Anycub Chiron (24 V).
Catacteristicas:
- Bloque V5
- Calentador de 24V potencia 40W para Anycub Chiron.
-Termistor: NTC3950 - Material: Aluminio</t>
  </si>
  <si>
    <t>Bloque Calentador para impresora 3D Anycub Chiron. Kit: V5 Block + Silicone Sock</t>
  </si>
  <si>
    <t>Kit Calentador dado Impresora Anycub Chiron: Calentador cartucho 24 V potencia 40 W + Termistor NTC3950</t>
  </si>
  <si>
    <t>Kit: Kit Calentador dado Impresora Anycub Chiron: Calentador cartucho 24 V potencia 40 W + Termistor NTC3950 para impresora 3D ANYCUBIC chiron. Para V5 Hotend</t>
  </si>
  <si>
    <t>Kit de extrusion para impresora 3D Anycub PREDATOR</t>
  </si>
  <si>
    <t>kit: Contenido del cabezal de extrusión para Anycubic Predator:</t>
  </si>
  <si>
    <t>Base (Cama) magnetica Anycub Predator</t>
  </si>
  <si>
    <t>Empaque con contenido Base Magnetica para impresora 3D Anycub Predator</t>
  </si>
  <si>
    <t>Kit Calentador dado Impresora 3D Anycub Predator: Calentador cartucho 24 V potencia 40 W + Termistor NTC3950 para V5 Hotend Anycub Predator</t>
  </si>
  <si>
    <t>Sensor de Filamento de 1.75mm para impresora 3D, incluye cable</t>
  </si>
  <si>
    <t>KIT: Sensor de Filamento de 1.75mm para impresora 3D, incluye cable</t>
  </si>
  <si>
    <t>Conector JST macho y hembra 2 pines rojo-Negro</t>
  </si>
  <si>
    <t>unidad</t>
  </si>
  <si>
    <t>Kit: Conectores 1 hembra + 1 macho numero de pines 2, color rojo y negro</t>
  </si>
  <si>
    <t>Calecfactor Extrusion para impresora  3D Anycub Predator 20x6mm, 12v, 40w, 1.5m conector JST para facil reemplazo</t>
  </si>
  <si>
    <t>Kit: Descripcion: Calefactor para bloque de extrusión, 20 mm de largo, 6mm de diametro, 12V, 40w. con cable 1.5m, con conector para fácil reemplazo. Caracteristicas: Cotaje: 12v. - Potencia: 40W. - Longitud del tubo 20mm.-Diametro del tubo: 6mm. - Longitud del cable:1.5m con conector JST</t>
  </si>
  <si>
    <t>Garganta Bimetálica V6. para filamento 1.75mm</t>
  </si>
  <si>
    <t>UPS ON-LINE 3KVA. IN: 150-300V/2PH+T. Factor de potencia: 3KVA/2.7KW Tecnologia online de Doble Conversión Banco de baterías externo para autonomia de 5-7 minutos a 100% de carga.</t>
  </si>
  <si>
    <t>Cinta métrica láser digital</t>
  </si>
  <si>
    <t>Unidades</t>
  </si>
  <si>
    <t>Iman de Neodimio</t>
  </si>
  <si>
    <t>Set de 4</t>
  </si>
  <si>
    <t xml:space="preserve">ACTIVADOR HIDROGRAFIA </t>
  </si>
  <si>
    <t>gal</t>
  </si>
  <si>
    <t>Galón</t>
  </si>
  <si>
    <t>ALCOHOL POLIVINILO</t>
  </si>
  <si>
    <t>Metro x Metro</t>
  </si>
  <si>
    <t>PROMOTOR DE ADHERENCIA</t>
  </si>
  <si>
    <t>SELLADOR HIDROGRAFÍA</t>
  </si>
  <si>
    <t>Juego De Herramientas De Limpieza Para Impresoras 3d</t>
  </si>
  <si>
    <t>Kit de Herramientas</t>
  </si>
  <si>
    <t>ORGANIZADOR PLASTICO</t>
  </si>
  <si>
    <t>LAMINA DE POLEITILENO</t>
  </si>
  <si>
    <t xml:space="preserve">GRAPA 1Omm x 16mm  </t>
  </si>
  <si>
    <t xml:space="preserve">Paquete x 1000 </t>
  </si>
  <si>
    <t xml:space="preserve">Extension Electrica Industrial </t>
  </si>
  <si>
    <t>UPS Online tipo torre 1KVa - 120 VAC</t>
  </si>
  <si>
    <t>Por Unidad</t>
  </si>
  <si>
    <t>Prensa De Liberación Rápida Horizontal</t>
  </si>
  <si>
    <t>Pin para Palets</t>
  </si>
  <si>
    <t>Bisagra</t>
  </si>
  <si>
    <t>Par</t>
  </si>
  <si>
    <t>Empaque por Par</t>
  </si>
  <si>
    <t>falta 1</t>
  </si>
  <si>
    <t>Lamina polietileno espesor 3mm x 150cm x 300 cm</t>
  </si>
  <si>
    <t>Resina Anycubic para ser usada en impresora Annycub PHOTON M3 Premium</t>
  </si>
  <si>
    <t>Frasco por 1KG</t>
  </si>
  <si>
    <t>Bisagra comun 1 1/2 lamina de acero cold rolled  recubrimiento laton Rectangular largo 38mm X 27mm</t>
  </si>
  <si>
    <t>Tornillo Bristoll (llave hexagonal) cabeza avellanada zincado M3 x longitud 12mm</t>
  </si>
  <si>
    <t>Tuerca M3 zincada</t>
  </si>
  <si>
    <t>Tornillo Bristoll (llave hexagonal) cabeza avellanada zincado M3 x longitud 20mm</t>
  </si>
  <si>
    <t>Aluminio 1100 placa espesor 5MM X 30 cm x 30 cm</t>
  </si>
  <si>
    <t>Inserto para fresadora. Para ser usado con porta inserto</t>
  </si>
  <si>
    <t>Caja por 10 unidades</t>
  </si>
  <si>
    <t>Fresa punta Esferica Ø 0,5 X 50mm X 2F</t>
  </si>
  <si>
    <t>Fresa punta Esferica Ø 1 X 50mm X 2F</t>
  </si>
  <si>
    <t>Fresa punta Esferica Ø 2 X 2F</t>
  </si>
  <si>
    <t>Fresa punta Esferica Ø 2 X 4F</t>
  </si>
  <si>
    <t>FRESA PLANA. 0.5 X 50 mm</t>
  </si>
  <si>
    <t>FRESA PLANA. 1 X 50 mm</t>
  </si>
  <si>
    <t>FRESA PLANA. 2 X 50 mm - 4F 55HRC</t>
  </si>
  <si>
    <t>FRESA PLANA. 3 X 50 mm - 4F 55HRC</t>
  </si>
  <si>
    <t>Fresa punta Esferica Ø 3 X 4F</t>
  </si>
  <si>
    <t>Tintas para Marquillas (Marquilla Neutro Transparente) o tambien llamado Plastisol Marquilla</t>
  </si>
  <si>
    <t>Empaque por Kilogramo</t>
  </si>
  <si>
    <t>Aditivo Plastisol</t>
  </si>
  <si>
    <t>ml o el equivalente en KG</t>
  </si>
  <si>
    <t>Frasco por 756 ml o empaque por KG</t>
  </si>
  <si>
    <t>Pigmento para tinta de marquilla neutro (Plastisol) Rojo</t>
  </si>
  <si>
    <t>empaque por kg</t>
  </si>
  <si>
    <t>Pigmento para tinta de marquilla neutro (Plastisol) Amarillo</t>
  </si>
  <si>
    <t>Empaque por KG</t>
  </si>
  <si>
    <t>Pigmento para tinta de marquilla neutro (Plastisol) Azul</t>
  </si>
  <si>
    <t>Pigmento para tinta de marquilla neutro (Plastisol) Negro</t>
  </si>
  <si>
    <t>Empaque por kg</t>
  </si>
  <si>
    <t>Pigmento para tinta de marquilla neutro (Plastisol) Verde</t>
  </si>
  <si>
    <t>Empaque por Kg</t>
  </si>
  <si>
    <t>Pigmento para tinta de marquilla neutro (Plastisol) Blanco</t>
  </si>
  <si>
    <t>Flusible 6A de losa, longitud 1 1/2pulg. 500V aproximadamente  I.=120KA. - 0.85W. -  CH10</t>
  </si>
  <si>
    <t>Kit titan Extruder para impresora Anycub Chiron actualizacion extrusora</t>
  </si>
  <si>
    <t>Kit Titan Extruder para impresora Anycub Chiron. Contenido del paquete: 1 Kit de extrusora de actualizacion. + 1 soporte de montaje. No incluye motor paso a paso</t>
  </si>
  <si>
    <t>Kit cabezal Plotter HP T120 completo</t>
  </si>
  <si>
    <t>Gancho (Lanzadera) Maquina costura Automatica. Numero de parte 60117684 Tomado del Industrial Sewing Machine Parts Catalog Model PLK-62516R Mitsubishi</t>
  </si>
  <si>
    <t>Caja Bobina (Bobbin case) MAQ Costura Programable No Parte MG44E0125. Tomado del Industrial Sewing Machine Parts Catalog Model PLK-62516R Mitsubishi</t>
  </si>
  <si>
    <t>Carretel (Bobbin) en Aluminio. No parte MF25B0123. Tomado del Industrial Sewing Machine Parts Catalog Model PLK-62516R Mitsubishi</t>
  </si>
  <si>
    <t>Cuchilla Movil (Mobile Blade) Costura Automatica. Numero de parte MSF02A0838. Tomado del Industrial Sewing Machine Parts Catalog Model PLK-62516R Mitsubishi</t>
  </si>
  <si>
    <t>Cuchilla fija (Fixed blade) costura Automatica. numero de parte MS10A0838. Tomado del Industrial Sewing Machine Parts Catalog Model PLK-62516R Mitsubishi</t>
  </si>
  <si>
    <t>Separador de Hilo Fijo CEMAC 3020M/6040M tipo MITSUBISHI</t>
  </si>
  <si>
    <t xml:space="preserve">Separador de Hilo Movil CEMAC 3020M/6040M TIPO MITSUBISHI </t>
  </si>
  <si>
    <t>TORNILLO SUJETADOR DE CUCHILLA MOVIL COSTURA AUTOMATICA CEMAC 3020M/6040M TIPO MITSUBISHI. Numero de parte M911510015. Tomado del Industrial Sewing Machine Parts Catalog Model PLK-62516R Mitsubishi</t>
  </si>
  <si>
    <t>Retenedor de corte para planas de costura Automatica</t>
  </si>
  <si>
    <t>Resorte Tira Hilo Costura Automatica</t>
  </si>
  <si>
    <t>Moneda Planchuela 2.6 (Tambien llamado Ojillo) costura automatica  CEMAC 3020M/6040M TIPO MITSUBISHI- MS02A1-101 (2.6). Numero de parte MS02A1101. Tomado del Industrial Sewing Machine Parts Catalog Model PLK-62516R Mitsubishi</t>
  </si>
  <si>
    <t>Barra de aguja costura Automatica (7mm) CEMAC 6040/3020 TIPO MITSUBISHI. Numero de parte MH27A0660. Tomado del Industrial Sewing Machine Parts Catalog Model PLK-62516R Mitsubishi</t>
  </si>
  <si>
    <t>Guia Hilo Barra De Aguja 7mm Costura Automatica CEMAC 3020/6040 TIPO MITSUBISHI. Numero de parte MG42A0181. Tomado del Industrial Sewing Machine Parts Catalog Model PLK-62516R Mitsubishi</t>
  </si>
  <si>
    <t>Aguja Maquina Costura Programable. CEMAC 6040/3020 TIPO MITSUBISHI. Aguja 134-35 L/R # 130</t>
  </si>
  <si>
    <t>Devanador Maquina de Costura Automatica CEMAC 6040/3020 TIPO MITSUBISHI</t>
  </si>
  <si>
    <t>Tensor de Hilo Completo Máquina de costura Automatica CEMAC 6040/3020 TIPO MITSUBISHI</t>
  </si>
  <si>
    <t>Pie Intermedio 2.4mm Costura Programable/PT1710  2.4mm</t>
  </si>
  <si>
    <t xml:space="preserve">Pie Intermedio 3mm Costura Programable/PT1710 </t>
  </si>
  <si>
    <t>Descripción</t>
  </si>
  <si>
    <t>Unidad de medida</t>
  </si>
  <si>
    <t>Cantidad</t>
  </si>
  <si>
    <t>https://sena4-my.sharepoint.com/:x:/r/personal/lgallegod_sena_edu_co/_layouts/15/Doc.aspx?sourcedoc=%7B68F75E2E-1E51-4488-B620-FBB4674F09CC%7D&amp;file=LOTE%205%20SST%20AJUSTADA.xlsx&amp;action=default&amp;mobileredirect=true</t>
  </si>
  <si>
    <t>52101510 </t>
  </si>
  <si>
    <t>Alfombra de Entrenamiento de Levantamiento Manual de Cargas </t>
  </si>
  <si>
    <t>Descubre la innovadora Alfombra de Levantamiento de Cargas. Mejora tus capacitaciones en ergonomía y cuidado de la espalda. Entrenamiento dinámico y visual. Enseña a proteger la espalda y prevenir lesiones. </t>
  </si>
  <si>
    <t>unidad </t>
  </si>
  <si>
    <t>Unidad </t>
  </si>
  <si>
    <t>46182306 </t>
  </si>
  <si>
    <r>
      <t>ARNÉS CON FAJA LUMBAR STEELPRO</t>
    </r>
    <r>
      <rPr>
        <sz val="9"/>
        <color rgb="FF232323"/>
        <rFont val="Aptos Narrow"/>
        <family val="2"/>
        <scheme val="minor"/>
      </rPr>
      <t> </t>
    </r>
  </si>
  <si>
    <t>ARNÉS CON FAJA LUMBAR, El arnés multipropósito con faja lumbar 500863 sistema ajustable de talla M a XL. reatas en poliamida de alta duración. Argollas en D distribuidas en: 1 argolla dorsal. 1 argolla pectoral. 2 argollas de posicionamiento. Todas las argollas están fabricadas en acero reforzado de alta resistencia 22.5 Kn y sus 5 hebillas de ajuste correspondientes. El soporte lumbar ofrece un gran confort para actividades de suspensión o laborares de larga duración en posiciones incomodas. Almohadillas en U para un mejor soporte en los hombros y evitar el rose directo de las reatas alrededor del cuello y los hombros. Capacidad máxima 140 Kg Reatas de Poliéster de 45 mm. Hebillas de ajuste distribuidas en pecho – piernas – torso. Posee sistema de indicación para poder verificar si el equipo ha sufrido algún uso en riesgo o detención de alguna caída. El ticket de verificación cuenta con sistema de protección para prolongar la vida útil de las misma y poder disponer de dicha información constantemente. Detención de caída – ascenso y descenso – restricción de caída. Certificación OSHA 1926. ANSI Z359.1-2007.ANSI A10.32-2010 </t>
  </si>
  <si>
    <t>Unidad  </t>
  </si>
  <si>
    <t>46181600 </t>
  </si>
  <si>
    <r>
      <t>BOTAS DE SEGURIDAD </t>
    </r>
    <r>
      <rPr>
        <sz val="9"/>
        <color rgb="FF232323"/>
        <rFont val="Aptos Narrow"/>
        <family val="2"/>
        <scheme val="minor"/>
      </rPr>
      <t> </t>
    </r>
  </si>
  <si>
    <t>Bota de seguridad dieléctrica. Bota de seguridad negra. Bota saga 2021E, Puntera: composite dieléctrica. Calibre 1.8 - 2.0 mm. Elaborada en tejido de punto 100% poliéster texturizado con suplemento en espuma calibre 4 mm, abullonado con lámina de espuma de polietileno calibre 8 mm y tela no tejida 100% poliéster que proporciona comodidad al zapato. Ojales: Redondos en material plástico. Plantilla:1,5mm, antihongos, Anatómica en poliuretano, removible, con soporte calcáneo y perforaciones para reducir la transpiración. Cinta reflectaba entre costuras del talón para trabajos en lugares con poca luminosidad. Parte superior del tobillo en alta comodidad con tres soportes. </t>
  </si>
  <si>
    <t>Par </t>
  </si>
  <si>
    <t>24112401 </t>
  </si>
  <si>
    <r>
      <t>Cajas para Herramientas 58 cm con Ruedas y Mango</t>
    </r>
    <r>
      <rPr>
        <sz val="9"/>
        <color rgb="FF333333"/>
        <rFont val="Aptos Narrow"/>
        <family val="2"/>
        <scheme val="minor"/>
      </rPr>
      <t> </t>
    </r>
  </si>
  <si>
    <t>Especificaciones: Tipo Caja de herramientas. Cierre Clip. Material Polipropileno. Características: Cubierta superior con 3 áreas de almacenamiento, Fabricada en polipropileno de alto impacto, Puede colocarse candado, Permite colocar candado, Mango de alta resistencia y para fácil transporte, Modelo ancho para mayor capacidad, Contiene 1 bandeja de plástico, Es liviana y lavable </t>
  </si>
  <si>
    <t>46180000 </t>
  </si>
  <si>
    <t>CARETA DE SOLDADURA </t>
  </si>
  <si>
    <t>parte posterior. Lentes para absorber el 99.9% de la radiación o también llamada rayos UV. Parte frontal el arnés con almohadilla para el sudor removible para ser limpiada. Certificaciones. EN175S. EN379. ANSI Z87.1 </t>
  </si>
  <si>
    <t>CARETA EN MALLA </t>
  </si>
  <si>
    <t>Careta de protección en malla. Careta en malla. Careta para guadañar, Visor levantable con doble ajuste tanto en altura e inclinación posterior para ofrecer confort en puntos principales. Presenta pines de ajuste personalizables con diferentes visores. Color naranja casquete. Anzi Z87.1+ EN166A EN1731S IRAM </t>
  </si>
  <si>
    <t>Careta para altas temperaturas </t>
  </si>
  <si>
    <t>El visor está diseñado especialmente para la protección visual directa. Protección contra partículas – radiación infrarroja – refracción del calor. 
Visor en policarbonato En 5.0 IR. disminuye la temperatura directa que recibe en la parte frontal, ofreciendo así un mayor confort para trabajos directos. Múltiples sujetadores superiores para mantener el visor sin producir movimiento o efecto cóncavo. Filtración UV 99.9 %. La careta 5.0 IR es usa en diferentes áreas como son: Metalmecánicos – corte y múltiples pulidos – fundición -hornos – minería – pintura – talleres automotrices – corte de plasma. Visor 2.25 - 2,5 mm de espesor. Soporte de casquete color gris oscuro. Visor IR 5.0 Verde oscuro. Certificación: ANSI Z87.1 2010 </t>
  </si>
  <si>
    <t>Careta para altas temperaturas dorado </t>
  </si>
  <si>
    <t>El visor está diseñado especialmente para la protección visual directa. Protección contra partículas – radiación infrarroja – refracción del calor. 
Visor dorado en policarbonato en 5.0 IR. El visor disminuye la temperatura directa que recibe en la parte frontal, ofreciendo así un mayor confort para trabajos directos. Múltiples sujetadores superiores para mantener el visor sin producir movimiento o efecto cóncavo. Filtración UV 99.9 %. La careta  5.0 IR es usa en diferentes áreas como son: 
Metalmecánicos – corte y múltiples pulidos – fundición -hornos – minería – pintura – talleres automotrices – corte de plasma. Visor 2.25 - 2,5 mm de espesor. Soporte de casquete color gris oscuro. Visor IR 5.0 Dorado. Certificación: ANSI Z87.1 2010 </t>
  </si>
  <si>
    <t>46182000 </t>
  </si>
  <si>
    <t>CARTUCHOS PARA AMONIACO - METILAMINA </t>
  </si>
  <si>
    <t>Cartucho para amoniaco - metilamina.  </t>
  </si>
  <si>
    <t>46181700 </t>
  </si>
  <si>
    <r>
      <t>CASCO PARA ALTURAS</t>
    </r>
    <r>
      <rPr>
        <sz val="9"/>
        <color rgb="FF232323"/>
        <rFont val="Aptos Narrow"/>
        <family val="2"/>
        <scheme val="minor"/>
      </rPr>
      <t> </t>
    </r>
  </si>
  <si>
    <t>Casco para alturas de alto rendimiento. CARACTERISTICAS: Fácil manejo. Material plástico de alta resistencia. Modelo de soporte para fácil ajuste. Material resistente a caídas / golpes  Trabajos en alturas, PRESENTACIÓN Bolsa plástica. Desde una unidad. CARACTERÍSTICAS TÉCNICAS / CERTIFICACIONES: Tafilete - araña de 6 apoyos. Barbuquejo de 4 puntos de sujeción Peso: 460 g. Aprobación / certificación CE EN 397+ LD / EN 166:2001 /1995 + A1:2000 </t>
  </si>
  <si>
    <t>46181507 </t>
  </si>
  <si>
    <t>Chaleco Reflectivo  </t>
  </si>
  <si>
    <t>Chaleco en color naranja y verde fluorescente. Cuenta con dos bandas Fluorescentes a su alrededor.  </t>
  </si>
  <si>
    <t>46181518 </t>
  </si>
  <si>
    <t>Chaqueta Ignífuga de 1 capa </t>
  </si>
  <si>
    <t>4 bolsillos frontales con solapa sobredimensionada para una apertura fácil con guantes. Bolsillo frontal, izquierdo superior adaptado para emisoras portátiles. Velcro, para identificación en el pecho. Argolla de enganche para petate de emisora a la altura del hombro. Bolsillo porta emisoras. Puños ajustables mediante Velcro® exterior. Cuello sobre elevado en la parte posterior para protección de la nuca. Solapa cubre cuello ajustable con velcro®. Cremallera central de apertura rápida de seguridad y sistema abre fácil. Bandas reflectantes de alta visibilidad en frontal, brazos y espalda. Forro completo para una alta protección en ataque directo y rozaduras </t>
  </si>
  <si>
    <t>24112403 </t>
  </si>
  <si>
    <t>Cinturón Porta Herramientas  </t>
  </si>
  <si>
    <t>Múltiples bolsillos y almacenamiento para martillo. • Cinturón ajustable y espaldar acolchado para mayor comodidad. • Resistente, fuerte y duradera • Múltiples tamaños de bolsillos • Proporciona una máxima organización de herramientas y piezas pequeñas • Tamaño y estructura de los bolsillos permite un fácil acceso • Gancho para martillo integrado • Diseñado para llevar en la parte del frente del cuerpo Especificaciones técnicas: » Bolsillos: 11 » Largo: 55 pulg (1397 mm) » Altura: 10-1/4 pulg (260.3 mm) Herramienta manual para uso profesional,  </t>
  </si>
  <si>
    <t>46181604 </t>
  </si>
  <si>
    <r>
      <t>Cubre botas caña alta </t>
    </r>
    <r>
      <rPr>
        <sz val="9"/>
        <color rgb="FF232323"/>
        <rFont val="Aptos Narrow"/>
        <family val="2"/>
        <scheme val="minor"/>
      </rPr>
      <t> </t>
    </r>
  </si>
  <si>
    <t>Cubre botas. Cubre botas caña alta. Cierre en liga plástica de alta resistencia. Botas en polietileno transparente, CARACTERÍSTICAS TÉCNICAS / CERTIFICACIONES: Cubre botas plástico para evitar la filtración de líquidos o material microparticulado. Material polipropileno. Presentación bolsa plástica por 10 unidades. Diseño ambidiestro. Zapatones plásticos Calibre 0.05. Terminación resortada. 100% impermeable. </t>
  </si>
  <si>
    <t>Bolsa x 10 unidades </t>
  </si>
  <si>
    <t>42172001 </t>
  </si>
  <si>
    <t>CUELLO ORTOPEDICO MULTI TALLA </t>
  </si>
  <si>
    <t>Cuello multi talla. Collarín multi talla. Cuello ortopédico. Cuello ortopédico ajustable, Los ajustes en talla son S M L. Ofrece 4 formas de collares para adulto y 3 para niños. El múltiple ajuste permite el uso en personas y pediátricos, sujetadores de ajuste en velcro. Doble botón de push to look en cada lateral. Para aplicar el bloqueo del cuello. </t>
  </si>
  <si>
    <r>
      <t>Filtro para material particulado</t>
    </r>
    <r>
      <rPr>
        <sz val="9"/>
        <color rgb="FF232323"/>
        <rFont val="Aptos Narrow"/>
        <family val="2"/>
        <scheme val="minor"/>
      </rPr>
      <t> </t>
    </r>
  </si>
  <si>
    <t>CARACTERISTICAS: Filtro para material particulado. Color de gris. Etiqueta en fucsia con amarillo. Peso aproximado por pieza 44 gramos. Puede ser limpiado por toallas antisépticas y descontaminado. </t>
  </si>
  <si>
    <t>46181811 </t>
  </si>
  <si>
    <r>
      <t>GAFA DE SEGURDAD </t>
    </r>
    <r>
      <rPr>
        <sz val="9"/>
        <color rgb="FF232323"/>
        <rFont val="Aptos Narrow"/>
        <family val="2"/>
        <scheme val="minor"/>
      </rPr>
      <t> </t>
    </r>
  </si>
  <si>
    <t>Gafas de seguridad. CARACTERÍSTICAS: Instalación básica. Completamente aseguradas para evitar que se desprendan. Material resistente a caídas. Protección visual de alto nivel. Placa de color = negro. Lente compuesto en policarbonato. Soporte facial en espuma suave y sellada PRESENTACIÓN: Tipo bolsa. Desde una unidad. CARACTERÍSTICAS TÉCNICAS / CERTIFICACIONES. Protección de alto nivel. Color = negro. Estuche para protección y banda elástica ajustable. Aprobación / certificación. Filtración de rayos ultravioleta 99.9 %. ANSI-Z87+ </t>
  </si>
  <si>
    <t>CARACTERÍSTICAS: Instalación básica. Completamente aseguradas para evitar que se desprendan. Material resistente a caídas. Protección visual de alto nivel Placa de color = rojo. Lente compuesto en policarbonato. Soporte facial en espuma suave y sellada, Material resistente a caídas. Protección visual de alto nivel Placa de color = rojo. Lente compuesto en policarbonato. Soporte facial en espuma suave y sellada </t>
  </si>
  <si>
    <t>CARACTERÍSTICAS: Instalación básica. Completamente aseguradas para evitar que se desprendan. Material resistente a caídas. Protección visual de alto nivel Placa de color = azul. Lente compuesto en policarbonato. Soporte facial en espuma suave y sellada </t>
  </si>
  <si>
    <t>CARACTERISTICAS Instalación básica. Material resistente a caídas. Protección visual de alto nivel. Placa de color = rojo. Lente compuesto en policarbonato  </t>
  </si>
  <si>
    <t>CARACTERÍSTICA: Material resistente a caídas. Protección visual de alto nivel. Placa de color = negro. Disponibilidad de lente oscuro. Lente compuesto en policarbonato  </t>
  </si>
  <si>
    <r>
      <t>GAFA PARA LENTE FORMULADO </t>
    </r>
    <r>
      <rPr>
        <sz val="9"/>
        <color rgb="FF232323"/>
        <rFont val="Aptos Narrow"/>
        <family val="2"/>
        <scheme val="minor"/>
      </rPr>
      <t> </t>
    </r>
  </si>
  <si>
    <t>CARACTERISTICAS: Instalación básica. Material resistente a caídas. Protección visual de alto nivel. Placa de color = marón-claro Protección múltiple a la altura de las cejas. Disponibilidad de lente claro/ oscuro. Lente compuesto en policarbonato. Gafas para lentes formulados  </t>
  </si>
  <si>
    <r>
      <t>GAFAS DE SEGURIDAD </t>
    </r>
    <r>
      <rPr>
        <sz val="9"/>
        <color rgb="FF232323"/>
        <rFont val="Aptos Narrow"/>
        <family val="2"/>
        <scheme val="minor"/>
      </rPr>
      <t> </t>
    </r>
  </si>
  <si>
    <t>CARACTERISTICAS: Instalación básica. Material resistente a caídas. Protección visual de alto nivel. Placa de color =claro. Disponibilidad de lente oscuro/claro Anti-empaño /AntiRalladura /Anti Impacto Aprobación / certificación. Filtración de rayos ultravioleta 99.9 %.ANSI-Z87+ </t>
  </si>
  <si>
    <t>GAFAS DE SEGURIDAD  </t>
  </si>
  <si>
    <t>Gafas de seguridad TOP GUN IR. 5.0 </t>
  </si>
  <si>
    <t>GAFAS PARA SOLDADURA </t>
  </si>
  <si>
    <t>Gafas de seguridad. CARACTERISTICAS: Instalación básica. Material resistente a caídas / golpes / salpicaduras Placa de color =Plata, Protección lateral: Ventilación directa, Disponibilidad de lente oscuro . CARACTERISTICAS TECNICAS / CERTIFICACIONES Protección de alto nivel. Color = plata. Numero de sombra en protección# 7.Apropiadapara soldadura. Autógena / Oxicorte. Aprobación / certificación Filtración de rayos ultravioleta 99.9 %.ANSI Z87 +  </t>
  </si>
  <si>
    <t>46181504 </t>
  </si>
  <si>
    <r>
      <t>GUANTE</t>
    </r>
    <r>
      <rPr>
        <sz val="9"/>
        <color rgb="FF232323"/>
        <rFont val="Aptos Narrow"/>
        <family val="2"/>
        <scheme val="minor"/>
      </rPr>
      <t> </t>
    </r>
  </si>
  <si>
    <t>Nitrilo. Su tecnología de tejido permite un mayor estiramiento y flexibilidad en áreas de gran tensión evitando el daño y prolongando una larga vida útil del mismo. Antiestático según norma: EN1149 Para aplicaciones especiales. Tecnología aplicada en el diseño. cualquier talla. Material del forro nylon. Material de recubrimiento espuma de nitrilo. Longitud de 200 – 265 mm. </t>
  </si>
  <si>
    <t>Guantes  </t>
  </si>
  <si>
    <t>Guantes Jardinería x01 Par Unisex Caucho Transpirable, recubierto de goma </t>
  </si>
  <si>
    <r>
      <t>Guantes De Neopreno</t>
    </r>
    <r>
      <rPr>
        <sz val="9"/>
        <color rgb="FF3A3939"/>
        <rFont val="Aptos Narrow"/>
        <family val="2"/>
        <scheme val="minor"/>
      </rPr>
      <t> </t>
    </r>
  </si>
  <si>
    <t>Fabricado en Neopreno de alto gramaje. . Soporte interior en jersey Alta resistencia al desgaste y químicos. . Textura lisa y/o rugosa 35cm de largo (14").. Recubrimiento interior con actifresh. . Resistente a calor húmedo. </t>
  </si>
  <si>
    <t>56121201 </t>
  </si>
  <si>
    <t>INMOVILIZADOR PARA CAMILLA </t>
  </si>
  <si>
    <t>Inmovilizador craneal para camilla, Inmovilizador para camilla plástica CARACTERÍSTICAS :Instalación básica Rápido ajuste de las reatas Placa color = naranja / amarillo. Polietileno traslúcido a los rayos x. PRESENTACIÓN Bolsa plástica: Desde 1 unidad. CARACTERÍSTICAS TÉCNICAS / CERTIFICACIONES: Seguridad industrial brigada. Alto rendimiento entre costuras y ajuste. Placa color = naranja / amarillo. Resistencia 45Kg deajuste. Diámetro27CM x 14CM x 20CM. Elemento necesario para primeros auxilios y sistemas de emergencias. Aprobación / certificación </t>
  </si>
  <si>
    <t>39121905 </t>
  </si>
  <si>
    <t>Kit De Etiquetado Y Bloqueo Eléctrico </t>
  </si>
  <si>
    <t>Característica: 1. Dispositivo de bloqueo de disyuntor universal, adecuado para la mayoría de los interruptores automáticos unipolares y multipolares modernos. Hecho de nylon resistente, resistente a la corrosión y duradero. 2. 2 tamaños de bloqueo del interruptor automático, el tamaño pequeño es adecuado para disyuntores de plástico con un ancho de mango inferior e igual a 0.7 pulgadas, y el tamaño mediano es adecuado para interruptores automáticos de plástico con un ancho de mango inferior e igual a 1.7 pulgadas. 3. Cerraduras de seguridad de 2 piezas: la pequeña tiene 1 pulgada de diámetro y la grande tiene 1.5 pulgadas de diámetro. Mango de nylon, puede contener hasta 6 cerraduras de seguridad. 4. Etiquetas de escritura de 10 piezas, puede dejarlo después de bloquearlo y escribir advertencias de seguridad o información del número del empleado del operador, que se puede borrar y usar repetidamente 5. La cerradura de enchufe eléctrico de tamaño mediano, adecuada para enchufes de 110 V, se puede usar para aires acondicionados, televisores, etc. Incluye 2 candados, cada uno con 2 llaves. Viene con una bolsa de seguridad roja para facilitar su transporte y ahorrar espacio. La instalación de la cerradura del disyuntor de palanca pequeña se puede completar fácilmente con un solo botón, sin herramientas, y no requiere un orificio en el disyuntor. Especificación: Tipo de artículo: Kit de etiquetas de bloqueo eléctrico. Material: Nailon+acero+tela de poliéster+cerradura de candado ABS Haz: Diámetro: Aprox. 6 mm/0.2 pulgadas, longitud: aprox. 38 mm/1.5 pulgadas Diámetro de bloqueo de cerrojo pequeño: Aprox. 25 mm/1 pulgada Diámetro de bloqueo de cerrojo grande: Aprox. 38 mm/1.5 pulgadas Bloqueo del disyuntor de abrazadera pequeña: adecuado para disyuntores de plástico con un ancho de mango menor e igual a 18 mm/abrazadera mediana de 0.7 pulgadas Bloqueo del disyuntor: adecuado para disyuntores de plástico con un ancho de mango inferior e igual a 42 mm/1.7 pulgadas Tamaño de bloqueo de enchufe eléctrico: 65 x 65 x 118 mm/2.6 x 2.6 x 4.6 pulgadas. Lista de paquetes: 10 x etiqueta1 x bloqueo de enchufe eléctrico2 x candados4 x llaves1 x interruptor de circuito de abrazadera pequeña1 x abrazadera mediana Disyuntor, 1 bolsa de bloqueo, 1 hebilla de cerrojo pequeña, 1 bloqueo de cerrojo grande, 2 bloqueo de palanca de interruptor </t>
  </si>
  <si>
    <t>Kit </t>
  </si>
  <si>
    <t>46181516 </t>
  </si>
  <si>
    <r>
      <t>MANGA ANTICORTE </t>
    </r>
    <r>
      <rPr>
        <sz val="9"/>
        <color rgb="FF232323"/>
        <rFont val="Aptos Narrow"/>
        <family val="2"/>
        <scheme val="minor"/>
      </rPr>
      <t> </t>
    </r>
  </si>
  <si>
    <t>Manga anticorte.  Color blanco – largo de 18” (45.72cm) - Nivel anticorte 2. Materiales en composición 40% poliéster -30% hilos acerados – 30% nylon. Esta manga de seguridad se distribuye en una sola pieza. Las mangas son lavables con detergente y lavadora. La tecnología de la manga está diseñada para brindar una larga vida útil de la misma y una resistencia a múltiples explosiones de ambientes y cortes. Tecnología con micro-fibras de hilos en acero. Certificación CE EN388 Resistencia anti-punzaso </t>
  </si>
  <si>
    <r>
      <t>MONOGAFAS CON MALLA </t>
    </r>
    <r>
      <rPr>
        <sz val="9"/>
        <color rgb="FF232323"/>
        <rFont val="Aptos Narrow"/>
        <family val="2"/>
        <scheme val="minor"/>
      </rPr>
      <t> </t>
    </r>
  </si>
  <si>
    <t>Lente protector con malla de acero. Monogafa de protección en malla. La protección en malla ofrece una protección más alta contra partículas proyectadas o impactos directos en el visor de la monogafa. </t>
  </si>
  <si>
    <t>MONOGAFAS DE SEGURIDAD </t>
  </si>
  <si>
    <t>CARACTERÍSTICAS: Instalación básica. Material resistente a caídas / golpes / salpicaduras. Placa de color =marón. Protección lateral. Ventilación integrada. Disponibilidad de lente Claro </t>
  </si>
  <si>
    <t>MONOGAFAS DE SEGURIDAD  </t>
  </si>
  <si>
    <t>CARACTERÍSTICAS: Instalación básica. Ventilación indirecta. Material resistente a caídas / golpes / salpicaduras. Placa de color =transparente. Ajustable con banda elástica. Protección lateral. Disponibilidad de lente Claro </t>
  </si>
  <si>
    <t>MONOGAFAS PARA SOLDADURA </t>
  </si>
  <si>
    <t>Monogafas de seguridad .CARACTERISTICAS: Instalación básica. Material resistente a caídas / golpes / salpicaduras. Placa de color =verde. Protección lateral  Disponibilidad de lente oscuro. Anti_empañante </t>
  </si>
  <si>
    <t>46181900 </t>
  </si>
  <si>
    <t>PROTECTOR AUDITIVO TAPA OIDO  </t>
  </si>
  <si>
    <t>Tapa oído / protector auditivo. CARACTERÍSTICAS. Con cordón. Reutilizables / lavables Placa de color =amarillo - naranja. Tripe anillo de revote contra sonidos altos Sellado más eficiente /facilita la inserción auditiva, CARACTERÍSTICAS TÉCNICAS / CERTIFICACIONES: NRR27dB - UT SNR25. Material silicona suave. Largo de la cuerda 70 cm. Color amarillo – naranja – verde neón. Aprobación ANSI S3.19- CE EN 352.1:2003 CE </t>
  </si>
  <si>
    <t>46191601 </t>
  </si>
  <si>
    <t>Recarca de extintor a base de agua tipo A </t>
  </si>
  <si>
    <t>Capacidad nominal (kg) 10 libras. Peso cargado (kg)12,55 Altura (mm)620 / 650 Ancho (mm)240 Profundidad (mm)190 Tiempo de descarga (s)55. Alcance (m)11/9. Rango temperatura (ºC)5 a 50. Presión de servicio (Mpa) 0,8 Presión de ensayo (Mpa) 2,0. Norma IRAM extintor 3525 </t>
  </si>
  <si>
    <t>Recarca de extintor CO2 </t>
  </si>
  <si>
    <t>Capacidad nominal (kg) 5kg. Peso cargado (kg) 20. Altura (mm) 790. Ancho (mm) 310. Profundidad (mm)140. Tiempo de descarga (s)14 Alcance (m) Largo de manga (mm)900. Rango temperatura (ºC). Presión de servicio (Mpa)15 Presión de ensayo (Mpa)25 Norma IRAM agente extintor Norma IRAM extintor. </t>
  </si>
  <si>
    <t>Recarca EXTINTOR POLVO SECO ABC 10 LBS </t>
  </si>
  <si>
    <t>-Agente extintor: Fosfato Monoamónico. -Agente expulsor: Nitrógeno (N2).-Cilindro en lámina de acero C20, recubierta con pintura electroestática amarilla. -Indicador de presión: Manómetro. -Sistema de accionamiento: rápido (manija y palanca). -Rotulado cilindro: Salud y Seguridad Laboral FMQ (SYS FMQ). -Tiempo de descarga: 10 a 20 segundos. -Alcance de descarga: 1 a 3 metros. -Porcentaje de descarga: hasta el 97%.  </t>
  </si>
  <si>
    <t>RESPIRADOR CONTRA POLVO </t>
  </si>
  <si>
    <t>Respirador 1/3 de cara. contra polvo y microparticulas. Fabricado en polímero suave, con bordes redondeados que facilitan adaptarla a la cara Cierre hermético. Fácil lavado para limpieza rápida </t>
  </si>
  <si>
    <t>RESPIRADOR N95  </t>
  </si>
  <si>
    <t>Tapabocas N95.Respirador Este respirador  permite el uso de lentes (gafas de seguridad) y protectores auditivos sin intervenir en su función. Este respirador está diseñado en forma liviana y ergonómico, además sus tiras de ajuste son dobles para evitar un desuso básico. </t>
  </si>
  <si>
    <r>
      <t>TAPA OIDO PROTECTOR AUDITIVO TIPO COPA </t>
    </r>
    <r>
      <rPr>
        <sz val="9"/>
        <color rgb="FF232323"/>
        <rFont val="Aptos Narrow"/>
        <family val="2"/>
        <scheme val="minor"/>
      </rPr>
      <t> </t>
    </r>
  </si>
  <si>
    <t>Tapa oídos tipo copa. CARACTERÍSTICAS: Instalación básica Completamente aseguradas para evitar que se desprendan Material resistente a caídas 100 % dieléctrico. Placa de color = amarillo Soporte lateral en espuma suave y sellada PRESENTACIÓN: Tipo bolsa Desde una unidad Peso en gramos =228. CARACTERÍSTICAS TÉCNICAS / CERTIFICACIONES. Protección de alto nivel. Color = amarillo NRR 22dB-- UT SNR21. Aprobación / certificación: ANSI S3.19 Norma CE EN 352-1: 1993 </t>
  </si>
  <si>
    <t>UNILENTE DE SEGURIDAD  </t>
  </si>
  <si>
    <t>Unilentes de seguridad Rainbow. CARACTERISTICAS Instalación básica .Material resistente a caídas / golpes / salpicaduras laca de color =azul / gris. Protección lateral. Brazos ajustables. Comodidad en puente nasal. Disponibilidad de lente claro espejado. Anti-empañante. PRESENTACION Tipo bolsa. Desde una unidad. CARACTERISTICAS TECNICAS / CERTIFICACIONES: Protección de alto nivel. Color = azul / gris. Aprobación / certificación. Filtración de rayos ultravioleta 99.9 %.ANSI Z87 +  </t>
  </si>
  <si>
    <t>46181528 </t>
  </si>
  <si>
    <t>Protector de mangas </t>
  </si>
  <si>
    <t>Protector de mangas. Cuando se enfrenta a los máximos requisitos de higiene, ya sabe que no caben los compromisos. Ropa higiénica ligera, literalmente sin ataduras, ni botones, ni corchetes y que hace obsoletos todos los cierres y las costuras habituales. Hemos incorporado muchos más avances en el desarrollo de este nuevo producto: Detectable. Blanco o Azul.  </t>
  </si>
  <si>
    <t>46181536 </t>
  </si>
  <si>
    <t>Guante Largo en malla de acero inoxidable </t>
  </si>
  <si>
    <t>Guante Largo en malla de acero inoxidable Largo 20cm CON CORREA DE PLÁSTICO INTERCAMBIABLE.EN 1082-1 Ligero, cómodo Comprobada y probada la solución de botón de presión (permite tanto el ajuste perfecto como la liberación rápida en caso de emergencia) Intercambio fácil de la banda – ¡sin herramientas! Ambidiestro, simple cambio de izquierda a derecha / derecha a izquierda en segundos – ¡sin herramientas! Banda con prevención del deslizamiento lateral automática. Fácil reparación respetuosa con el medio ambiente Diseño de guante patentado. </t>
  </si>
  <si>
    <t>46181506 </t>
  </si>
  <si>
    <t>Delantal o Peto en malla de acero inoxidable 70 x 50 cm </t>
  </si>
  <si>
    <t>Delantal o Peto en malla de acero inoxidable 70 x 50 cm. Nuestros delantales de malla están hechos de malla de acero inoxidable (7 mm de diámetro de anillo) y están equipados con un arnés resistente y cómodo.100% acero inoxidable para una higiene óptima sin acumulación de suciedad flexibles y cómodos de llevar resistentes y duraderos ajuste perfecto para una máxima comodidad arnés ajustable, cómodo en forma de X  </t>
  </si>
  <si>
    <t>Guante Mecánico resistente a Impacto </t>
  </si>
  <si>
    <t>Guante Mecánico resistente a Impacto. CARACTERÍSTICAS: Longitud A (In) Palma B (In) Puño C (In) UT2953M M 8.268 1.299 1.969 Palma acolchada, TPR en dorso de la mano ANSI Calor de contacto Nivel 1 – 176 ºF u 80 ºC Nitrilo espumado rojo en palma y dedos. Palma acolchada para reducir impacto y vibraciones. DETALLES: está elaborado con HPPE/sintético en color sal y pimienta de calibre 13, palma y dedos recubiertos de nitrilo espumado rojo. Su palma acolchada permite que le proporcione una reducción de impacto y vibración. El diseño exclusivo de TPR brinda una excelente cobertura para la protección del dorso en la mano. Además, cuenta con un panel en la muñeca que permite una identificación personalizada. ANSI Calor de contacto Nivel 1 – 176 ºF u 80 ºC. ESPECIFICACIONES: Material: Fibra Sintética, Fibra de vidrio, Nitrilo, TPR Color: Sal &amp; Pimienta, Rojo, Negro, Lima Fluorescente. Grado: Industrial. Calibre: 13 Galgas. Palma: Nitrilo espumado. Dorso: Tecnología termoplástica (TPR). Revestimiento: Sin forro. Longitud: 9 in. Textura/Acabado: Plano. Tipo de pulgar: Recto. Puño: Tejido elástico. Material del puño: Fibra sintética. Ribete o dobladillo: Ribete. Inmersión: Simple. Estéril: No estéril. </t>
  </si>
  <si>
    <t>Guante para frío </t>
  </si>
  <si>
    <t>Guante para frío. CARACTERÍSTICAS: • Mayor resistencia a la abrasión • Resiste pinchazos ligeros• Alta Visibilidad• Brinda protección en aplicaciones frías• resorte en puño para mayor seguridad. DETALLES: presenta una pantalla táctil en la punta de los dedos, que brinda un excelente agarre en aplicaciones con trabajo húmedo, seco o aceitoso, cuenta también con un forro Thinsulate de 200 g que ayuda a mantener las manos cálidas aún en aplicaciones con trabajos muy fríos y en la muñeca una cinta para ajustar el guante de manera que no pueda entrar el agua. Su color negro nos brinda una mejor presentación ya que oculta las manchas de suciedad. ESPECIFICACIONES: Longitud: 11 in. Textura/Acabado: Plano Tipo de pulgar: Ala. Puño: Deslizable Material del puño: Nylon. Ribete o dobladillo: Dobladillo. Patrón: Gunn. Estéril: No estéril.  </t>
  </si>
  <si>
    <t>Guante resistente a Químicos Nitrilo PVC de doble inmersión </t>
  </si>
  <si>
    <t>Guante resistente a Químicos Nitrilo PVC de doble inmersión. CARACTERÍSTICAS: Nylon con doble inmersión de Bi-Polímero. Cuerpo de Nylon de calibre 18. Bi-Polímero de PVC-Nitrilo  Acabado arenoso en palma. Puño de guantelete festoneado. ANSI Calor de contacto Nivel 1 – 176 ºF u 80 ºC. DETALLES: presenta un cuerpo de nylon sin costuras de calibre 18 con una doble inmersión de bi-polímero de PVC/nitrilo. La primera inmersión es un bi-polímero en color rojo de PVC/Nitrilo. El segundo es un bi-polímero de PVC/nitrilo con acabado arenoso en color negro. Este guante con guantelete de 12 pulgadas proporciona una excelente destreza y agarre. ANSI Calor de contacto Nivel 1 – 176 ºF u 80 ºC. EN374: 2016 – Guantes de protección contra sustancias químicas y microorganismos clase B (JKL). Sus materiales componentes cumplen con todas las regulaciones para el contacto con alimentos. ESPECIFICACIONES: Material: Nylon, PVC, Nitrilo. Color: Negro, Rojo. Calibre: 18 Galgas. Palma: Bi-Polímero. Dorso: Bi-Polímero. Revestimiento: Nylon. Longitud: 12 in. Textura/Acabado: Arenoso. Tipo de pulgar: Recto. Puño: Guantelete. Material del puño: Bi-Polímero. Ribete o dobladillo: Festoneado. Inmersión: Doble. Estéril: No estéril. Resistencia de químicos: correcto  </t>
  </si>
  <si>
    <t>Guante completo protección mano-a-hombro en malla de acero inoxidable </t>
  </si>
  <si>
    <t>Guante completo protección mano-a-hombro en malla de acero inoxidable. Ligero, cómodo Comprobada y probada la solución de botón de presión (permite tanto el ajuste perfecto como la liberación rápida en caso de emergencia). Intercambio fácil de la banda – ¡sin herramientas!. Ambidiestro, simple cambio de izquierda a derecha / derecha a izquierda en segundos – ¡sin herramientas!. Banda con prevención del deslizamiento lateral automática. Fácil reparación respetuosa con el medio ambiente. Diseño de guante patentado. </t>
  </si>
  <si>
    <t>Guante detectable de múltiple uso </t>
  </si>
  <si>
    <t>Guante detectable de múltiple uso. CARACTERÍSTICAS: Peso Caja (Libras). Guante detectable de múltiple uso. Materiales que cumplen con la FDA: los materiales de los componentes cumplen con todas las reglamentaciones federales para el contacto con alimentos. Guantes de nitrilo azul sin forro de 15 mil Puño recto extra largo de 12 pulgadas. Palma con diseño de diamante en relieve. Excelente elección para aplicaciones en la industria alimentaria. DETALLES: Los guantes de nitrilo son tres veces más resistentes a los pinchazos que los de goma y se pueden utilizar para ofrecer una resistencia superior a muchos tipos de productos químicos. Este material de guante también es una excelente alternativa para las personas que pueden experimentar reacciones alérgicas al látex. Es un guante de nitrilo sin forro que tiene 15 milésimas de pulgada de espesor y 12 pulgadas de largo. Su construcción lo convierte en un guante detectable de metales que se puede recuperar cuando se pierde, lo que lo convierte en una excelente opción para trabajar en aplicaciones de procesamiento de alimentos. Otras características incluyen un diseño de palma con textura de patrón de diamante para un poder de agarre adicional y los materiales de sus componentes cumplen con todas las regulaciones federales para el contacto con alimentos. Sin Látex. ESPECIFICACIONES: Material: Nitrilo. Color: Azul. Grado: Médico. Calibre: 15 mil. Palma: Nitrilo. Dorso: Nitrilo. Revestimiento: Sin forro. Longitud: 12 in. Textura/Acabado: Patrón Diamante. Tipo de pulgar: Recto. Puño: Guantelete. Material del puño: Nitrilo. Ribete o dobladillo: Festoneado .Inmersión: Simple. Estéril: No estéril. </t>
  </si>
  <si>
    <t>Guantes en Fibra, con Nitrilo, anticorte nivel 5 </t>
  </si>
  <si>
    <t>Guantes en Fibra, con Nitrilo, anticorte nivel 5. Con revestimiento interno en Nitrilo HCT. No usar con temperaturas superiores a 100ºC. 100% cotton inside liner. MÁS INFORMACIÓN  Puño de “Quita y Pon”. Protección Anticorte nivel 5. No usar con temperaturas superiores a 100ºC. Elaborado: 100% .• HCT Nitrile Multilayer inner coating technology 100% cotton inside liner. </t>
  </si>
  <si>
    <t>Guantes en fibra </t>
  </si>
  <si>
    <t>Guantes en fibra recubiertos con Poliuretano anticorte. Recubiertos con Poliuretano - DIP NORMAL - Ideal para trabajos de construcción, ensamblaje agroindustria manejo de vidrio acero y soldadura. MÁS INFORMACIÓN: puño tejido. Resistencia a la abrasión. Resistencia al corte. Protección Anticorte nivel 5. Resistencia a los rayos UV. Mantiene las propiedades y el color en contacto con la luz. No deja pelusa. Ideal para trabajos de construcción, ensamblaje, agroindustria, manejo de vidrio, acero, soldadura. También para ambientes que requieran condiciones de limpieza en donde no se permite ningún tipo de contaminación. </t>
  </si>
  <si>
    <t>Guantes PVC Semicorrugados  </t>
  </si>
  <si>
    <t>Guantes PVC  Neon Semicorrugados. Guantes PVC-Utilflex Neón Semicorrugados. Para ambientes fríos. Puño Elástico - 9” (22.86cm) - MÁS INFORMACIÓN: Puño elástico. Resistente al frío. Utilizado en la industria para áreas frías, neveras, congeladores. Elaborado: 20% Algodón • 80% PVC • Dip Total. </t>
  </si>
  <si>
    <t>Guante Carnaza y Lona </t>
  </si>
  <si>
    <t>Guante Carnaza y Lona. Guante Carnaza y Lona • Forrados para Soldar • Largo: 18”(47.62cm) - cosido con Kevlar para mayor protección contra chispas - “Bull” - CON COLGADOR EN CARNAZA. MÁS INFORMACIÓN: Forrado Largo 18”Puño de “quita y pon”. Ideal para trabajos de soldadura. Para trabajos de aplicaciones al calor y trabajos en general de construcción.  Suave al tacto. Resistencia a la tensión, al corte y la abrasión. Elaborado 45% Cuero, 55% Lona • Cosido con Kevlar®. Forro: 45% Poliéster - 55% Algodón. Talla Única. </t>
  </si>
  <si>
    <t>Guante Vaqueta Tipo Ciclista </t>
  </si>
  <si>
    <t>Guante lona tipo petrolero </t>
  </si>
  <si>
    <t>Guante lona tipo petrolero. Brinda seguridad en el trabajo pesado que se le ejerce en una área de explosión petrolera. Su longitud es de 9". Puño elástico. Guante multiproposito punto elaborado 100% en algodón. NO es apropiado para riesgos de calor. </t>
  </si>
  <si>
    <t>Guante Dieléctrico </t>
  </si>
  <si>
    <t>Guante Dieléctrico. Clase: 00, 0, 1, 2, 3, y 4.Guante para alta tensión. Kit dieléctrico. MÁS INFORMACIÓN: Características: Guante dieléctrico para altas tensiones cumple con certificaciones para variedad de trabajo con electricidad. Según la clase el guante posee resistencia a ciertos líquidos: A: ácido, Z: ozono, H: aceite, C: muy baja tensión, R: A+Z+H </t>
  </si>
  <si>
    <t>46181804 </t>
  </si>
  <si>
    <t>Gafas para laser.  </t>
  </si>
  <si>
    <t>Gafas de protección IPL, para laser. Longitud ajustable del brazo. Características de protección: absorción integral. Longitud de onda protectora: De 190nm a 540nm. Material: plástico. Tamaño: aproximadamente 15 x 5,5 x 5,5 cm </t>
  </si>
  <si>
    <t>46181540 </t>
  </si>
  <si>
    <t>Guantes de carnaza extra largos </t>
  </si>
  <si>
    <t>Guantes de seguridad, protección contra peligros mecánicos y riesgo térmico. Largo: 23.6 pulgadas. Material: Cuero de vacuno. Parte trasera completa de cuero de vaca dividida hasta el puño, mas suave. Características técnicas: Resistentes al calor, al fuego Diseño: Flexible, con pulgar reforzado y rosca de Kevlar para mayor flexibilidad, permitiendo sostener articulos y operar con facilidad. Forro: En algodón y dedos soldados. </t>
  </si>
  <si>
    <t>46181541 </t>
  </si>
  <si>
    <t>Guantes de nitrilo </t>
  </si>
  <si>
    <t>Guantes de nitrilo. Calibre: 6. Talla: S. Ambidiestros: cada guante puede usar en mano izquierdo o derecho. Usos: Para manipulación de químicos. Color: Varios </t>
  </si>
  <si>
    <t>Caja x 100 unidades  </t>
  </si>
  <si>
    <t>Basureso plástico Negro Contramarcada para residuos no aprovechables</t>
  </si>
  <si>
    <t>Contramarcada para residuos no aprovechables,  Capacidad de 55 litros, Alto 70.5 ancho 30 largo 40 cm, Tapa vaiven, polietileno virgen , soporte para bolsa que facilita el agarre y oculata sus bordes al interior del basusero</t>
  </si>
  <si>
    <t xml:space="preserve">Unidad </t>
  </si>
  <si>
    <t>Basureso plástico blanco Contramarcada para residuos aprovechables</t>
  </si>
  <si>
    <t>Sombrero de ala ancha tipo safari (para jardinería)</t>
  </si>
  <si>
    <t>Sombrero de ala ancha: ala ancha de 4 pulgadas y solapa trasera larga que proporcionan una gran cobertura para la cara, el cuello y las orejas del sol. Tipo safari para jardinería. microfibra de protección UV cuenta con 100 SPF/UPF 50,  2 formas: plegable y fácil de almacena. Ajustable y transpirable: el cordón ajustable de la barbilla mantiene el sombrero firmemente en su lugar cuando hace viento. La banda interior que absorbe la humedad y las redes laterales de malla mejoran en gran medida la refrigeración y el flujo de aire.</t>
  </si>
  <si>
    <t>TOTAL</t>
  </si>
  <si>
    <t>Código
UNSPSC</t>
  </si>
  <si>
    <t>Cantidad solicitada</t>
  </si>
  <si>
    <t>Entrega 1, Septiembre 20</t>
  </si>
  <si>
    <t>Entrega 2, septiembre 26</t>
  </si>
  <si>
    <t>Entrega 3, octubre 1</t>
  </si>
  <si>
    <t>Entrega 4, octubre 15</t>
  </si>
  <si>
    <t>Entrega 5, octubre 17</t>
  </si>
  <si>
    <t>Entrega 7, octubre 23</t>
  </si>
  <si>
    <t>Entrega 8
 7 Nov</t>
  </si>
  <si>
    <t>Entrega 9
 27 Nov</t>
  </si>
  <si>
    <t>Enttrega
 29 Nov</t>
  </si>
  <si>
    <t>Entrega
 03 Dic</t>
  </si>
  <si>
    <t>Entrega
 6 dic</t>
  </si>
  <si>
    <t>Entrega 
12 Dic</t>
  </si>
  <si>
    <t>Cuero Forro Cerdo</t>
  </si>
  <si>
    <t>dm2</t>
  </si>
  <si>
    <t>Forro Badana</t>
  </si>
  <si>
    <t>Pie2</t>
  </si>
  <si>
    <t>Cuero vaqueta amarilla</t>
  </si>
  <si>
    <t>facturó 8dc mas</t>
  </si>
  <si>
    <t>Cuero softy</t>
  </si>
  <si>
    <t>In 10000</t>
  </si>
  <si>
    <t>Cuero tipo napa acabado anilina</t>
  </si>
  <si>
    <t>Cuero napa confección sabanero</t>
  </si>
  <si>
    <t>317  falta por facturar (cobró 741)</t>
  </si>
  <si>
    <t>Cuero napa confección envejecido</t>
  </si>
  <si>
    <t>Cuero napa confección becerro</t>
  </si>
  <si>
    <t>Cuero napa pigmentado</t>
  </si>
  <si>
    <t>Cuero charol</t>
  </si>
  <si>
    <t>Cuero Tala #2</t>
  </si>
  <si>
    <t>Lona algodón</t>
  </si>
  <si>
    <t>Metro</t>
  </si>
  <si>
    <t>Lona poliéster</t>
  </si>
  <si>
    <t>Forro nylon</t>
  </si>
  <si>
    <t>Forro super nylon</t>
  </si>
  <si>
    <t>Forro cerro sport</t>
  </si>
  <si>
    <t>Tela Velvet o terciopelo</t>
  </si>
  <si>
    <t>Síntetico PU delgado</t>
  </si>
  <si>
    <t>Tela sintético de PVC</t>
  </si>
  <si>
    <t>Sintético para capelladas</t>
  </si>
  <si>
    <t>Carnaza sintetica</t>
  </si>
  <si>
    <t>Sintético comfort bondeado</t>
  </si>
  <si>
    <t>Vinilo transparente</t>
  </si>
  <si>
    <t>Malla bondeada capellada</t>
  </si>
  <si>
    <t>Malla Mosquitero</t>
  </si>
  <si>
    <t>Cambrel 100 gr</t>
  </si>
  <si>
    <t>Interlón</t>
  </si>
  <si>
    <t>Gabardina</t>
  </si>
  <si>
    <t>Microfibra Velvet No.0.5</t>
  </si>
  <si>
    <t>Microfibra Velvet No.10</t>
  </si>
  <si>
    <t>Reata multifilamento1"</t>
  </si>
  <si>
    <t>Reata multifilamento 1 1/2"</t>
  </si>
  <si>
    <t>Reata Nylon  tubular 1"</t>
  </si>
  <si>
    <t>Revisar muestra</t>
  </si>
  <si>
    <t>Reata Nylon tubular 2"</t>
  </si>
  <si>
    <t>7230$</t>
  </si>
  <si>
    <t>Ribete cinta falla 24mm</t>
  </si>
  <si>
    <t>Mina de plata</t>
  </si>
  <si>
    <t>u</t>
  </si>
  <si>
    <t>Mina de plata borrable</t>
  </si>
  <si>
    <t>Alcohol Industrial</t>
  </si>
  <si>
    <t>Garrafa
3785 ml</t>
  </si>
  <si>
    <t>Gasolina blanca</t>
  </si>
  <si>
    <t>Frasco x 500ml</t>
  </si>
  <si>
    <t xml:space="preserve">Limpiador para acabados </t>
  </si>
  <si>
    <t>cc</t>
  </si>
  <si>
    <t>Garrafa
3600 cc</t>
  </si>
  <si>
    <t>Varsol</t>
  </si>
  <si>
    <t>Varsol ecologico</t>
  </si>
  <si>
    <t xml:space="preserve">5-56 Lubricante en spray </t>
  </si>
  <si>
    <t>Frasco
180 cc</t>
  </si>
  <si>
    <t>Lubricante para máquinas de coser.</t>
  </si>
  <si>
    <t xml:space="preserve">l </t>
  </si>
  <si>
    <t>Galón
3,7 L</t>
  </si>
  <si>
    <t>Adhesivo cloropreno base agua de bajo desempeño</t>
  </si>
  <si>
    <t>1 kilo</t>
  </si>
  <si>
    <t>Adhesivo cloropreno base agua de alto desempeño.</t>
  </si>
  <si>
    <t>k</t>
  </si>
  <si>
    <t>Adhesivo cemento de contacto neopreno alto desempeño</t>
  </si>
  <si>
    <t>Galón 
3000cc</t>
  </si>
  <si>
    <t>Adhesivo solución de caucho</t>
  </si>
  <si>
    <t>Galón
3000cc</t>
  </si>
  <si>
    <t>Suela deportiva hombre expanso</t>
  </si>
  <si>
    <t xml:space="preserve">Suela deportiva hombre caucho </t>
  </si>
  <si>
    <t>Suela deportiva mujer expanso</t>
  </si>
  <si>
    <t xml:space="preserve">Suela deportiva mujer caucho </t>
  </si>
  <si>
    <t>Suela para sandalia mujer en expanso</t>
  </si>
  <si>
    <t>Suela deportiva para niño en expanso</t>
  </si>
  <si>
    <t xml:space="preserve">Suela para bota en caucho </t>
  </si>
  <si>
    <t xml:space="preserve">Plantillas de comfort para calzado </t>
  </si>
  <si>
    <t>Estopa</t>
  </si>
  <si>
    <t>Paquete 
1 kilo</t>
  </si>
  <si>
    <t>Lámina galvanizada  calibre 0.30</t>
  </si>
  <si>
    <t>Cinta foil de 64 cm</t>
  </si>
  <si>
    <t>Rollo
120 metros</t>
  </si>
  <si>
    <t>Cinta Nylon</t>
  </si>
  <si>
    <t>Rollo x 50 mt</t>
  </si>
  <si>
    <t xml:space="preserve">Aplicador de pegamento </t>
  </si>
  <si>
    <t>Buscar</t>
  </si>
  <si>
    <t>Papel de lija No.120</t>
  </si>
  <si>
    <t>Papel de lija No.220</t>
  </si>
  <si>
    <t>Papel de lija No.280</t>
  </si>
  <si>
    <t>Papel de lija No.320</t>
  </si>
  <si>
    <t>Papel de lija No.400</t>
  </si>
  <si>
    <t>Papel de lija No.600</t>
  </si>
  <si>
    <t>Papel de lija No.800</t>
  </si>
  <si>
    <t>Papel de lija No.1000</t>
  </si>
  <si>
    <t>Papel de lija No.1200</t>
  </si>
  <si>
    <t>Lija de banda  N° 80 (21")</t>
  </si>
  <si>
    <t>item 190</t>
  </si>
  <si>
    <t>Lija de banda  N° 120 (21")</t>
  </si>
  <si>
    <t>Agujas punta roma</t>
  </si>
  <si>
    <t>Aguja corta cabo grueso punta redonda</t>
  </si>
  <si>
    <t>Paño x 10 agujas</t>
  </si>
  <si>
    <t>Aguja corta cabo grueso punta cortante</t>
  </si>
  <si>
    <t>Aguja larga cabo grueso punta redonda</t>
  </si>
  <si>
    <t>Aguja larga cabo grueso punta cortante</t>
  </si>
  <si>
    <t xml:space="preserve">Hilo Nylon calibre 40 </t>
  </si>
  <si>
    <t>Hilo Nylon calibre 60</t>
  </si>
  <si>
    <t>Hilo Slam</t>
  </si>
  <si>
    <t xml:space="preserve">Hilo Terlenka # 15 </t>
  </si>
  <si>
    <t>Llave metálica de lujo níquel para cremallera everbrigth No. 5</t>
  </si>
  <si>
    <t>Llave de lujo oro para cremallera de nylon No.6</t>
  </si>
  <si>
    <t>Llave de lujo niquel para cremallera de nylon No.3</t>
  </si>
  <si>
    <t>Llave de lujo oro para cremallera de nylon No.3</t>
  </si>
  <si>
    <t>Llave sencilla níquel para cierre nylon  No. 6</t>
  </si>
  <si>
    <t>Llave metálica de lujo  oro para cremallera everbrigth No. 5</t>
  </si>
  <si>
    <t>Slider de seguridad  para cremallera N°5</t>
  </si>
  <si>
    <t>Argolla mosquetón lujo oro 25mm</t>
  </si>
  <si>
    <t>Media argolla 25mm zamak niquel</t>
  </si>
  <si>
    <t>Media argolla 25mm zamak oro</t>
  </si>
  <si>
    <t>Cuadrantes de 25mm zamak acabado oro</t>
  </si>
  <si>
    <t>Trabilla con pasador fijo 25mm oro</t>
  </si>
  <si>
    <r>
      <t xml:space="preserve">Hebilla caimán plastica </t>
    </r>
    <r>
      <rPr>
        <sz val="9"/>
        <color rgb="FFFF0000"/>
        <rFont val="Aptos Narrow"/>
        <family val="2"/>
        <scheme val="minor"/>
      </rPr>
      <t xml:space="preserve"> </t>
    </r>
    <r>
      <rPr>
        <sz val="9"/>
        <color rgb="FF000000"/>
        <rFont val="Aptos Narrow"/>
        <family val="2"/>
        <scheme val="minor"/>
      </rPr>
      <t>38mm</t>
    </r>
  </si>
  <si>
    <t xml:space="preserve">Hebillas de 2 cm acero inoxidable </t>
  </si>
  <si>
    <t xml:space="preserve">Hebillas de 3 cm acero inxidable </t>
  </si>
  <si>
    <t>Remache hongo de lujo oro</t>
  </si>
  <si>
    <t xml:space="preserve">Laminas de Espuma </t>
  </si>
  <si>
    <t>Lámina
1mt x 2mt</t>
  </si>
  <si>
    <t xml:space="preserve">Laminas de Espuma Antiescara </t>
  </si>
  <si>
    <t>Madeja hilos para macrame # 30</t>
  </si>
  <si>
    <t>gr</t>
  </si>
  <si>
    <t>Madeja 
100 gr</t>
  </si>
  <si>
    <t xml:space="preserve">Contrafuerte termoplástico </t>
  </si>
  <si>
    <t>Lamina</t>
  </si>
  <si>
    <t>Lamina
1mt x 1,45 mt</t>
  </si>
  <si>
    <t>Láminas Termoplásticas para Punteras</t>
  </si>
  <si>
    <t>Lamina 
1mt x 1,45 mt</t>
  </si>
  <si>
    <t>Sellafix</t>
  </si>
  <si>
    <t>Frasco
500 cc</t>
  </si>
  <si>
    <t>Tinta Marroquinera</t>
  </si>
  <si>
    <t>Tinta acuosa</t>
  </si>
  <si>
    <t>Frasco
60 cc</t>
  </si>
  <si>
    <t>Sellador de cantos</t>
  </si>
  <si>
    <t>Frasco x Lt</t>
  </si>
  <si>
    <t xml:space="preserve">Emulsión </t>
  </si>
  <si>
    <t>U</t>
  </si>
  <si>
    <t>Colorante orgánico para tinturar</t>
  </si>
  <si>
    <t>Frasco x 60 cc</t>
  </si>
  <si>
    <t>Cera De Abejas 100% Natural Sin Refinar Certificada 500 Gr</t>
  </si>
  <si>
    <t>Frasco 
500gr</t>
  </si>
  <si>
    <t>Sellador acrilico base acuosa</t>
  </si>
  <si>
    <t>Frasco 
180 ml</t>
  </si>
  <si>
    <t>Grasa de potro</t>
  </si>
  <si>
    <t>Frasco
60 gr</t>
  </si>
  <si>
    <t xml:space="preserve">Crema gardenia para cuero </t>
  </si>
  <si>
    <t>Frasco
100gr</t>
  </si>
  <si>
    <t>Papel teflón protector industrial</t>
  </si>
  <si>
    <t>Lamina
1 mt x 1 mt</t>
  </si>
  <si>
    <t>Cinta de teflon</t>
  </si>
  <si>
    <t>Metro
Ancho 1"</t>
  </si>
  <si>
    <t>Alicates para cuero</t>
  </si>
  <si>
    <t>Rodillo para asentar cuero</t>
  </si>
  <si>
    <t>Asentador de correas</t>
  </si>
  <si>
    <t>Asentador del filo</t>
  </si>
  <si>
    <t>Asentador del filo para rebajadores</t>
  </si>
  <si>
    <t xml:space="preserve">U </t>
  </si>
  <si>
    <t>Horma en madera con radios en cada arista-  3 ángulos, 10/12/15MM</t>
  </si>
  <si>
    <t>Kit de punzón para costura manual de cuero</t>
  </si>
  <si>
    <t>Cautin</t>
  </si>
  <si>
    <t>Quemador de hilos</t>
  </si>
  <si>
    <t>Aplicador de tinta electrico especial para cantos de cuero y otros.</t>
  </si>
  <si>
    <t>Entintador de rodillo para mesa</t>
  </si>
  <si>
    <t>Juego de perforadores de hebijón</t>
  </si>
  <si>
    <t>Juego x
8 Perforadores</t>
  </si>
  <si>
    <t>Juego de rebajadores franceses</t>
  </si>
  <si>
    <t>Juego por 7 rebajadores</t>
  </si>
  <si>
    <t>Kit de biseladora de bordes matacantos</t>
  </si>
  <si>
    <t>Juego por 5 biseladores</t>
  </si>
  <si>
    <t>Kit de herramientas para hacer flores de tela y accesorios</t>
  </si>
  <si>
    <t>Kit x 17 cabezales + máquina</t>
  </si>
  <si>
    <t>Kit de herramienta para tallar</t>
  </si>
  <si>
    <t>Kit x 7 herramientas + cuchilla giratoria de corte + mazo</t>
  </si>
  <si>
    <t>Lezna con puntas intercambiables</t>
  </si>
  <si>
    <t>Kit
(Lezna + 3 puntas intercambiables)</t>
  </si>
  <si>
    <t>Martillo de nylon</t>
  </si>
  <si>
    <t>Mazos</t>
  </si>
  <si>
    <t>Mini cepilladora</t>
  </si>
  <si>
    <t>Mordazas</t>
  </si>
  <si>
    <t>Kit Aerografo con mini compresor electrico</t>
  </si>
  <si>
    <t>Madeja hilos para macrame # 45</t>
  </si>
  <si>
    <t>Pulidor de bordes</t>
  </si>
  <si>
    <t>Herramienta de mano para entintar bordes manual</t>
  </si>
  <si>
    <t>Cepillo de pulir de Lana para Calzado</t>
  </si>
  <si>
    <t>Removedor de dientes de cremallera</t>
  </si>
  <si>
    <t>Rodillo asentador</t>
  </si>
  <si>
    <t>Superficie de corte teflón</t>
  </si>
  <si>
    <t>Superficies de golpe</t>
  </si>
  <si>
    <t>Tijeras para marroquinería tipo mariposa grande</t>
  </si>
  <si>
    <t>Tijeras piqueteadoras zig zag</t>
  </si>
  <si>
    <t>Tijera Sastre Industrial 10"</t>
  </si>
  <si>
    <t>Tenedores franceses</t>
  </si>
  <si>
    <t>Kit
16 tenedores</t>
  </si>
  <si>
    <t>Revisar 5 palos</t>
  </si>
  <si>
    <t>Tenedores punta diamante</t>
  </si>
  <si>
    <t>Kit
4 piezas</t>
  </si>
  <si>
    <t xml:space="preserve">Troqueles para broche billetera </t>
  </si>
  <si>
    <t>Kit 
4 piezas</t>
  </si>
  <si>
    <t>Troqueles para broche cazuela</t>
  </si>
  <si>
    <t>Troqueles para remache hongo</t>
  </si>
  <si>
    <t>Kit
2 piezas</t>
  </si>
  <si>
    <t>Troqueles para remache doble cabeza</t>
  </si>
  <si>
    <t xml:space="preserve">Pinzas para Calzado </t>
  </si>
  <si>
    <t>Martillo para Calzado</t>
  </si>
  <si>
    <t>Carpeta De Hueso Tradicional (plegadera)</t>
  </si>
  <si>
    <t>Cinta Métrica Zapatería Estilo Ingles X60 Cm</t>
  </si>
  <si>
    <t xml:space="preserve">Compas de puntas secas </t>
  </si>
  <si>
    <t>Alicate Sacabocado + Remachadora</t>
  </si>
  <si>
    <t>Gancho Sacahormas</t>
  </si>
  <si>
    <t>Calzador Metálico</t>
  </si>
  <si>
    <t>Tarjetero metálico de lujo con bloqueo Rfid</t>
  </si>
  <si>
    <t>Kit  guia aerea ajustable para máquina de coser industrial triple arrastre</t>
  </si>
  <si>
    <t>Kit con 2 piezas</t>
  </si>
  <si>
    <t>Kit aereo ajustable para máquina de coser industrial triple arrastre-Cremallera</t>
  </si>
  <si>
    <t xml:space="preserve"> Kit con 2 piezas</t>
  </si>
  <si>
    <t>Kit de pies para maquina de coser para  la colocacion de cremalleras, para máquinas de coser</t>
  </si>
  <si>
    <t xml:space="preserve">Kit de pies para maquina de coser para  la colocacion de cremalleras </t>
  </si>
  <si>
    <t>Kit de pies metalicos triple transporte para envivar lado izquierdo</t>
  </si>
  <si>
    <t>Kit de pies metalicos triple transportepara envivar lado derecho</t>
  </si>
  <si>
    <t>Kit de pies metalicos triple transporte para  hebilleros</t>
  </si>
  <si>
    <t>Kit de pies metalicos triple transporte para costura de manijas</t>
  </si>
  <si>
    <t>Pie para desbastadora con pin para surco de 30 mm.</t>
  </si>
  <si>
    <t>Pie para desbastadora con rodillo 45 mm.</t>
  </si>
  <si>
    <t xml:space="preserve">Pie para desbastadora con rodillo giratorio para plegado  de 1.5 / 2 mm. </t>
  </si>
  <si>
    <t>Pie para desbastadora con pieza conica de 17 mm.</t>
  </si>
  <si>
    <t>Pie para desbastadora con rodillo de 34 mm.</t>
  </si>
  <si>
    <t>Pie para desbastadora corto de 20 mm.</t>
  </si>
  <si>
    <t>Herramienta de instalación para cremallera</t>
  </si>
  <si>
    <t xml:space="preserve">Horma en madera con curvatura de redio 50 mm </t>
  </si>
  <si>
    <t xml:space="preserve">Dispositivo de arraste para rebajar cuero grano fino </t>
  </si>
  <si>
    <t>Dispositivo de arraste para rebajar cuero poliuretano</t>
  </si>
  <si>
    <t>Dispositivo de arraste para rebajar cuero acero</t>
  </si>
  <si>
    <t>Borla para birrete</t>
  </si>
  <si>
    <t>Kit 16 Ch + 10 Cámaras 1080p +d,d 2tb</t>
  </si>
  <si>
    <t>Motor colgante con eje flexible y accesorios</t>
  </si>
  <si>
    <t xml:space="preserve">Revisar </t>
  </si>
  <si>
    <t xml:space="preserve">Caladora De Brazo 16 Pulgadas 120w 550-1600rpm </t>
  </si>
  <si>
    <t>Hojas de sierra para caladora</t>
  </si>
  <si>
    <t>Caja
x  5 Hojas</t>
  </si>
  <si>
    <t xml:space="preserve">Discos de lijadora rotoorbital </t>
  </si>
  <si>
    <t>Caja
x  5 Unidades</t>
  </si>
  <si>
    <t>Lijadora roto-orbital  5".con sistema velcro turquesa 200W 120 V</t>
  </si>
  <si>
    <t>Lijadora de banda y disco 4 x 6" de 375
W (1/2 HP)</t>
  </si>
  <si>
    <t>Bandas de lijas 4" x 36"</t>
  </si>
  <si>
    <t>Paquete x 12 Und</t>
  </si>
  <si>
    <t>Discos de lija de 6" para PUL-4x6</t>
  </si>
  <si>
    <t xml:space="preserve">Polichadora 9" 1250W 3500RPM </t>
  </si>
  <si>
    <t>Disco de lana  9"</t>
  </si>
  <si>
    <t>Taladro De Banco / Piso, De 1/2 De 8 Pulgadas</t>
  </si>
  <si>
    <t xml:space="preserve">Taladro inalambrico percutor 3/8 12 v 2 baterias de 1.5 Ah </t>
  </si>
  <si>
    <t>Sierra Ingleteadora profesional de 1650W y 10"</t>
  </si>
  <si>
    <t>Aspiradora Sopladora Con Cepillo 19 Litros Solidos Líquidos</t>
  </si>
  <si>
    <t>Juego de brocas para taladro</t>
  </si>
  <si>
    <t>Prensa esquinera 3''</t>
  </si>
  <si>
    <t>Lámina de mdf 4 mm</t>
  </si>
  <si>
    <t>Hoja
1.83 mt x 2.44 mt</t>
  </si>
  <si>
    <t xml:space="preserve">Lámina de mdf 9mm </t>
  </si>
  <si>
    <t>Suelas para Baletas</t>
  </si>
  <si>
    <t>Cordones redondos en algodón calzado infantil</t>
  </si>
  <si>
    <t xml:space="preserve">Primer Eva </t>
  </si>
  <si>
    <t>Botella 
750 ml</t>
  </si>
  <si>
    <t xml:space="preserve">Halogenante  </t>
  </si>
  <si>
    <t>Galon
3600 ml</t>
  </si>
  <si>
    <t>Mesa Plegable Tipo Maleta En Polietileno De 183 cm</t>
  </si>
  <si>
    <t>Suelas en eva</t>
  </si>
  <si>
    <t>Punzon 1,5mm Dentado para la maquina de corte oscilante</t>
  </si>
  <si>
    <t>Punzon 2,5mm Dentado para la maquina de corte oscilante</t>
  </si>
  <si>
    <t>Punzon 5,0mm Dentado para la maquina de corte oscilante</t>
  </si>
  <si>
    <t>Protector cuchilla en teflon blanco tipo corto</t>
  </si>
  <si>
    <t>Tornillo Prisionero sujec. Cuchilla</t>
  </si>
  <si>
    <t>Portacuchillas 0,6MM</t>
  </si>
  <si>
    <t>Cursor estándar de mandrino</t>
  </si>
  <si>
    <t>Codo Racor Mandrino</t>
  </si>
  <si>
    <t>Bass Electroválvula</t>
  </si>
  <si>
    <t>Electrovalvulva herram. SYJ3143-5LOU-Q</t>
  </si>
  <si>
    <t xml:space="preserve">Electrovalvula aspiracion  SY7120-5YO-02F-Q </t>
  </si>
  <si>
    <t>Electroválvula Mandrino OSC. CUCH. SY7120-5YO-02F-Q</t>
  </si>
  <si>
    <t>Cuchilla 6,5/0,6MM Multiproposito</t>
  </si>
  <si>
    <t>Correa Roja Doble Dentada Mandrino Eje W</t>
  </si>
  <si>
    <t>Soporte sujeta material del perforador</t>
  </si>
  <si>
    <t>Tapete Beige 1050X650 PARA 222</t>
  </si>
  <si>
    <t>Cuchilla 0,6 MM/5-15o Descarga. P. Rigid/Multicapa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</si>
</sst>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quot;$&quot;#,##0.00"/>
  </numFmts>
  <fonts count="26" x14ac:knownFonts="1">
    <font>
      <sz val="11"/>
      <color theme="1"/>
      <name val="Aptos Narrow"/>
      <family val="2"/>
      <scheme val="minor"/>
    </font>
    <font>
      <sz val="11"/>
      <color theme="1"/>
      <name val="Aptos Narrow"/>
      <family val="2"/>
      <scheme val="minor"/>
    </font>
    <font>
      <b/>
      <sz val="9"/>
      <color rgb="FF000000"/>
      <name val="Aptos Narrow"/>
      <family val="2"/>
      <scheme val="minor"/>
    </font>
    <font>
      <sz val="9"/>
      <color theme="1"/>
      <name val="Aptos Narrow"/>
      <family val="2"/>
      <scheme val="minor"/>
    </font>
    <font>
      <sz val="9"/>
      <color rgb="FF000000"/>
      <name val="Aptos Narrow"/>
      <family val="2"/>
      <scheme val="minor"/>
    </font>
    <font>
      <b/>
      <sz val="11"/>
      <color theme="1"/>
      <name val="Calibri"/>
      <family val="2"/>
    </font>
    <font>
      <sz val="10"/>
      <color rgb="FF000000"/>
      <name val="Calibri"/>
      <family val="2"/>
    </font>
    <font>
      <sz val="10"/>
      <name val="Calibri"/>
      <family val="2"/>
    </font>
    <font>
      <sz val="10"/>
      <color theme="1"/>
      <name val="Calibri"/>
      <family val="2"/>
    </font>
    <font>
      <sz val="10"/>
      <color rgb="FF333333"/>
      <name val="Aptos Narrow"/>
      <family val="2"/>
      <scheme val="minor"/>
    </font>
    <font>
      <sz val="10"/>
      <color theme="1"/>
      <name val="Aptos Narrow"/>
      <family val="2"/>
      <scheme val="minor"/>
    </font>
    <font>
      <b/>
      <sz val="9"/>
      <color rgb="FF000000"/>
      <name val="Calibri"/>
      <family val="2"/>
    </font>
    <font>
      <b/>
      <sz val="9"/>
      <color theme="1"/>
      <name val="Calibri"/>
      <family val="2"/>
    </font>
    <font>
      <sz val="9"/>
      <color rgb="FF000000"/>
      <name val="Calibri"/>
      <family val="2"/>
    </font>
    <font>
      <sz val="9"/>
      <name val="Calibri"/>
      <family val="2"/>
    </font>
    <font>
      <sz val="9"/>
      <color theme="1"/>
      <name val="Calibri"/>
      <family val="2"/>
    </font>
    <font>
      <sz val="9"/>
      <color rgb="FFFF0000"/>
      <name val="Aptos Narrow"/>
      <family val="2"/>
      <scheme val="minor"/>
    </font>
    <font>
      <b/>
      <sz val="11"/>
      <color rgb="FF000000"/>
      <name val="Aptos Narrow"/>
      <family val="2"/>
      <scheme val="minor"/>
    </font>
    <font>
      <b/>
      <sz val="10"/>
      <color rgb="FF000000"/>
      <name val="Aptos Narrow"/>
      <family val="2"/>
      <scheme val="minor"/>
    </font>
    <font>
      <sz val="11"/>
      <color rgb="FF000000"/>
      <name val="Aptos Narrow"/>
      <family val="2"/>
      <scheme val="minor"/>
    </font>
    <font>
      <sz val="10"/>
      <color rgb="FF000000"/>
      <name val="Aptos Narrow"/>
      <family val="2"/>
      <scheme val="minor"/>
    </font>
    <font>
      <sz val="9"/>
      <color rgb="FF232323"/>
      <name val="Aptos Narrow"/>
      <family val="2"/>
      <scheme val="minor"/>
    </font>
    <font>
      <sz val="9"/>
      <color rgb="FF333333"/>
      <name val="Aptos Narrow"/>
      <family val="2"/>
      <scheme val="minor"/>
    </font>
    <font>
      <sz val="9"/>
      <color rgb="FF3A3939"/>
      <name val="Aptos Narrow"/>
      <family val="2"/>
      <scheme val="minor"/>
    </font>
    <font>
      <u/>
      <sz val="11"/>
      <color theme="10"/>
      <name val="Aptos Narrow"/>
      <family val="2"/>
      <scheme val="minor"/>
    </font>
    <font>
      <sz val="11"/>
      <color rgb="FF242424"/>
      <name val="Aptos Narrow"/>
      <family val="2"/>
    </font>
  </fonts>
  <fills count="13">
    <fill>
      <patternFill patternType="none"/>
    </fill>
    <fill>
      <patternFill patternType="gray125"/>
    </fill>
    <fill>
      <patternFill patternType="solid">
        <fgColor rgb="FFD9E1F2"/>
        <bgColor rgb="FF000000"/>
      </patternFill>
    </fill>
    <fill>
      <patternFill patternType="solid">
        <fgColor rgb="FFD0CECE"/>
        <bgColor rgb="FF000000"/>
      </patternFill>
    </fill>
    <fill>
      <patternFill patternType="solid">
        <fgColor rgb="FFFFFF00"/>
        <bgColor indexed="64"/>
      </patternFill>
    </fill>
    <fill>
      <patternFill patternType="solid">
        <fgColor rgb="FF8EA9DB"/>
        <bgColor rgb="FF000000"/>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theme="3" tint="0.499984740745262"/>
        <bgColor indexed="64"/>
      </patternFill>
    </fill>
    <fill>
      <patternFill patternType="solid">
        <fgColor theme="1" tint="0.49998474074526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style="thin">
        <color rgb="FF000000"/>
      </top>
      <bottom/>
      <diagonal/>
    </border>
    <border>
      <left style="thin">
        <color indexed="64"/>
      </left>
      <right style="thin">
        <color indexed="64"/>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top style="thin">
        <color indexed="64"/>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rgb="FF000000"/>
      </bottom>
      <diagonal/>
    </border>
  </borders>
  <cellStyleXfs count="3">
    <xf numFmtId="0" fontId="0" fillId="0" borderId="0"/>
    <xf numFmtId="44" fontId="1" fillId="0" borderId="0" applyFont="0" applyFill="0" applyBorder="0" applyAlignment="0" applyProtection="0"/>
    <xf numFmtId="0" fontId="24" fillId="0" borderId="0" applyNumberFormat="0" applyFill="0" applyBorder="0" applyAlignment="0" applyProtection="0"/>
  </cellStyleXfs>
  <cellXfs count="113">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xf numFmtId="0" fontId="3" fillId="0" borderId="0" xfId="0" applyFont="1"/>
    <xf numFmtId="0" fontId="2"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3" fillId="4" borderId="1" xfId="0" applyFont="1" applyFill="1" applyBorder="1"/>
    <xf numFmtId="0" fontId="2" fillId="6" borderId="1" xfId="0" applyFont="1" applyFill="1" applyBorder="1" applyAlignment="1">
      <alignment horizontal="center" vertical="center" wrapText="1"/>
    </xf>
    <xf numFmtId="0" fontId="3" fillId="6" borderId="1" xfId="0" applyFont="1" applyFill="1" applyBorder="1"/>
    <xf numFmtId="0" fontId="2" fillId="7" borderId="1" xfId="0" applyFont="1" applyFill="1" applyBorder="1" applyAlignment="1">
      <alignment horizontal="center" vertical="center" wrapText="1"/>
    </xf>
    <xf numFmtId="0" fontId="3" fillId="7" borderId="1" xfId="0" applyFont="1" applyFill="1" applyBorder="1"/>
    <xf numFmtId="0" fontId="3" fillId="7" borderId="0" xfId="0" applyFont="1" applyFill="1"/>
    <xf numFmtId="0" fontId="16" fillId="0" borderId="1" xfId="0" applyFont="1" applyBorder="1" applyAlignment="1">
      <alignment horizontal="center" vertical="center" wrapText="1"/>
    </xf>
    <xf numFmtId="0" fontId="17"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5" borderId="1" xfId="0" applyFont="1" applyFill="1" applyBorder="1" applyAlignment="1">
      <alignment horizontal="center"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7" fillId="8"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17" fillId="9" borderId="1" xfId="0" applyFont="1" applyFill="1" applyBorder="1" applyAlignment="1">
      <alignment horizontal="center" vertical="center"/>
    </xf>
    <xf numFmtId="0" fontId="19"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18" fillId="5" borderId="1" xfId="0" applyFont="1" applyFill="1" applyBorder="1" applyAlignment="1">
      <alignment horizontal="center" vertical="center" wrapText="1"/>
    </xf>
    <xf numFmtId="0" fontId="0" fillId="0" borderId="0" xfId="0" applyAlignment="1">
      <alignment horizontal="center"/>
    </xf>
    <xf numFmtId="0" fontId="0" fillId="4"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164" fontId="0" fillId="0" borderId="0" xfId="0" applyNumberFormat="1" applyAlignment="1">
      <alignment horizontal="center"/>
    </xf>
    <xf numFmtId="0" fontId="24" fillId="0" borderId="0" xfId="2"/>
    <xf numFmtId="0" fontId="11" fillId="0" borderId="7"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3" fillId="0" borderId="0" xfId="0" applyFont="1" applyFill="1"/>
    <xf numFmtId="0" fontId="5" fillId="0" borderId="2" xfId="0" applyFont="1" applyFill="1" applyBorder="1" applyAlignment="1">
      <alignment horizontal="center" vertical="center"/>
    </xf>
    <xf numFmtId="0" fontId="6" fillId="0" borderId="12" xfId="0" applyFont="1" applyFill="1" applyBorder="1" applyAlignment="1">
      <alignment horizontal="center" vertical="center"/>
    </xf>
    <xf numFmtId="0" fontId="7" fillId="0" borderId="12"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2" xfId="0" applyFont="1" applyFill="1" applyBorder="1" applyAlignment="1">
      <alignment horizontal="center" vertical="center"/>
    </xf>
    <xf numFmtId="0" fontId="0" fillId="0" borderId="18" xfId="0" applyFill="1" applyBorder="1" applyAlignment="1">
      <alignment horizontal="center" vertical="center"/>
    </xf>
    <xf numFmtId="0" fontId="3" fillId="0" borderId="18" xfId="0" applyFont="1" applyFill="1" applyBorder="1"/>
    <xf numFmtId="0" fontId="3" fillId="0" borderId="19" xfId="0" applyFont="1" applyFill="1" applyBorder="1"/>
    <xf numFmtId="0" fontId="3" fillId="0" borderId="7" xfId="0" applyFont="1" applyFill="1" applyBorder="1"/>
    <xf numFmtId="0" fontId="0" fillId="0" borderId="0" xfId="0" applyFill="1"/>
    <xf numFmtId="0" fontId="12" fillId="0" borderId="7" xfId="0" applyFont="1" applyFill="1" applyBorder="1" applyAlignment="1">
      <alignment horizontal="center" vertical="center"/>
    </xf>
    <xf numFmtId="0" fontId="13" fillId="0" borderId="7" xfId="0" applyFont="1" applyFill="1" applyBorder="1" applyAlignment="1">
      <alignment horizontal="center" vertical="center"/>
    </xf>
    <xf numFmtId="0" fontId="14" fillId="0" borderId="7" xfId="0" applyFont="1" applyFill="1" applyBorder="1" applyAlignment="1">
      <alignment horizontal="center" vertical="center"/>
    </xf>
    <xf numFmtId="0" fontId="15" fillId="0" borderId="7" xfId="0" applyFont="1" applyFill="1" applyBorder="1" applyAlignment="1">
      <alignment horizontal="center" vertical="center"/>
    </xf>
    <xf numFmtId="0" fontId="3" fillId="0" borderId="7" xfId="0" applyFont="1" applyFill="1" applyBorder="1" applyAlignment="1">
      <alignment horizontal="center" vertical="center"/>
    </xf>
    <xf numFmtId="0" fontId="0" fillId="0" borderId="7" xfId="0" applyFill="1" applyBorder="1"/>
    <xf numFmtId="0" fontId="0" fillId="0" borderId="20" xfId="0" applyFill="1" applyBorder="1"/>
    <xf numFmtId="0" fontId="0" fillId="0" borderId="22" xfId="0" applyFill="1" applyBorder="1"/>
    <xf numFmtId="0" fontId="6" fillId="0" borderId="3" xfId="0" applyFont="1" applyFill="1" applyBorder="1" applyAlignment="1">
      <alignment horizontal="center" vertical="center"/>
    </xf>
    <xf numFmtId="0" fontId="0" fillId="0" borderId="19" xfId="0" applyFill="1" applyBorder="1" applyAlignment="1">
      <alignment horizontal="center" vertical="center"/>
    </xf>
    <xf numFmtId="0" fontId="0" fillId="0" borderId="3" xfId="0" applyFill="1" applyBorder="1"/>
    <xf numFmtId="0" fontId="5" fillId="0" borderId="5" xfId="0" applyFont="1" applyFill="1" applyBorder="1" applyAlignment="1">
      <alignment horizontal="center" vertical="center"/>
    </xf>
    <xf numFmtId="0" fontId="6" fillId="0" borderId="7"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5" xfId="0" applyFont="1" applyFill="1" applyBorder="1" applyAlignment="1">
      <alignment horizontal="center" vertical="center"/>
    </xf>
    <xf numFmtId="0" fontId="0" fillId="0" borderId="17" xfId="0" applyFill="1" applyBorder="1" applyAlignment="1">
      <alignment horizontal="center" vertical="center"/>
    </xf>
    <xf numFmtId="0" fontId="25" fillId="0" borderId="0" xfId="0" applyFont="1" applyFill="1"/>
    <xf numFmtId="0" fontId="7" fillId="0" borderId="7" xfId="0" applyFont="1" applyFill="1" applyBorder="1" applyAlignment="1">
      <alignment horizontal="center" vertical="center"/>
    </xf>
    <xf numFmtId="0" fontId="8" fillId="0" borderId="8" xfId="0" applyFont="1" applyFill="1" applyBorder="1" applyAlignment="1">
      <alignment horizontal="center" vertical="center"/>
    </xf>
    <xf numFmtId="0" fontId="6" fillId="0" borderId="5"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6" xfId="0" applyFont="1" applyFill="1" applyBorder="1" applyAlignment="1">
      <alignment horizontal="center" vertical="center"/>
    </xf>
    <xf numFmtId="0" fontId="6" fillId="0" borderId="8" xfId="0" applyFont="1" applyFill="1" applyBorder="1" applyAlignment="1">
      <alignment horizontal="center" vertical="center"/>
    </xf>
    <xf numFmtId="0" fontId="0" fillId="0" borderId="8" xfId="0" applyFill="1" applyBorder="1"/>
    <xf numFmtId="0" fontId="0" fillId="0" borderId="5" xfId="0" applyFill="1" applyBorder="1"/>
    <xf numFmtId="0" fontId="7" fillId="0" borderId="8" xfId="0" applyFont="1" applyFill="1" applyBorder="1" applyAlignment="1">
      <alignment horizontal="center" vertical="center"/>
    </xf>
    <xf numFmtId="0" fontId="7" fillId="0" borderId="3" xfId="0" applyFont="1" applyFill="1" applyBorder="1" applyAlignment="1">
      <alignment horizontal="center" vertical="center"/>
    </xf>
    <xf numFmtId="0" fontId="8" fillId="0" borderId="10" xfId="0" applyFont="1" applyFill="1" applyBorder="1" applyAlignment="1">
      <alignment horizontal="center" vertical="center"/>
    </xf>
    <xf numFmtId="0" fontId="5" fillId="0" borderId="20"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20" xfId="0" applyFont="1" applyFill="1" applyBorder="1" applyAlignment="1">
      <alignment horizontal="center" vertical="center"/>
    </xf>
    <xf numFmtId="0" fontId="0" fillId="0" borderId="21" xfId="0" applyFill="1" applyBorder="1" applyAlignment="1">
      <alignment horizontal="center" vertical="center"/>
    </xf>
    <xf numFmtId="0" fontId="3" fillId="0" borderId="7" xfId="0" applyFont="1" applyFill="1" applyBorder="1" applyAlignment="1">
      <alignment horizontal="right" vertical="center"/>
    </xf>
    <xf numFmtId="0" fontId="0" fillId="0" borderId="12" xfId="0" applyFill="1" applyBorder="1"/>
    <xf numFmtId="0" fontId="0" fillId="0" borderId="2" xfId="0" applyFill="1" applyBorder="1"/>
    <xf numFmtId="0" fontId="7" fillId="0" borderId="9" xfId="0" applyFont="1" applyFill="1" applyBorder="1" applyAlignment="1">
      <alignment horizontal="center" vertical="center"/>
    </xf>
    <xf numFmtId="0" fontId="8" fillId="0" borderId="12" xfId="0" applyFont="1" applyFill="1" applyBorder="1" applyAlignment="1">
      <alignment horizontal="center" vertical="center"/>
    </xf>
    <xf numFmtId="0" fontId="16" fillId="0" borderId="7" xfId="0" applyFont="1" applyFill="1" applyBorder="1" applyAlignment="1">
      <alignment horizontal="center" vertical="center"/>
    </xf>
    <xf numFmtId="0" fontId="8" fillId="0" borderId="3" xfId="0" applyFont="1" applyFill="1" applyBorder="1" applyAlignment="1">
      <alignment horizontal="center" vertical="center" readingOrder="1"/>
    </xf>
    <xf numFmtId="0" fontId="6" fillId="0" borderId="7" xfId="0" applyFont="1" applyFill="1" applyBorder="1" applyAlignment="1">
      <alignment horizontal="center" vertical="center" readingOrder="1"/>
    </xf>
    <xf numFmtId="0" fontId="8" fillId="0" borderId="7" xfId="0" applyFont="1" applyFill="1" applyBorder="1" applyAlignment="1">
      <alignment horizontal="center" vertical="center"/>
    </xf>
    <xf numFmtId="0" fontId="8" fillId="0" borderId="11"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11" xfId="0" applyFont="1" applyFill="1" applyBorder="1" applyAlignment="1">
      <alignment horizontal="center" vertical="center" wrapText="1"/>
    </xf>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23" xfId="0" applyFont="1" applyFill="1" applyBorder="1" applyAlignment="1">
      <alignment horizontal="center" vertical="center"/>
    </xf>
    <xf numFmtId="0" fontId="12" fillId="0" borderId="3" xfId="0" applyFont="1" applyFill="1" applyBorder="1" applyAlignment="1">
      <alignment horizontal="center" vertical="center"/>
    </xf>
    <xf numFmtId="0" fontId="15"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3" xfId="0" applyFont="1" applyFill="1" applyBorder="1"/>
    <xf numFmtId="0" fontId="5" fillId="0" borderId="16" xfId="0" applyFont="1" applyFill="1" applyBorder="1" applyAlignment="1">
      <alignment horizontal="center" vertical="center"/>
    </xf>
    <xf numFmtId="0" fontId="9" fillId="0" borderId="12" xfId="0" applyFont="1" applyFill="1" applyBorder="1" applyAlignment="1">
      <alignment horizontal="center" vertical="center"/>
    </xf>
    <xf numFmtId="0" fontId="10" fillId="0" borderId="7"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8" fillId="0" borderId="1" xfId="0" applyFont="1" applyFill="1" applyBorder="1" applyAlignment="1">
      <alignment horizontal="center" vertical="center"/>
    </xf>
    <xf numFmtId="0" fontId="5" fillId="0" borderId="14" xfId="0" applyFont="1" applyFill="1" applyBorder="1" applyAlignment="1">
      <alignment horizontal="center" vertical="center"/>
    </xf>
    <xf numFmtId="0" fontId="7" fillId="0" borderId="15" xfId="0" applyFont="1" applyFill="1" applyBorder="1" applyAlignment="1">
      <alignment horizontal="center" vertical="center"/>
    </xf>
    <xf numFmtId="0" fontId="10" fillId="0" borderId="3" xfId="0" applyFont="1" applyFill="1" applyBorder="1" applyAlignment="1">
      <alignment horizontal="center" vertical="center"/>
    </xf>
    <xf numFmtId="0" fontId="7" fillId="0" borderId="16" xfId="0" applyFont="1" applyFill="1" applyBorder="1" applyAlignment="1">
      <alignment horizontal="center" vertical="center"/>
    </xf>
  </cellXfs>
  <cellStyles count="3">
    <cellStyle name="Hyperlink" xfId="2" xr:uid="{00000000-000B-0000-0000-000008000000}"/>
    <cellStyle name="Moneda 2" xfId="1" xr:uid="{EAE37D87-60C3-4E3A-B829-DB58975C0E0D}"/>
    <cellStyle name="Normal" xfId="0" builtinId="0"/>
  </cellStyles>
  <dxfs count="3">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sena4-my.sharepoint.com/:x:/r/personal/lgallegod_sena_edu_co/_layouts/15/Doc.aspx?sourcedoc=%7B68F75E2E-1E51-4488-B620-FBB4674F09CC%7D&amp;file=LOTE%205%20SST%20AJUSTADA.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E19B4-A3E8-44DA-B5CB-9874B1043E79}">
  <sheetPr filterMode="1"/>
  <dimension ref="A2:L103"/>
  <sheetViews>
    <sheetView topLeftCell="A74" zoomScale="80" zoomScaleNormal="80" workbookViewId="0">
      <selection activeCell="F99" sqref="F99"/>
    </sheetView>
  </sheetViews>
  <sheetFormatPr baseColWidth="10" defaultColWidth="9.109375" defaultRowHeight="12" x14ac:dyDescent="0.25"/>
  <cols>
    <col min="1" max="1" width="6" style="4" customWidth="1"/>
    <col min="2" max="2" width="11.5546875" style="4"/>
    <col min="3" max="3" width="39.33203125" style="4" customWidth="1"/>
    <col min="4" max="4" width="8.33203125" style="4" customWidth="1"/>
    <col min="5" max="5" width="18.109375" style="4" customWidth="1"/>
    <col min="6" max="6" width="8.5546875" style="4" customWidth="1"/>
    <col min="7" max="7" width="8.109375" style="4" customWidth="1"/>
    <col min="8" max="8" width="10.44140625" style="4" customWidth="1"/>
    <col min="9" max="10" width="9.5546875" style="13" customWidth="1"/>
    <col min="11" max="11" width="7.88671875" style="4" customWidth="1"/>
    <col min="12" max="16384" width="9.109375" style="4"/>
  </cols>
  <sheetData>
    <row r="2" spans="1:11" ht="24" x14ac:dyDescent="0.25">
      <c r="A2" s="1" t="s">
        <v>0</v>
      </c>
      <c r="B2" s="1" t="s">
        <v>1</v>
      </c>
      <c r="C2" s="1" t="s">
        <v>2</v>
      </c>
      <c r="D2" s="2" t="s">
        <v>3</v>
      </c>
      <c r="E2" s="2" t="s">
        <v>4</v>
      </c>
      <c r="F2" s="1" t="s">
        <v>5</v>
      </c>
      <c r="G2" s="1" t="s">
        <v>6</v>
      </c>
      <c r="H2" s="9" t="s">
        <v>7</v>
      </c>
      <c r="I2" s="11" t="s">
        <v>8</v>
      </c>
      <c r="J2" s="11" t="s">
        <v>9</v>
      </c>
      <c r="K2" s="1" t="s">
        <v>10</v>
      </c>
    </row>
    <row r="3" spans="1:11" ht="24" x14ac:dyDescent="0.25">
      <c r="A3" s="5">
        <v>1</v>
      </c>
      <c r="B3" s="6">
        <v>41102428</v>
      </c>
      <c r="C3" s="6" t="s">
        <v>11</v>
      </c>
      <c r="D3" s="7" t="s">
        <v>12</v>
      </c>
      <c r="E3" s="7" t="s">
        <v>13</v>
      </c>
      <c r="F3" s="6">
        <v>4</v>
      </c>
      <c r="G3" s="3"/>
      <c r="H3" s="10"/>
      <c r="I3" s="12"/>
      <c r="J3" s="12"/>
      <c r="K3" s="3">
        <f t="shared" ref="K3:K34" si="0">F3-G3-H3-I3</f>
        <v>4</v>
      </c>
    </row>
    <row r="4" spans="1:11" x14ac:dyDescent="0.25">
      <c r="A4" s="5">
        <v>2</v>
      </c>
      <c r="B4" s="6">
        <v>11162116</v>
      </c>
      <c r="C4" s="6" t="s">
        <v>14</v>
      </c>
      <c r="D4" s="7" t="s">
        <v>15</v>
      </c>
      <c r="E4" s="7" t="s">
        <v>16</v>
      </c>
      <c r="F4" s="6">
        <v>1</v>
      </c>
      <c r="G4" s="3">
        <v>1</v>
      </c>
      <c r="H4" s="10"/>
      <c r="I4" s="12"/>
      <c r="J4" s="12"/>
      <c r="K4" s="3">
        <f t="shared" si="0"/>
        <v>0</v>
      </c>
    </row>
    <row r="5" spans="1:11" ht="24" x14ac:dyDescent="0.25">
      <c r="A5" s="5">
        <v>3</v>
      </c>
      <c r="B5" s="6">
        <v>47131825</v>
      </c>
      <c r="C5" s="6" t="s">
        <v>17</v>
      </c>
      <c r="D5" s="7" t="s">
        <v>18</v>
      </c>
      <c r="E5" s="7" t="s">
        <v>19</v>
      </c>
      <c r="F5" s="6">
        <v>1</v>
      </c>
      <c r="G5" s="3">
        <v>1</v>
      </c>
      <c r="H5" s="10"/>
      <c r="I5" s="12"/>
      <c r="J5" s="12"/>
      <c r="K5" s="3">
        <f t="shared" si="0"/>
        <v>0</v>
      </c>
    </row>
    <row r="6" spans="1:11" ht="24" x14ac:dyDescent="0.25">
      <c r="A6" s="5">
        <v>4</v>
      </c>
      <c r="B6" s="6">
        <v>47131805</v>
      </c>
      <c r="C6" s="6" t="s">
        <v>20</v>
      </c>
      <c r="D6" s="7" t="s">
        <v>21</v>
      </c>
      <c r="E6" s="7" t="s">
        <v>22</v>
      </c>
      <c r="F6" s="6">
        <v>1</v>
      </c>
      <c r="G6" s="3"/>
      <c r="H6" s="10">
        <v>1</v>
      </c>
      <c r="I6" s="12"/>
      <c r="J6" s="12"/>
      <c r="K6" s="3">
        <f t="shared" si="0"/>
        <v>0</v>
      </c>
    </row>
    <row r="7" spans="1:11" ht="36" x14ac:dyDescent="0.25">
      <c r="A7" s="5">
        <v>5</v>
      </c>
      <c r="B7" s="6">
        <v>20121506</v>
      </c>
      <c r="C7" s="6" t="s">
        <v>23</v>
      </c>
      <c r="D7" s="7" t="s">
        <v>21</v>
      </c>
      <c r="E7" s="7" t="s">
        <v>24</v>
      </c>
      <c r="F7" s="6">
        <v>1</v>
      </c>
      <c r="G7" s="3"/>
      <c r="H7" s="10">
        <v>1</v>
      </c>
      <c r="I7" s="12"/>
      <c r="J7" s="12"/>
      <c r="K7" s="3">
        <f t="shared" si="0"/>
        <v>0</v>
      </c>
    </row>
    <row r="8" spans="1:11" ht="48" x14ac:dyDescent="0.25">
      <c r="A8" s="5">
        <v>6</v>
      </c>
      <c r="B8" s="6">
        <v>20121506</v>
      </c>
      <c r="C8" s="6" t="s">
        <v>25</v>
      </c>
      <c r="D8" s="7" t="s">
        <v>21</v>
      </c>
      <c r="E8" s="7" t="s">
        <v>26</v>
      </c>
      <c r="F8" s="6">
        <v>1</v>
      </c>
      <c r="G8" s="3"/>
      <c r="H8" s="10">
        <v>1</v>
      </c>
      <c r="I8" s="12"/>
      <c r="J8" s="12"/>
      <c r="K8" s="3">
        <f t="shared" si="0"/>
        <v>0</v>
      </c>
    </row>
    <row r="9" spans="1:11" ht="48" x14ac:dyDescent="0.25">
      <c r="A9" s="5">
        <v>7</v>
      </c>
      <c r="B9" s="6">
        <v>20121506</v>
      </c>
      <c r="C9" s="6" t="s">
        <v>27</v>
      </c>
      <c r="D9" s="7" t="s">
        <v>21</v>
      </c>
      <c r="E9" s="7" t="s">
        <v>26</v>
      </c>
      <c r="F9" s="6">
        <v>1</v>
      </c>
      <c r="G9" s="3"/>
      <c r="H9" s="10"/>
      <c r="I9" s="12"/>
      <c r="J9" s="12"/>
      <c r="K9" s="3">
        <f t="shared" si="0"/>
        <v>1</v>
      </c>
    </row>
    <row r="10" spans="1:11" ht="24" x14ac:dyDescent="0.25">
      <c r="A10" s="5">
        <v>8</v>
      </c>
      <c r="B10" s="6">
        <v>15121501</v>
      </c>
      <c r="C10" s="6" t="s">
        <v>28</v>
      </c>
      <c r="D10" s="7" t="s">
        <v>29</v>
      </c>
      <c r="E10" s="7" t="s">
        <v>30</v>
      </c>
      <c r="F10" s="6">
        <v>2</v>
      </c>
      <c r="G10" s="3">
        <v>2</v>
      </c>
      <c r="H10" s="10"/>
      <c r="I10" s="12"/>
      <c r="J10" s="12"/>
      <c r="K10" s="3">
        <f t="shared" si="0"/>
        <v>0</v>
      </c>
    </row>
    <row r="11" spans="1:11" x14ac:dyDescent="0.25">
      <c r="A11" s="5">
        <v>9</v>
      </c>
      <c r="B11" s="6">
        <v>31201605</v>
      </c>
      <c r="C11" s="6" t="s">
        <v>31</v>
      </c>
      <c r="D11" s="7" t="s">
        <v>32</v>
      </c>
      <c r="E11" s="7" t="s">
        <v>33</v>
      </c>
      <c r="F11" s="6">
        <v>1</v>
      </c>
      <c r="G11" s="3">
        <v>1</v>
      </c>
      <c r="H11" s="10"/>
      <c r="I11" s="12"/>
      <c r="J11" s="12"/>
      <c r="K11" s="3">
        <f t="shared" si="0"/>
        <v>0</v>
      </c>
    </row>
    <row r="12" spans="1:11" ht="48" x14ac:dyDescent="0.25">
      <c r="A12" s="5">
        <v>10</v>
      </c>
      <c r="B12" s="6">
        <v>40141736</v>
      </c>
      <c r="C12" s="6" t="s">
        <v>34</v>
      </c>
      <c r="D12" s="7" t="s">
        <v>21</v>
      </c>
      <c r="E12" s="7" t="s">
        <v>35</v>
      </c>
      <c r="F12" s="6">
        <v>1</v>
      </c>
      <c r="G12" s="3">
        <v>1</v>
      </c>
      <c r="H12" s="10"/>
      <c r="I12" s="12"/>
      <c r="J12" s="12"/>
      <c r="K12" s="3">
        <f t="shared" si="0"/>
        <v>0</v>
      </c>
    </row>
    <row r="13" spans="1:11" ht="24" x14ac:dyDescent="0.25">
      <c r="A13" s="5">
        <v>11</v>
      </c>
      <c r="B13" s="6">
        <v>46151607</v>
      </c>
      <c r="C13" s="6" t="s">
        <v>36</v>
      </c>
      <c r="D13" s="7" t="s">
        <v>37</v>
      </c>
      <c r="E13" s="7" t="s">
        <v>38</v>
      </c>
      <c r="F13" s="6">
        <v>1</v>
      </c>
      <c r="G13" s="3"/>
      <c r="H13" s="10">
        <v>1</v>
      </c>
      <c r="I13" s="12"/>
      <c r="J13" s="12"/>
      <c r="K13" s="3">
        <f t="shared" si="0"/>
        <v>0</v>
      </c>
    </row>
    <row r="14" spans="1:11" x14ac:dyDescent="0.25">
      <c r="A14" s="5">
        <v>12</v>
      </c>
      <c r="B14" s="6">
        <v>47131821</v>
      </c>
      <c r="C14" s="6" t="s">
        <v>39</v>
      </c>
      <c r="D14" s="7" t="s">
        <v>40</v>
      </c>
      <c r="E14" s="7" t="s">
        <v>41</v>
      </c>
      <c r="F14" s="6">
        <v>2</v>
      </c>
      <c r="G14" s="3"/>
      <c r="H14" s="10">
        <v>2</v>
      </c>
      <c r="I14" s="12"/>
      <c r="J14" s="12"/>
      <c r="K14" s="3">
        <f t="shared" si="0"/>
        <v>0</v>
      </c>
    </row>
    <row r="15" spans="1:11" x14ac:dyDescent="0.25">
      <c r="A15" s="5">
        <v>13</v>
      </c>
      <c r="B15" s="6">
        <v>47131805</v>
      </c>
      <c r="C15" s="6" t="s">
        <v>42</v>
      </c>
      <c r="D15" s="7" t="s">
        <v>40</v>
      </c>
      <c r="E15" s="7" t="s">
        <v>43</v>
      </c>
      <c r="F15" s="6">
        <v>2</v>
      </c>
      <c r="G15" s="3"/>
      <c r="H15" s="10"/>
      <c r="I15" s="12"/>
      <c r="J15" s="12"/>
      <c r="K15" s="3">
        <f t="shared" si="0"/>
        <v>2</v>
      </c>
    </row>
    <row r="16" spans="1:11" x14ac:dyDescent="0.25">
      <c r="A16" s="5">
        <v>14</v>
      </c>
      <c r="B16" s="6">
        <v>15121802</v>
      </c>
      <c r="C16" s="6" t="s">
        <v>44</v>
      </c>
      <c r="D16" s="7" t="s">
        <v>45</v>
      </c>
      <c r="E16" s="7" t="s">
        <v>46</v>
      </c>
      <c r="F16" s="6">
        <v>2</v>
      </c>
      <c r="G16" s="3"/>
      <c r="H16" s="10">
        <v>1</v>
      </c>
      <c r="I16" s="12"/>
      <c r="J16" s="12">
        <v>1</v>
      </c>
      <c r="K16" s="3">
        <f t="shared" si="0"/>
        <v>1</v>
      </c>
    </row>
    <row r="17" spans="1:11" x14ac:dyDescent="0.25">
      <c r="A17" s="5">
        <v>15</v>
      </c>
      <c r="B17" s="6">
        <v>31211518</v>
      </c>
      <c r="C17" s="6" t="s">
        <v>47</v>
      </c>
      <c r="D17" s="7" t="s">
        <v>40</v>
      </c>
      <c r="E17" s="7" t="s">
        <v>40</v>
      </c>
      <c r="F17" s="6">
        <v>2</v>
      </c>
      <c r="G17" s="3"/>
      <c r="H17" s="10"/>
      <c r="I17" s="12"/>
      <c r="J17" s="12"/>
      <c r="K17" s="3">
        <f t="shared" si="0"/>
        <v>2</v>
      </c>
    </row>
    <row r="18" spans="1:11" ht="24" x14ac:dyDescent="0.25">
      <c r="A18" s="5">
        <v>16</v>
      </c>
      <c r="B18" s="6">
        <v>31211518</v>
      </c>
      <c r="C18" s="6" t="s">
        <v>48</v>
      </c>
      <c r="D18" s="7" t="s">
        <v>21</v>
      </c>
      <c r="E18" s="7" t="s">
        <v>49</v>
      </c>
      <c r="F18" s="6">
        <v>2</v>
      </c>
      <c r="G18" s="3">
        <v>1</v>
      </c>
      <c r="H18" s="10"/>
      <c r="I18" s="12"/>
      <c r="J18" s="12"/>
      <c r="K18" s="8">
        <f t="shared" si="0"/>
        <v>1</v>
      </c>
    </row>
    <row r="19" spans="1:11" ht="24" x14ac:dyDescent="0.25">
      <c r="A19" s="5">
        <v>17</v>
      </c>
      <c r="B19" s="6">
        <v>23260000</v>
      </c>
      <c r="C19" s="6" t="s">
        <v>50</v>
      </c>
      <c r="D19" s="7" t="s">
        <v>51</v>
      </c>
      <c r="E19" s="7" t="s">
        <v>52</v>
      </c>
      <c r="F19" s="6">
        <v>1</v>
      </c>
      <c r="G19" s="3">
        <v>1</v>
      </c>
      <c r="H19" s="10"/>
      <c r="I19" s="12"/>
      <c r="J19" s="12"/>
      <c r="K19" s="3">
        <f t="shared" si="0"/>
        <v>0</v>
      </c>
    </row>
    <row r="20" spans="1:11" ht="24" x14ac:dyDescent="0.25">
      <c r="A20" s="5">
        <v>18</v>
      </c>
      <c r="B20" s="6">
        <v>23260000</v>
      </c>
      <c r="C20" s="6" t="s">
        <v>53</v>
      </c>
      <c r="D20" s="7" t="s">
        <v>15</v>
      </c>
      <c r="E20" s="7" t="s">
        <v>52</v>
      </c>
      <c r="F20" s="6">
        <v>1</v>
      </c>
      <c r="G20" s="3">
        <v>1</v>
      </c>
      <c r="H20" s="10"/>
      <c r="I20" s="12"/>
      <c r="J20" s="12"/>
      <c r="K20" s="3">
        <f t="shared" si="0"/>
        <v>0</v>
      </c>
    </row>
    <row r="21" spans="1:11" ht="24" x14ac:dyDescent="0.25">
      <c r="A21" s="5">
        <v>19</v>
      </c>
      <c r="B21" s="6">
        <v>23260000</v>
      </c>
      <c r="C21" s="6" t="s">
        <v>54</v>
      </c>
      <c r="D21" s="7" t="s">
        <v>15</v>
      </c>
      <c r="E21" s="7" t="s">
        <v>52</v>
      </c>
      <c r="F21" s="6">
        <v>1</v>
      </c>
      <c r="G21" s="3">
        <v>1</v>
      </c>
      <c r="H21" s="10"/>
      <c r="I21" s="12"/>
      <c r="J21" s="12"/>
      <c r="K21" s="3">
        <f t="shared" si="0"/>
        <v>0</v>
      </c>
    </row>
    <row r="22" spans="1:11" ht="24" x14ac:dyDescent="0.25">
      <c r="A22" s="5">
        <v>20</v>
      </c>
      <c r="B22" s="6">
        <v>23260000</v>
      </c>
      <c r="C22" s="6" t="s">
        <v>55</v>
      </c>
      <c r="D22" s="7" t="s">
        <v>15</v>
      </c>
      <c r="E22" s="7" t="s">
        <v>56</v>
      </c>
      <c r="F22" s="6">
        <v>1</v>
      </c>
      <c r="G22" s="3">
        <v>1</v>
      </c>
      <c r="H22" s="10"/>
      <c r="I22" s="12"/>
      <c r="J22" s="12"/>
      <c r="K22" s="3">
        <f t="shared" si="0"/>
        <v>0</v>
      </c>
    </row>
    <row r="23" spans="1:11" ht="24" x14ac:dyDescent="0.25">
      <c r="A23" s="5">
        <v>21</v>
      </c>
      <c r="B23" s="6">
        <v>23260000</v>
      </c>
      <c r="C23" s="6" t="s">
        <v>57</v>
      </c>
      <c r="D23" s="7" t="s">
        <v>15</v>
      </c>
      <c r="E23" s="7" t="s">
        <v>58</v>
      </c>
      <c r="F23" s="6">
        <v>1</v>
      </c>
      <c r="G23" s="3"/>
      <c r="H23" s="10"/>
      <c r="I23" s="12"/>
      <c r="J23" s="12"/>
      <c r="K23" s="3">
        <f t="shared" si="0"/>
        <v>1</v>
      </c>
    </row>
    <row r="24" spans="1:11" ht="24" x14ac:dyDescent="0.25">
      <c r="A24" s="5">
        <v>22</v>
      </c>
      <c r="B24" s="6">
        <v>23260000</v>
      </c>
      <c r="C24" s="6" t="s">
        <v>59</v>
      </c>
      <c r="D24" s="7" t="s">
        <v>15</v>
      </c>
      <c r="E24" s="7" t="s">
        <v>56</v>
      </c>
      <c r="F24" s="6">
        <v>1</v>
      </c>
      <c r="G24" s="3">
        <v>1</v>
      </c>
      <c r="H24" s="10"/>
      <c r="I24" s="12"/>
      <c r="J24" s="12"/>
      <c r="K24" s="3">
        <f t="shared" si="0"/>
        <v>0</v>
      </c>
    </row>
    <row r="25" spans="1:11" ht="24" x14ac:dyDescent="0.25">
      <c r="A25" s="5">
        <v>23</v>
      </c>
      <c r="B25" s="6">
        <v>23260000</v>
      </c>
      <c r="C25" s="6" t="s">
        <v>60</v>
      </c>
      <c r="D25" s="7" t="s">
        <v>15</v>
      </c>
      <c r="E25" s="7" t="s">
        <v>61</v>
      </c>
      <c r="F25" s="6">
        <v>1</v>
      </c>
      <c r="G25" s="3">
        <v>1</v>
      </c>
      <c r="H25" s="10"/>
      <c r="I25" s="12"/>
      <c r="J25" s="12"/>
      <c r="K25" s="3">
        <f t="shared" si="0"/>
        <v>0</v>
      </c>
    </row>
    <row r="26" spans="1:11" x14ac:dyDescent="0.25">
      <c r="A26" s="5">
        <v>24</v>
      </c>
      <c r="B26" s="6">
        <v>46181804</v>
      </c>
      <c r="C26" s="6" t="s">
        <v>62</v>
      </c>
      <c r="D26" s="7" t="s">
        <v>18</v>
      </c>
      <c r="E26" s="7" t="s">
        <v>63</v>
      </c>
      <c r="F26" s="6">
        <v>1</v>
      </c>
      <c r="G26" s="3"/>
      <c r="H26" s="10"/>
      <c r="I26" s="12"/>
      <c r="J26" s="12"/>
      <c r="K26" s="3">
        <f t="shared" si="0"/>
        <v>1</v>
      </c>
    </row>
    <row r="27" spans="1:11" x14ac:dyDescent="0.25">
      <c r="A27" s="5">
        <v>25</v>
      </c>
      <c r="B27" s="6">
        <v>27112151</v>
      </c>
      <c r="C27" s="6" t="s">
        <v>64</v>
      </c>
      <c r="D27" s="7" t="s">
        <v>18</v>
      </c>
      <c r="E27" s="7" t="s">
        <v>65</v>
      </c>
      <c r="F27" s="6">
        <v>1</v>
      </c>
      <c r="G27" s="3">
        <v>1</v>
      </c>
      <c r="H27" s="10"/>
      <c r="I27" s="12"/>
      <c r="J27" s="12"/>
      <c r="K27" s="3">
        <f t="shared" si="0"/>
        <v>0</v>
      </c>
    </row>
    <row r="28" spans="1:11" x14ac:dyDescent="0.25">
      <c r="A28" s="5">
        <v>26</v>
      </c>
      <c r="B28" s="6">
        <v>46181804</v>
      </c>
      <c r="C28" s="6" t="s">
        <v>66</v>
      </c>
      <c r="D28" s="7" t="s">
        <v>18</v>
      </c>
      <c r="E28" s="7" t="s">
        <v>65</v>
      </c>
      <c r="F28" s="6">
        <v>1</v>
      </c>
      <c r="G28" s="3"/>
      <c r="H28" s="10">
        <v>1</v>
      </c>
      <c r="I28" s="12"/>
      <c r="J28" s="12"/>
      <c r="K28" s="3">
        <f t="shared" si="0"/>
        <v>0</v>
      </c>
    </row>
    <row r="29" spans="1:11" x14ac:dyDescent="0.25">
      <c r="A29" s="5">
        <v>27</v>
      </c>
      <c r="B29" s="6">
        <v>27112134</v>
      </c>
      <c r="C29" s="6" t="s">
        <v>67</v>
      </c>
      <c r="D29" s="7" t="s">
        <v>18</v>
      </c>
      <c r="E29" s="7" t="s">
        <v>65</v>
      </c>
      <c r="F29" s="6">
        <v>1</v>
      </c>
      <c r="G29" s="3">
        <v>1</v>
      </c>
      <c r="H29" s="10"/>
      <c r="I29" s="12"/>
      <c r="J29" s="12"/>
      <c r="K29" s="3">
        <f t="shared" si="0"/>
        <v>0</v>
      </c>
    </row>
    <row r="30" spans="1:11" x14ac:dyDescent="0.25">
      <c r="A30" s="5">
        <v>28</v>
      </c>
      <c r="B30" s="6">
        <v>24141705</v>
      </c>
      <c r="C30" s="6" t="s">
        <v>68</v>
      </c>
      <c r="D30" s="7" t="s">
        <v>69</v>
      </c>
      <c r="E30" s="7" t="s">
        <v>70</v>
      </c>
      <c r="F30" s="6">
        <v>5</v>
      </c>
      <c r="G30" s="3">
        <v>1</v>
      </c>
      <c r="H30" s="10"/>
      <c r="I30" s="12"/>
      <c r="J30" s="12">
        <v>4</v>
      </c>
      <c r="K30" s="8">
        <f t="shared" si="0"/>
        <v>4</v>
      </c>
    </row>
    <row r="31" spans="1:11" ht="36" x14ac:dyDescent="0.25">
      <c r="A31" s="5">
        <v>29</v>
      </c>
      <c r="B31" s="6">
        <v>26111802</v>
      </c>
      <c r="C31" s="6" t="s">
        <v>71</v>
      </c>
      <c r="D31" s="7" t="s">
        <v>70</v>
      </c>
      <c r="E31" s="7" t="s">
        <v>72</v>
      </c>
      <c r="F31" s="6">
        <v>1</v>
      </c>
      <c r="G31" s="3"/>
      <c r="H31" s="10">
        <v>1</v>
      </c>
      <c r="I31" s="12"/>
      <c r="J31" s="12"/>
      <c r="K31" s="3">
        <f t="shared" si="0"/>
        <v>0</v>
      </c>
    </row>
    <row r="32" spans="1:11" ht="240" x14ac:dyDescent="0.25">
      <c r="A32" s="5">
        <v>30</v>
      </c>
      <c r="B32" s="6">
        <v>32121610</v>
      </c>
      <c r="C32" s="6" t="s">
        <v>73</v>
      </c>
      <c r="D32" s="7" t="s">
        <v>18</v>
      </c>
      <c r="E32" s="7" t="s">
        <v>74</v>
      </c>
      <c r="F32" s="6">
        <v>5</v>
      </c>
      <c r="G32" s="3"/>
      <c r="H32" s="10">
        <v>3</v>
      </c>
      <c r="I32" s="12"/>
      <c r="J32" s="12"/>
      <c r="K32" s="3">
        <f t="shared" si="0"/>
        <v>2</v>
      </c>
    </row>
    <row r="33" spans="1:11" ht="24" x14ac:dyDescent="0.25">
      <c r="A33" s="5">
        <v>31</v>
      </c>
      <c r="B33" s="6">
        <v>40101809</v>
      </c>
      <c r="C33" s="6" t="s">
        <v>75</v>
      </c>
      <c r="D33" s="7" t="s">
        <v>18</v>
      </c>
      <c r="E33" s="7" t="s">
        <v>18</v>
      </c>
      <c r="F33" s="6">
        <v>1</v>
      </c>
      <c r="G33" s="3"/>
      <c r="H33" s="10"/>
      <c r="I33" s="12"/>
      <c r="J33" s="12"/>
      <c r="K33" s="3">
        <f t="shared" si="0"/>
        <v>1</v>
      </c>
    </row>
    <row r="34" spans="1:11" ht="96" x14ac:dyDescent="0.25">
      <c r="A34" s="5">
        <v>32</v>
      </c>
      <c r="B34" s="6">
        <v>32121610</v>
      </c>
      <c r="C34" s="6" t="s">
        <v>76</v>
      </c>
      <c r="D34" s="7" t="s">
        <v>18</v>
      </c>
      <c r="E34" s="7" t="s">
        <v>77</v>
      </c>
      <c r="F34" s="6">
        <v>5</v>
      </c>
      <c r="G34" s="3"/>
      <c r="H34" s="10"/>
      <c r="I34" s="12"/>
      <c r="J34" s="12"/>
      <c r="K34" s="3">
        <f t="shared" si="0"/>
        <v>5</v>
      </c>
    </row>
    <row r="35" spans="1:11" ht="36" x14ac:dyDescent="0.25">
      <c r="A35" s="5">
        <v>33</v>
      </c>
      <c r="B35" s="6">
        <v>32121610</v>
      </c>
      <c r="C35" s="6" t="s">
        <v>78</v>
      </c>
      <c r="D35" s="7" t="s">
        <v>18</v>
      </c>
      <c r="E35" s="7" t="s">
        <v>79</v>
      </c>
      <c r="F35" s="6">
        <v>5</v>
      </c>
      <c r="G35" s="3"/>
      <c r="H35" s="10"/>
      <c r="I35" s="12"/>
      <c r="J35" s="12">
        <v>5</v>
      </c>
      <c r="K35" s="3">
        <f t="shared" ref="K35:K66" si="1">F35-G35-H35-I35</f>
        <v>5</v>
      </c>
    </row>
    <row r="36" spans="1:11" ht="48" x14ac:dyDescent="0.25">
      <c r="A36" s="5">
        <v>34</v>
      </c>
      <c r="B36" s="6">
        <v>23153139</v>
      </c>
      <c r="C36" s="6" t="s">
        <v>80</v>
      </c>
      <c r="D36" s="7" t="s">
        <v>21</v>
      </c>
      <c r="E36" s="7" t="s">
        <v>81</v>
      </c>
      <c r="F36" s="6">
        <v>1</v>
      </c>
      <c r="G36" s="3"/>
      <c r="H36" s="10"/>
      <c r="I36" s="12"/>
      <c r="J36" s="12"/>
      <c r="K36" s="3">
        <f t="shared" si="1"/>
        <v>1</v>
      </c>
    </row>
    <row r="37" spans="1:11" ht="84" x14ac:dyDescent="0.25">
      <c r="A37" s="5">
        <v>35</v>
      </c>
      <c r="B37" s="6">
        <v>32121610</v>
      </c>
      <c r="C37" s="6" t="s">
        <v>82</v>
      </c>
      <c r="D37" s="7" t="s">
        <v>21</v>
      </c>
      <c r="E37" s="7" t="s">
        <v>82</v>
      </c>
      <c r="F37" s="6">
        <v>5</v>
      </c>
      <c r="G37" s="3"/>
      <c r="H37" s="10"/>
      <c r="I37" s="12"/>
      <c r="J37" s="12"/>
      <c r="K37" s="3">
        <f t="shared" si="1"/>
        <v>5</v>
      </c>
    </row>
    <row r="38" spans="1:11" ht="48" x14ac:dyDescent="0.25">
      <c r="A38" s="5">
        <v>36</v>
      </c>
      <c r="B38" s="6">
        <v>41111629</v>
      </c>
      <c r="C38" s="6" t="s">
        <v>83</v>
      </c>
      <c r="D38" s="7" t="s">
        <v>18</v>
      </c>
      <c r="E38" s="7" t="s">
        <v>84</v>
      </c>
      <c r="F38" s="6">
        <v>1</v>
      </c>
      <c r="G38" s="3">
        <v>1</v>
      </c>
      <c r="H38" s="10"/>
      <c r="I38" s="12"/>
      <c r="J38" s="12"/>
      <c r="K38" s="3">
        <f t="shared" si="1"/>
        <v>0</v>
      </c>
    </row>
    <row r="39" spans="1:11" ht="48" x14ac:dyDescent="0.25">
      <c r="A39" s="5">
        <v>37</v>
      </c>
      <c r="B39" s="6">
        <v>32121610</v>
      </c>
      <c r="C39" s="6" t="s">
        <v>85</v>
      </c>
      <c r="D39" s="7" t="s">
        <v>86</v>
      </c>
      <c r="E39" s="7" t="s">
        <v>87</v>
      </c>
      <c r="F39" s="6">
        <v>1</v>
      </c>
      <c r="G39" s="3">
        <v>1</v>
      </c>
      <c r="H39" s="10"/>
      <c r="I39" s="12"/>
      <c r="J39" s="12"/>
      <c r="K39" s="3">
        <f t="shared" si="1"/>
        <v>0</v>
      </c>
    </row>
    <row r="40" spans="1:11" ht="156" x14ac:dyDescent="0.25">
      <c r="A40" s="5">
        <v>38</v>
      </c>
      <c r="B40" s="6">
        <v>32121610</v>
      </c>
      <c r="C40" s="6" t="s">
        <v>88</v>
      </c>
      <c r="D40" s="7" t="s">
        <v>21</v>
      </c>
      <c r="E40" s="7" t="s">
        <v>89</v>
      </c>
      <c r="F40" s="6">
        <v>1</v>
      </c>
      <c r="G40" s="3"/>
      <c r="H40" s="10"/>
      <c r="I40" s="12"/>
      <c r="J40" s="12"/>
      <c r="K40" s="3">
        <f t="shared" si="1"/>
        <v>1</v>
      </c>
    </row>
    <row r="41" spans="1:11" x14ac:dyDescent="0.25">
      <c r="A41" s="5">
        <v>39</v>
      </c>
      <c r="B41" s="6">
        <v>40101818</v>
      </c>
      <c r="C41" s="6" t="s">
        <v>90</v>
      </c>
      <c r="D41" s="7" t="s">
        <v>21</v>
      </c>
      <c r="E41" s="7" t="s">
        <v>86</v>
      </c>
      <c r="F41" s="6">
        <v>6</v>
      </c>
      <c r="G41" s="3"/>
      <c r="H41" s="10"/>
      <c r="I41" s="12"/>
      <c r="J41" s="12">
        <v>6</v>
      </c>
      <c r="K41" s="3">
        <f t="shared" si="1"/>
        <v>6</v>
      </c>
    </row>
    <row r="42" spans="1:11" ht="48" x14ac:dyDescent="0.25">
      <c r="A42" s="5">
        <v>40</v>
      </c>
      <c r="B42" s="6">
        <v>39121009</v>
      </c>
      <c r="C42" s="6" t="s">
        <v>91</v>
      </c>
      <c r="D42" s="7" t="s">
        <v>86</v>
      </c>
      <c r="E42" s="7" t="s">
        <v>86</v>
      </c>
      <c r="F42" s="6">
        <v>1</v>
      </c>
      <c r="G42" s="3"/>
      <c r="H42" s="10"/>
      <c r="I42" s="12"/>
      <c r="J42" s="12"/>
      <c r="K42" s="3">
        <f t="shared" si="1"/>
        <v>1</v>
      </c>
    </row>
    <row r="43" spans="1:11" x14ac:dyDescent="0.25">
      <c r="A43" s="5">
        <v>41</v>
      </c>
      <c r="B43" s="6">
        <v>95121632</v>
      </c>
      <c r="C43" s="6" t="s">
        <v>92</v>
      </c>
      <c r="D43" s="7" t="s">
        <v>21</v>
      </c>
      <c r="E43" s="7" t="s">
        <v>93</v>
      </c>
      <c r="F43" s="6">
        <v>1</v>
      </c>
      <c r="G43" s="3">
        <v>1</v>
      </c>
      <c r="H43" s="10"/>
      <c r="I43" s="12"/>
      <c r="J43" s="12"/>
      <c r="K43" s="3">
        <f t="shared" si="1"/>
        <v>0</v>
      </c>
    </row>
    <row r="44" spans="1:11" x14ac:dyDescent="0.25">
      <c r="A44" s="5">
        <v>42</v>
      </c>
      <c r="B44" s="6">
        <v>31381126</v>
      </c>
      <c r="C44" s="6" t="s">
        <v>94</v>
      </c>
      <c r="D44" s="7" t="s">
        <v>21</v>
      </c>
      <c r="E44" s="7" t="s">
        <v>95</v>
      </c>
      <c r="F44" s="6">
        <v>5</v>
      </c>
      <c r="G44" s="3"/>
      <c r="H44" s="10"/>
      <c r="I44" s="12"/>
      <c r="J44" s="12"/>
      <c r="K44" s="3">
        <f t="shared" si="1"/>
        <v>5</v>
      </c>
    </row>
    <row r="45" spans="1:11" hidden="1" x14ac:dyDescent="0.25">
      <c r="A45" s="5">
        <v>43</v>
      </c>
      <c r="B45" s="6">
        <v>60121811</v>
      </c>
      <c r="C45" s="6" t="s">
        <v>96</v>
      </c>
      <c r="D45" s="7" t="s">
        <v>97</v>
      </c>
      <c r="E45" s="7" t="s">
        <v>98</v>
      </c>
      <c r="F45" s="14">
        <v>0</v>
      </c>
      <c r="G45" s="3"/>
      <c r="H45" s="10"/>
      <c r="I45" s="12"/>
      <c r="J45" s="12"/>
      <c r="K45" s="3">
        <f t="shared" si="1"/>
        <v>0</v>
      </c>
    </row>
    <row r="46" spans="1:11" hidden="1" x14ac:dyDescent="0.25">
      <c r="A46" s="5">
        <v>44</v>
      </c>
      <c r="B46" s="6">
        <v>13111042</v>
      </c>
      <c r="C46" s="6" t="s">
        <v>99</v>
      </c>
      <c r="D46" s="7" t="s">
        <v>21</v>
      </c>
      <c r="E46" s="7" t="s">
        <v>100</v>
      </c>
      <c r="F46" s="14">
        <v>0</v>
      </c>
      <c r="G46" s="3"/>
      <c r="H46" s="10"/>
      <c r="I46" s="12"/>
      <c r="J46" s="12"/>
      <c r="K46" s="3">
        <f t="shared" si="1"/>
        <v>0</v>
      </c>
    </row>
    <row r="47" spans="1:11" hidden="1" x14ac:dyDescent="0.25">
      <c r="A47" s="5">
        <v>45</v>
      </c>
      <c r="B47" s="6">
        <v>47131805</v>
      </c>
      <c r="C47" s="6" t="s">
        <v>101</v>
      </c>
      <c r="D47" s="7" t="s">
        <v>97</v>
      </c>
      <c r="E47" s="7" t="s">
        <v>98</v>
      </c>
      <c r="F47" s="14">
        <v>0</v>
      </c>
      <c r="G47" s="3"/>
      <c r="H47" s="10"/>
      <c r="I47" s="12"/>
      <c r="J47" s="12"/>
      <c r="K47" s="3">
        <f t="shared" si="1"/>
        <v>0</v>
      </c>
    </row>
    <row r="48" spans="1:11" hidden="1" x14ac:dyDescent="0.25">
      <c r="A48" s="5">
        <v>46</v>
      </c>
      <c r="B48" s="6">
        <v>11121503</v>
      </c>
      <c r="C48" s="6" t="s">
        <v>102</v>
      </c>
      <c r="D48" s="7" t="s">
        <v>97</v>
      </c>
      <c r="E48" s="7" t="s">
        <v>98</v>
      </c>
      <c r="F48" s="14">
        <v>0</v>
      </c>
      <c r="G48" s="3"/>
      <c r="H48" s="10"/>
      <c r="I48" s="12"/>
      <c r="J48" s="12"/>
      <c r="K48" s="3">
        <f t="shared" si="1"/>
        <v>0</v>
      </c>
    </row>
    <row r="49" spans="1:12" x14ac:dyDescent="0.25">
      <c r="A49" s="5">
        <v>47</v>
      </c>
      <c r="B49" s="6">
        <v>44103125</v>
      </c>
      <c r="C49" s="6" t="s">
        <v>103</v>
      </c>
      <c r="D49" s="7" t="s">
        <v>21</v>
      </c>
      <c r="E49" s="7" t="s">
        <v>104</v>
      </c>
      <c r="F49" s="6">
        <v>1</v>
      </c>
      <c r="G49" s="3">
        <v>1</v>
      </c>
      <c r="H49" s="10"/>
      <c r="I49" s="12"/>
      <c r="J49" s="12"/>
      <c r="K49" s="3">
        <f t="shared" si="1"/>
        <v>0</v>
      </c>
    </row>
    <row r="50" spans="1:12" x14ac:dyDescent="0.25">
      <c r="A50" s="5">
        <v>48</v>
      </c>
      <c r="B50" s="6">
        <v>56111704</v>
      </c>
      <c r="C50" s="6" t="s">
        <v>105</v>
      </c>
      <c r="D50" s="7" t="s">
        <v>21</v>
      </c>
      <c r="E50" s="7" t="s">
        <v>93</v>
      </c>
      <c r="F50" s="6">
        <v>3</v>
      </c>
      <c r="G50" s="3"/>
      <c r="H50" s="10"/>
      <c r="I50" s="12"/>
      <c r="J50" s="12"/>
      <c r="K50" s="3">
        <f t="shared" si="1"/>
        <v>3</v>
      </c>
    </row>
    <row r="51" spans="1:12" x14ac:dyDescent="0.25">
      <c r="A51" s="5">
        <v>49</v>
      </c>
      <c r="B51" s="6">
        <v>13111016</v>
      </c>
      <c r="C51" s="6" t="s">
        <v>106</v>
      </c>
      <c r="D51" s="7" t="s">
        <v>21</v>
      </c>
      <c r="E51" s="7" t="s">
        <v>93</v>
      </c>
      <c r="F51" s="6">
        <v>10</v>
      </c>
      <c r="G51" s="3"/>
      <c r="H51" s="10"/>
      <c r="I51" s="12"/>
      <c r="J51" s="12">
        <v>10</v>
      </c>
      <c r="K51" s="3">
        <f t="shared" si="1"/>
        <v>10</v>
      </c>
    </row>
    <row r="52" spans="1:12" x14ac:dyDescent="0.25">
      <c r="A52" s="5">
        <v>50</v>
      </c>
      <c r="B52" s="6">
        <v>27112120</v>
      </c>
      <c r="C52" s="6" t="s">
        <v>107</v>
      </c>
      <c r="D52" s="7" t="s">
        <v>37</v>
      </c>
      <c r="E52" s="7" t="s">
        <v>108</v>
      </c>
      <c r="F52" s="6">
        <v>1</v>
      </c>
      <c r="G52" s="3"/>
      <c r="H52" s="10"/>
      <c r="I52" s="12"/>
      <c r="J52" s="12"/>
      <c r="K52" s="3">
        <f t="shared" si="1"/>
        <v>1</v>
      </c>
    </row>
    <row r="53" spans="1:12" x14ac:dyDescent="0.25">
      <c r="A53" s="5">
        <v>51</v>
      </c>
      <c r="B53" s="6">
        <v>42231505</v>
      </c>
      <c r="C53" s="6" t="s">
        <v>109</v>
      </c>
      <c r="D53" s="7" t="s">
        <v>21</v>
      </c>
      <c r="E53" s="7" t="s">
        <v>93</v>
      </c>
      <c r="F53" s="6">
        <v>1</v>
      </c>
      <c r="G53" s="3"/>
      <c r="H53" s="10">
        <v>1</v>
      </c>
      <c r="I53" s="12"/>
      <c r="J53" s="12"/>
      <c r="K53" s="3">
        <f t="shared" si="1"/>
        <v>0</v>
      </c>
    </row>
    <row r="54" spans="1:12" x14ac:dyDescent="0.25">
      <c r="A54" s="5">
        <v>52</v>
      </c>
      <c r="B54" s="6">
        <v>39121635</v>
      </c>
      <c r="C54" s="6" t="s">
        <v>110</v>
      </c>
      <c r="D54" s="7" t="s">
        <v>21</v>
      </c>
      <c r="E54" s="7" t="s">
        <v>111</v>
      </c>
      <c r="F54" s="6">
        <v>3</v>
      </c>
      <c r="G54" s="3"/>
      <c r="H54" s="10"/>
      <c r="I54" s="12"/>
      <c r="J54" s="12"/>
      <c r="K54" s="3">
        <f t="shared" si="1"/>
        <v>3</v>
      </c>
    </row>
    <row r="55" spans="1:12" x14ac:dyDescent="0.25">
      <c r="A55" s="5">
        <v>53</v>
      </c>
      <c r="B55" s="6">
        <v>23151607</v>
      </c>
      <c r="C55" s="6" t="s">
        <v>112</v>
      </c>
      <c r="D55" s="7" t="s">
        <v>21</v>
      </c>
      <c r="E55" s="7" t="s">
        <v>111</v>
      </c>
      <c r="F55" s="6">
        <v>1</v>
      </c>
      <c r="G55" s="3"/>
      <c r="H55" s="10"/>
      <c r="I55" s="12"/>
      <c r="J55" s="12">
        <v>1</v>
      </c>
      <c r="K55" s="3">
        <f t="shared" si="1"/>
        <v>1</v>
      </c>
    </row>
    <row r="56" spans="1:12" x14ac:dyDescent="0.25">
      <c r="A56" s="5">
        <v>54</v>
      </c>
      <c r="B56" s="6">
        <v>311622</v>
      </c>
      <c r="C56" s="6" t="s">
        <v>113</v>
      </c>
      <c r="D56" s="7" t="s">
        <v>21</v>
      </c>
      <c r="E56" s="7" t="s">
        <v>111</v>
      </c>
      <c r="F56" s="6">
        <v>50</v>
      </c>
      <c r="G56" s="3"/>
      <c r="H56" s="10"/>
      <c r="I56" s="12"/>
      <c r="J56" s="12"/>
      <c r="K56" s="3">
        <f t="shared" si="1"/>
        <v>50</v>
      </c>
    </row>
    <row r="57" spans="1:12" x14ac:dyDescent="0.25">
      <c r="A57" s="5">
        <v>55</v>
      </c>
      <c r="B57" s="6">
        <v>31162403</v>
      </c>
      <c r="C57" s="6" t="s">
        <v>114</v>
      </c>
      <c r="D57" s="7" t="s">
        <v>115</v>
      </c>
      <c r="E57" s="7" t="s">
        <v>116</v>
      </c>
      <c r="F57" s="6">
        <v>10</v>
      </c>
      <c r="G57" s="3"/>
      <c r="H57" s="10">
        <v>6</v>
      </c>
      <c r="I57" s="12"/>
      <c r="J57" s="12">
        <v>4</v>
      </c>
      <c r="K57" s="3">
        <f t="shared" si="1"/>
        <v>4</v>
      </c>
      <c r="L57" s="4" t="s">
        <v>117</v>
      </c>
    </row>
    <row r="58" spans="1:12" x14ac:dyDescent="0.25">
      <c r="A58" s="5">
        <v>56</v>
      </c>
      <c r="B58" s="6">
        <v>13111016</v>
      </c>
      <c r="C58" s="6" t="s">
        <v>118</v>
      </c>
      <c r="D58" s="7" t="s">
        <v>21</v>
      </c>
      <c r="E58" s="7" t="s">
        <v>93</v>
      </c>
      <c r="F58" s="6">
        <v>2</v>
      </c>
      <c r="G58" s="3"/>
      <c r="H58" s="10"/>
      <c r="I58" s="12"/>
      <c r="J58" s="12">
        <v>2</v>
      </c>
      <c r="K58" s="3">
        <f t="shared" si="1"/>
        <v>2</v>
      </c>
    </row>
    <row r="59" spans="1:12" ht="24" x14ac:dyDescent="0.25">
      <c r="A59" s="5">
        <v>57</v>
      </c>
      <c r="B59" s="6">
        <v>11121502</v>
      </c>
      <c r="C59" s="6" t="s">
        <v>119</v>
      </c>
      <c r="D59" s="7" t="s">
        <v>15</v>
      </c>
      <c r="E59" s="7" t="s">
        <v>120</v>
      </c>
      <c r="F59" s="6">
        <v>4</v>
      </c>
      <c r="G59" s="3"/>
      <c r="H59" s="10"/>
      <c r="I59" s="12"/>
      <c r="J59" s="12"/>
      <c r="K59" s="3">
        <f t="shared" si="1"/>
        <v>4</v>
      </c>
    </row>
    <row r="60" spans="1:12" ht="24" x14ac:dyDescent="0.25">
      <c r="A60" s="5">
        <v>58</v>
      </c>
      <c r="B60" s="6">
        <v>31162403</v>
      </c>
      <c r="C60" s="6" t="s">
        <v>121</v>
      </c>
      <c r="D60" s="7" t="s">
        <v>21</v>
      </c>
      <c r="E60" s="7" t="s">
        <v>111</v>
      </c>
      <c r="F60" s="6">
        <v>1</v>
      </c>
      <c r="G60" s="3">
        <v>1</v>
      </c>
      <c r="H60" s="10"/>
      <c r="I60" s="12"/>
      <c r="J60" s="12"/>
      <c r="K60" s="3">
        <f t="shared" si="1"/>
        <v>0</v>
      </c>
    </row>
    <row r="61" spans="1:12" ht="24" x14ac:dyDescent="0.25">
      <c r="A61" s="5">
        <v>59</v>
      </c>
      <c r="B61" s="6">
        <v>31161532</v>
      </c>
      <c r="C61" s="6" t="s">
        <v>122</v>
      </c>
      <c r="D61" s="7" t="s">
        <v>21</v>
      </c>
      <c r="E61" s="7" t="s">
        <v>111</v>
      </c>
      <c r="F61" s="6">
        <v>1</v>
      </c>
      <c r="G61" s="3"/>
      <c r="H61" s="10"/>
      <c r="I61" s="12"/>
      <c r="J61" s="12"/>
      <c r="K61" s="3">
        <f t="shared" si="1"/>
        <v>1</v>
      </c>
    </row>
    <row r="62" spans="1:12" x14ac:dyDescent="0.25">
      <c r="A62" s="5">
        <v>60</v>
      </c>
      <c r="B62" s="6">
        <v>31161722</v>
      </c>
      <c r="C62" s="6" t="s">
        <v>123</v>
      </c>
      <c r="D62" s="7" t="s">
        <v>21</v>
      </c>
      <c r="E62" s="7" t="s">
        <v>111</v>
      </c>
      <c r="F62" s="6">
        <v>1</v>
      </c>
      <c r="G62" s="3"/>
      <c r="H62" s="10"/>
      <c r="I62" s="12"/>
      <c r="J62" s="12"/>
      <c r="K62" s="3">
        <f t="shared" si="1"/>
        <v>1</v>
      </c>
    </row>
    <row r="63" spans="1:12" ht="24" x14ac:dyDescent="0.25">
      <c r="A63" s="5">
        <v>61</v>
      </c>
      <c r="B63" s="6">
        <v>31161532</v>
      </c>
      <c r="C63" s="6" t="s">
        <v>124</v>
      </c>
      <c r="D63" s="7" t="s">
        <v>21</v>
      </c>
      <c r="E63" s="7" t="s">
        <v>111</v>
      </c>
      <c r="F63" s="6">
        <v>1</v>
      </c>
      <c r="G63" s="3"/>
      <c r="H63" s="10"/>
      <c r="I63" s="12"/>
      <c r="J63" s="12"/>
      <c r="K63" s="3">
        <f t="shared" si="1"/>
        <v>1</v>
      </c>
    </row>
    <row r="64" spans="1:12" x14ac:dyDescent="0.25">
      <c r="A64" s="5">
        <v>62</v>
      </c>
      <c r="B64" s="6">
        <v>11101705</v>
      </c>
      <c r="C64" s="6" t="s">
        <v>125</v>
      </c>
      <c r="D64" s="7" t="s">
        <v>21</v>
      </c>
      <c r="E64" s="7" t="s">
        <v>111</v>
      </c>
      <c r="F64" s="6">
        <v>1</v>
      </c>
      <c r="G64" s="3"/>
      <c r="H64" s="10"/>
      <c r="I64" s="12"/>
      <c r="J64" s="12"/>
      <c r="K64" s="3">
        <f t="shared" si="1"/>
        <v>1</v>
      </c>
    </row>
    <row r="65" spans="1:11" ht="24" x14ac:dyDescent="0.25">
      <c r="A65" s="5">
        <v>63</v>
      </c>
      <c r="B65" s="6">
        <v>31162802</v>
      </c>
      <c r="C65" s="6" t="s">
        <v>126</v>
      </c>
      <c r="D65" s="7" t="s">
        <v>21</v>
      </c>
      <c r="E65" s="7" t="s">
        <v>127</v>
      </c>
      <c r="F65" s="6">
        <v>1</v>
      </c>
      <c r="G65" s="3"/>
      <c r="H65" s="10"/>
      <c r="I65" s="12"/>
      <c r="J65" s="12"/>
      <c r="K65" s="3">
        <f t="shared" si="1"/>
        <v>1</v>
      </c>
    </row>
    <row r="66" spans="1:11" x14ac:dyDescent="0.25">
      <c r="A66" s="5">
        <v>64</v>
      </c>
      <c r="B66" s="6">
        <v>503067</v>
      </c>
      <c r="C66" s="6" t="s">
        <v>128</v>
      </c>
      <c r="D66" s="7" t="s">
        <v>21</v>
      </c>
      <c r="E66" s="7" t="s">
        <v>111</v>
      </c>
      <c r="F66" s="6">
        <v>1</v>
      </c>
      <c r="G66" s="3"/>
      <c r="H66" s="10">
        <v>1</v>
      </c>
      <c r="I66" s="12"/>
      <c r="J66" s="12"/>
      <c r="K66" s="3">
        <f t="shared" si="1"/>
        <v>0</v>
      </c>
    </row>
    <row r="67" spans="1:11" x14ac:dyDescent="0.25">
      <c r="A67" s="5">
        <v>65</v>
      </c>
      <c r="B67" s="6">
        <v>503067</v>
      </c>
      <c r="C67" s="6" t="s">
        <v>129</v>
      </c>
      <c r="D67" s="7" t="s">
        <v>21</v>
      </c>
      <c r="E67" s="7" t="s">
        <v>111</v>
      </c>
      <c r="F67" s="6">
        <v>1</v>
      </c>
      <c r="G67" s="3"/>
      <c r="H67" s="10">
        <v>1</v>
      </c>
      <c r="I67" s="12"/>
      <c r="J67" s="12"/>
      <c r="K67" s="3">
        <f t="shared" ref="K67:K103" si="2">F67-G67-H67-I67</f>
        <v>0</v>
      </c>
    </row>
    <row r="68" spans="1:11" x14ac:dyDescent="0.25">
      <c r="A68" s="5">
        <v>66</v>
      </c>
      <c r="B68" s="6">
        <v>503067</v>
      </c>
      <c r="C68" s="6" t="s">
        <v>130</v>
      </c>
      <c r="D68" s="7" t="s">
        <v>21</v>
      </c>
      <c r="E68" s="7" t="s">
        <v>111</v>
      </c>
      <c r="F68" s="6">
        <v>1</v>
      </c>
      <c r="G68" s="3"/>
      <c r="H68" s="10"/>
      <c r="I68" s="12"/>
      <c r="J68" s="12"/>
      <c r="K68" s="3">
        <f t="shared" si="2"/>
        <v>1</v>
      </c>
    </row>
    <row r="69" spans="1:11" x14ac:dyDescent="0.25">
      <c r="A69" s="5">
        <v>67</v>
      </c>
      <c r="B69" s="6">
        <v>503067</v>
      </c>
      <c r="C69" s="6" t="s">
        <v>131</v>
      </c>
      <c r="D69" s="7" t="s">
        <v>21</v>
      </c>
      <c r="E69" s="7" t="s">
        <v>111</v>
      </c>
      <c r="F69" s="6">
        <v>1</v>
      </c>
      <c r="G69" s="3"/>
      <c r="H69" s="10">
        <v>1</v>
      </c>
      <c r="I69" s="12"/>
      <c r="J69" s="12"/>
      <c r="K69" s="3">
        <f t="shared" si="2"/>
        <v>0</v>
      </c>
    </row>
    <row r="70" spans="1:11" x14ac:dyDescent="0.25">
      <c r="A70" s="5">
        <v>68</v>
      </c>
      <c r="B70" s="6">
        <v>503067</v>
      </c>
      <c r="C70" s="6" t="s">
        <v>132</v>
      </c>
      <c r="D70" s="7" t="s">
        <v>21</v>
      </c>
      <c r="E70" s="7" t="s">
        <v>111</v>
      </c>
      <c r="F70" s="6">
        <v>1</v>
      </c>
      <c r="G70" s="3"/>
      <c r="H70" s="10">
        <v>1</v>
      </c>
      <c r="I70" s="12"/>
      <c r="J70" s="12"/>
      <c r="K70" s="3">
        <f t="shared" si="2"/>
        <v>0</v>
      </c>
    </row>
    <row r="71" spans="1:11" x14ac:dyDescent="0.25">
      <c r="A71" s="5">
        <v>69</v>
      </c>
      <c r="B71" s="6">
        <v>503067</v>
      </c>
      <c r="C71" s="6" t="s">
        <v>133</v>
      </c>
      <c r="D71" s="7" t="s">
        <v>21</v>
      </c>
      <c r="E71" s="7" t="s">
        <v>111</v>
      </c>
      <c r="F71" s="6">
        <v>1</v>
      </c>
      <c r="G71" s="3"/>
      <c r="H71" s="10">
        <v>1</v>
      </c>
      <c r="I71" s="12"/>
      <c r="J71" s="12"/>
      <c r="K71" s="3">
        <f t="shared" si="2"/>
        <v>0</v>
      </c>
    </row>
    <row r="72" spans="1:11" x14ac:dyDescent="0.25">
      <c r="A72" s="5">
        <v>70</v>
      </c>
      <c r="B72" s="6">
        <v>503067</v>
      </c>
      <c r="C72" s="6" t="s">
        <v>134</v>
      </c>
      <c r="D72" s="7" t="s">
        <v>21</v>
      </c>
      <c r="E72" s="7" t="s">
        <v>111</v>
      </c>
      <c r="F72" s="6">
        <v>1</v>
      </c>
      <c r="G72" s="3"/>
      <c r="H72" s="10">
        <v>1</v>
      </c>
      <c r="I72" s="12"/>
      <c r="J72" s="12"/>
      <c r="K72" s="3">
        <f t="shared" si="2"/>
        <v>0</v>
      </c>
    </row>
    <row r="73" spans="1:11" x14ac:dyDescent="0.25">
      <c r="A73" s="5">
        <v>71</v>
      </c>
      <c r="B73" s="6">
        <v>503067</v>
      </c>
      <c r="C73" s="6" t="s">
        <v>135</v>
      </c>
      <c r="D73" s="7" t="s">
        <v>21</v>
      </c>
      <c r="E73" s="7" t="s">
        <v>111</v>
      </c>
      <c r="F73" s="6">
        <v>1</v>
      </c>
      <c r="G73" s="3"/>
      <c r="H73" s="10">
        <v>1</v>
      </c>
      <c r="I73" s="12"/>
      <c r="J73" s="12"/>
      <c r="K73" s="3">
        <f t="shared" si="2"/>
        <v>0</v>
      </c>
    </row>
    <row r="74" spans="1:11" x14ac:dyDescent="0.25">
      <c r="A74" s="5">
        <v>72</v>
      </c>
      <c r="B74" s="6">
        <v>503068</v>
      </c>
      <c r="C74" s="6" t="s">
        <v>136</v>
      </c>
      <c r="D74" s="7" t="s">
        <v>21</v>
      </c>
      <c r="E74" s="7" t="s">
        <v>111</v>
      </c>
      <c r="F74" s="6">
        <v>1</v>
      </c>
      <c r="G74" s="3"/>
      <c r="H74" s="10">
        <v>1</v>
      </c>
      <c r="I74" s="12"/>
      <c r="J74" s="12"/>
      <c r="K74" s="3">
        <f t="shared" si="2"/>
        <v>0</v>
      </c>
    </row>
    <row r="75" spans="1:11" ht="24" x14ac:dyDescent="0.25">
      <c r="A75" s="5">
        <v>73</v>
      </c>
      <c r="B75" s="6">
        <v>13875</v>
      </c>
      <c r="C75" s="6" t="s">
        <v>137</v>
      </c>
      <c r="D75" s="7" t="s">
        <v>15</v>
      </c>
      <c r="E75" s="7" t="s">
        <v>138</v>
      </c>
      <c r="F75" s="6">
        <v>1</v>
      </c>
      <c r="G75" s="3"/>
      <c r="H75" s="10"/>
      <c r="I75" s="12">
        <v>1</v>
      </c>
      <c r="J75" s="12"/>
      <c r="K75" s="3">
        <f t="shared" si="2"/>
        <v>0</v>
      </c>
    </row>
    <row r="76" spans="1:11" ht="36" x14ac:dyDescent="0.25">
      <c r="A76" s="5">
        <v>74</v>
      </c>
      <c r="B76" s="6">
        <v>13875</v>
      </c>
      <c r="C76" s="6" t="s">
        <v>139</v>
      </c>
      <c r="D76" s="7" t="s">
        <v>140</v>
      </c>
      <c r="E76" s="7" t="s">
        <v>141</v>
      </c>
      <c r="F76" s="6">
        <v>1</v>
      </c>
      <c r="G76" s="3"/>
      <c r="H76" s="10"/>
      <c r="I76" s="12">
        <v>1</v>
      </c>
      <c r="J76" s="12"/>
      <c r="K76" s="3">
        <f t="shared" si="2"/>
        <v>0</v>
      </c>
    </row>
    <row r="77" spans="1:11" ht="24" x14ac:dyDescent="0.25">
      <c r="A77" s="5">
        <v>75</v>
      </c>
      <c r="B77" s="6">
        <v>13875</v>
      </c>
      <c r="C77" s="6" t="s">
        <v>142</v>
      </c>
      <c r="D77" s="7" t="s">
        <v>15</v>
      </c>
      <c r="E77" s="7" t="s">
        <v>143</v>
      </c>
      <c r="F77" s="6">
        <v>1</v>
      </c>
      <c r="G77" s="3"/>
      <c r="H77" s="10"/>
      <c r="I77" s="12">
        <v>1</v>
      </c>
      <c r="J77" s="12"/>
      <c r="K77" s="3">
        <f t="shared" si="2"/>
        <v>0</v>
      </c>
    </row>
    <row r="78" spans="1:11" ht="24" x14ac:dyDescent="0.25">
      <c r="A78" s="5">
        <v>76</v>
      </c>
      <c r="B78" s="6">
        <v>13875</v>
      </c>
      <c r="C78" s="6" t="s">
        <v>144</v>
      </c>
      <c r="D78" s="7" t="s">
        <v>15</v>
      </c>
      <c r="E78" s="7" t="s">
        <v>145</v>
      </c>
      <c r="F78" s="6">
        <v>1</v>
      </c>
      <c r="G78" s="3"/>
      <c r="H78" s="10"/>
      <c r="I78" s="12">
        <v>1</v>
      </c>
      <c r="J78" s="12"/>
      <c r="K78" s="3">
        <f t="shared" si="2"/>
        <v>0</v>
      </c>
    </row>
    <row r="79" spans="1:11" x14ac:dyDescent="0.25">
      <c r="A79" s="5">
        <v>77</v>
      </c>
      <c r="B79" s="6">
        <v>13875</v>
      </c>
      <c r="C79" s="6" t="s">
        <v>146</v>
      </c>
      <c r="D79" s="7" t="s">
        <v>15</v>
      </c>
      <c r="E79" s="7" t="s">
        <v>145</v>
      </c>
      <c r="F79" s="6">
        <v>1</v>
      </c>
      <c r="G79" s="3"/>
      <c r="H79" s="10"/>
      <c r="I79" s="12"/>
      <c r="J79" s="12"/>
      <c r="K79" s="3">
        <f t="shared" si="2"/>
        <v>1</v>
      </c>
    </row>
    <row r="80" spans="1:11" ht="24" x14ac:dyDescent="0.25">
      <c r="A80" s="5">
        <v>78</v>
      </c>
      <c r="B80" s="6">
        <v>13875</v>
      </c>
      <c r="C80" s="6" t="s">
        <v>147</v>
      </c>
      <c r="D80" s="7" t="s">
        <v>15</v>
      </c>
      <c r="E80" s="7" t="s">
        <v>148</v>
      </c>
      <c r="F80" s="6">
        <v>1</v>
      </c>
      <c r="G80" s="3"/>
      <c r="H80" s="10"/>
      <c r="I80" s="12">
        <v>1</v>
      </c>
      <c r="J80" s="12"/>
      <c r="K80" s="3">
        <f t="shared" si="2"/>
        <v>0</v>
      </c>
    </row>
    <row r="81" spans="1:11" ht="24" x14ac:dyDescent="0.25">
      <c r="A81" s="5">
        <v>79</v>
      </c>
      <c r="B81" s="6">
        <v>13875</v>
      </c>
      <c r="C81" s="6" t="s">
        <v>149</v>
      </c>
      <c r="D81" s="7" t="s">
        <v>15</v>
      </c>
      <c r="E81" s="7" t="s">
        <v>150</v>
      </c>
      <c r="F81" s="6">
        <v>1</v>
      </c>
      <c r="G81" s="3"/>
      <c r="H81" s="10"/>
      <c r="I81" s="12">
        <v>1</v>
      </c>
      <c r="J81" s="12"/>
      <c r="K81" s="3">
        <f t="shared" si="2"/>
        <v>0</v>
      </c>
    </row>
    <row r="82" spans="1:11" ht="24" x14ac:dyDescent="0.25">
      <c r="A82" s="5">
        <v>80</v>
      </c>
      <c r="B82" s="6">
        <v>13875</v>
      </c>
      <c r="C82" s="6" t="s">
        <v>151</v>
      </c>
      <c r="D82" s="7" t="s">
        <v>15</v>
      </c>
      <c r="E82" s="7" t="s">
        <v>145</v>
      </c>
      <c r="F82" s="6">
        <v>1</v>
      </c>
      <c r="G82" s="3"/>
      <c r="H82" s="10"/>
      <c r="I82" s="12">
        <v>1</v>
      </c>
      <c r="J82" s="12"/>
      <c r="K82" s="3">
        <f t="shared" si="2"/>
        <v>0</v>
      </c>
    </row>
    <row r="83" spans="1:11" ht="24" x14ac:dyDescent="0.25">
      <c r="A83" s="5">
        <v>81</v>
      </c>
      <c r="B83" s="6">
        <v>39121606</v>
      </c>
      <c r="C83" s="6" t="s">
        <v>152</v>
      </c>
      <c r="D83" s="7" t="s">
        <v>21</v>
      </c>
      <c r="E83" s="7" t="s">
        <v>93</v>
      </c>
      <c r="F83" s="6">
        <v>1</v>
      </c>
      <c r="G83" s="3"/>
      <c r="H83" s="10"/>
      <c r="I83" s="12"/>
      <c r="J83" s="12"/>
      <c r="K83" s="3">
        <f t="shared" si="2"/>
        <v>1</v>
      </c>
    </row>
    <row r="84" spans="1:11" ht="108" x14ac:dyDescent="0.25">
      <c r="A84" s="5">
        <v>82</v>
      </c>
      <c r="B84" s="6">
        <v>232615</v>
      </c>
      <c r="C84" s="6" t="s">
        <v>153</v>
      </c>
      <c r="D84" s="7" t="s">
        <v>21</v>
      </c>
      <c r="E84" s="7" t="s">
        <v>154</v>
      </c>
      <c r="F84" s="6">
        <v>1</v>
      </c>
      <c r="G84" s="3"/>
      <c r="H84" s="10"/>
      <c r="I84" s="12"/>
      <c r="J84" s="12"/>
      <c r="K84" s="3">
        <f t="shared" si="2"/>
        <v>1</v>
      </c>
    </row>
    <row r="85" spans="1:11" x14ac:dyDescent="0.25">
      <c r="A85" s="5">
        <v>83</v>
      </c>
      <c r="B85" s="6">
        <v>43212107</v>
      </c>
      <c r="C85" s="6" t="s">
        <v>155</v>
      </c>
      <c r="D85" s="7" t="s">
        <v>21</v>
      </c>
      <c r="E85" s="7" t="s">
        <v>93</v>
      </c>
      <c r="F85" s="6">
        <v>1</v>
      </c>
      <c r="G85" s="3">
        <v>1</v>
      </c>
      <c r="H85" s="10"/>
      <c r="I85" s="12"/>
      <c r="J85" s="12"/>
      <c r="K85" s="3">
        <f t="shared" si="2"/>
        <v>0</v>
      </c>
    </row>
    <row r="86" spans="1:11" ht="48" hidden="1" x14ac:dyDescent="0.25">
      <c r="A86" s="5">
        <v>84</v>
      </c>
      <c r="B86" s="6">
        <v>53141600</v>
      </c>
      <c r="C86" s="6" t="s">
        <v>156</v>
      </c>
      <c r="D86" s="7" t="s">
        <v>21</v>
      </c>
      <c r="E86" s="7" t="s">
        <v>93</v>
      </c>
      <c r="F86" s="14">
        <v>0</v>
      </c>
      <c r="G86" s="3"/>
      <c r="H86" s="10"/>
      <c r="I86" s="12"/>
      <c r="J86" s="12"/>
      <c r="K86" s="3">
        <f t="shared" si="2"/>
        <v>0</v>
      </c>
    </row>
    <row r="87" spans="1:11" ht="36" hidden="1" x14ac:dyDescent="0.25">
      <c r="A87" s="5">
        <v>85</v>
      </c>
      <c r="B87" s="6">
        <v>53141606</v>
      </c>
      <c r="C87" s="6" t="s">
        <v>157</v>
      </c>
      <c r="D87" s="7" t="s">
        <v>21</v>
      </c>
      <c r="E87" s="7" t="s">
        <v>93</v>
      </c>
      <c r="F87" s="14">
        <v>0</v>
      </c>
      <c r="G87" s="3"/>
      <c r="H87" s="10"/>
      <c r="I87" s="12"/>
      <c r="J87" s="12"/>
      <c r="K87" s="3">
        <f t="shared" si="2"/>
        <v>0</v>
      </c>
    </row>
    <row r="88" spans="1:11" ht="36" hidden="1" x14ac:dyDescent="0.25">
      <c r="A88" s="5">
        <v>86</v>
      </c>
      <c r="B88" s="6">
        <v>53141606</v>
      </c>
      <c r="C88" s="6" t="s">
        <v>158</v>
      </c>
      <c r="D88" s="7" t="s">
        <v>21</v>
      </c>
      <c r="E88" s="7" t="s">
        <v>93</v>
      </c>
      <c r="F88" s="14">
        <v>0</v>
      </c>
      <c r="G88" s="3"/>
      <c r="H88" s="10"/>
      <c r="I88" s="12"/>
      <c r="J88" s="12"/>
      <c r="K88" s="3">
        <f t="shared" si="2"/>
        <v>0</v>
      </c>
    </row>
    <row r="89" spans="1:11" ht="48" hidden="1" x14ac:dyDescent="0.25">
      <c r="A89" s="5">
        <v>87</v>
      </c>
      <c r="B89" s="6">
        <v>53141620</v>
      </c>
      <c r="C89" s="6" t="s">
        <v>159</v>
      </c>
      <c r="D89" s="7" t="s">
        <v>21</v>
      </c>
      <c r="E89" s="7" t="s">
        <v>93</v>
      </c>
      <c r="F89" s="14">
        <v>0</v>
      </c>
      <c r="G89" s="3"/>
      <c r="H89" s="10"/>
      <c r="I89" s="12"/>
      <c r="J89" s="12"/>
      <c r="K89" s="3">
        <f t="shared" si="2"/>
        <v>0</v>
      </c>
    </row>
    <row r="90" spans="1:11" ht="36" hidden="1" x14ac:dyDescent="0.25">
      <c r="A90" s="5">
        <v>88</v>
      </c>
      <c r="B90" s="6">
        <v>53141620</v>
      </c>
      <c r="C90" s="6" t="s">
        <v>160</v>
      </c>
      <c r="D90" s="7" t="s">
        <v>21</v>
      </c>
      <c r="E90" s="7" t="s">
        <v>93</v>
      </c>
      <c r="F90" s="14">
        <v>0</v>
      </c>
      <c r="G90" s="3"/>
      <c r="H90" s="10"/>
      <c r="I90" s="12"/>
      <c r="J90" s="12"/>
      <c r="K90" s="3">
        <f t="shared" si="2"/>
        <v>0</v>
      </c>
    </row>
    <row r="91" spans="1:11" ht="24" hidden="1" x14ac:dyDescent="0.25">
      <c r="A91" s="5">
        <v>89</v>
      </c>
      <c r="B91" s="6">
        <v>53141600</v>
      </c>
      <c r="C91" s="6" t="s">
        <v>161</v>
      </c>
      <c r="D91" s="7" t="s">
        <v>21</v>
      </c>
      <c r="E91" s="7" t="s">
        <v>93</v>
      </c>
      <c r="F91" s="14">
        <v>0</v>
      </c>
      <c r="G91" s="3"/>
      <c r="H91" s="10"/>
      <c r="I91" s="12"/>
      <c r="J91" s="12"/>
      <c r="K91" s="3">
        <f t="shared" si="2"/>
        <v>0</v>
      </c>
    </row>
    <row r="92" spans="1:11" ht="24" hidden="1" x14ac:dyDescent="0.25">
      <c r="A92" s="5">
        <v>90</v>
      </c>
      <c r="B92" s="6">
        <v>53141600</v>
      </c>
      <c r="C92" s="6" t="s">
        <v>162</v>
      </c>
      <c r="D92" s="7" t="s">
        <v>21</v>
      </c>
      <c r="E92" s="7" t="s">
        <v>93</v>
      </c>
      <c r="F92" s="14">
        <v>0</v>
      </c>
      <c r="G92" s="3"/>
      <c r="H92" s="10"/>
      <c r="I92" s="12"/>
      <c r="J92" s="12"/>
      <c r="K92" s="3">
        <f t="shared" si="2"/>
        <v>0</v>
      </c>
    </row>
    <row r="93" spans="1:11" ht="60" hidden="1" x14ac:dyDescent="0.25">
      <c r="A93" s="5">
        <v>91</v>
      </c>
      <c r="B93" s="6">
        <v>53141600</v>
      </c>
      <c r="C93" s="6" t="s">
        <v>163</v>
      </c>
      <c r="D93" s="7" t="s">
        <v>21</v>
      </c>
      <c r="E93" s="7" t="s">
        <v>93</v>
      </c>
      <c r="F93" s="14">
        <v>0</v>
      </c>
      <c r="G93" s="3"/>
      <c r="H93" s="10"/>
      <c r="I93" s="12"/>
      <c r="J93" s="12"/>
      <c r="K93" s="3">
        <f t="shared" si="2"/>
        <v>0</v>
      </c>
    </row>
    <row r="94" spans="1:11" hidden="1" x14ac:dyDescent="0.25">
      <c r="A94" s="5">
        <v>92</v>
      </c>
      <c r="B94" s="6">
        <v>53141600</v>
      </c>
      <c r="C94" s="6" t="s">
        <v>164</v>
      </c>
      <c r="D94" s="7" t="s">
        <v>21</v>
      </c>
      <c r="E94" s="7" t="s">
        <v>93</v>
      </c>
      <c r="F94" s="14">
        <v>0</v>
      </c>
      <c r="G94" s="3"/>
      <c r="H94" s="10"/>
      <c r="I94" s="12"/>
      <c r="J94" s="12"/>
      <c r="K94" s="3">
        <f t="shared" si="2"/>
        <v>0</v>
      </c>
    </row>
    <row r="95" spans="1:11" hidden="1" x14ac:dyDescent="0.25">
      <c r="A95" s="5">
        <v>93</v>
      </c>
      <c r="B95" s="6">
        <v>53141600</v>
      </c>
      <c r="C95" s="6" t="s">
        <v>165</v>
      </c>
      <c r="D95" s="7" t="s">
        <v>21</v>
      </c>
      <c r="E95" s="7" t="s">
        <v>93</v>
      </c>
      <c r="F95" s="14">
        <v>0</v>
      </c>
      <c r="G95" s="3"/>
      <c r="H95" s="10"/>
      <c r="I95" s="12"/>
      <c r="J95" s="12"/>
      <c r="K95" s="3">
        <f t="shared" si="2"/>
        <v>0</v>
      </c>
    </row>
    <row r="96" spans="1:11" ht="60" hidden="1" x14ac:dyDescent="0.25">
      <c r="A96" s="5">
        <v>94</v>
      </c>
      <c r="B96" s="6">
        <v>53141600</v>
      </c>
      <c r="C96" s="6" t="s">
        <v>166</v>
      </c>
      <c r="D96" s="7" t="s">
        <v>21</v>
      </c>
      <c r="E96" s="7" t="s">
        <v>93</v>
      </c>
      <c r="F96" s="14">
        <v>0</v>
      </c>
      <c r="G96" s="3"/>
      <c r="H96" s="10"/>
      <c r="I96" s="12"/>
      <c r="J96" s="12"/>
      <c r="K96" s="3">
        <f t="shared" si="2"/>
        <v>0</v>
      </c>
    </row>
    <row r="97" spans="1:11" ht="48" hidden="1" x14ac:dyDescent="0.25">
      <c r="A97" s="5">
        <v>95</v>
      </c>
      <c r="B97" s="6">
        <v>53141600</v>
      </c>
      <c r="C97" s="6" t="s">
        <v>167</v>
      </c>
      <c r="D97" s="7" t="s">
        <v>21</v>
      </c>
      <c r="E97" s="7" t="s">
        <v>93</v>
      </c>
      <c r="F97" s="14">
        <v>0</v>
      </c>
      <c r="G97" s="3"/>
      <c r="H97" s="10"/>
      <c r="I97" s="12"/>
      <c r="J97" s="12"/>
      <c r="K97" s="3">
        <f t="shared" si="2"/>
        <v>0</v>
      </c>
    </row>
    <row r="98" spans="1:11" ht="48" hidden="1" x14ac:dyDescent="0.25">
      <c r="A98" s="5">
        <v>96</v>
      </c>
      <c r="B98" s="6">
        <v>53141600</v>
      </c>
      <c r="C98" s="6" t="s">
        <v>168</v>
      </c>
      <c r="D98" s="7" t="s">
        <v>21</v>
      </c>
      <c r="E98" s="7" t="s">
        <v>93</v>
      </c>
      <c r="F98" s="14">
        <v>0</v>
      </c>
      <c r="G98" s="3"/>
      <c r="H98" s="10"/>
      <c r="I98" s="12"/>
      <c r="J98" s="12"/>
      <c r="K98" s="3">
        <f t="shared" si="2"/>
        <v>0</v>
      </c>
    </row>
    <row r="99" spans="1:11" ht="24" x14ac:dyDescent="0.25">
      <c r="A99" s="5">
        <v>97</v>
      </c>
      <c r="B99" s="6">
        <v>53141605</v>
      </c>
      <c r="C99" s="6" t="s">
        <v>169</v>
      </c>
      <c r="D99" s="7" t="s">
        <v>21</v>
      </c>
      <c r="E99" s="7" t="s">
        <v>93</v>
      </c>
      <c r="F99" s="6">
        <v>30</v>
      </c>
      <c r="G99" s="3"/>
      <c r="H99" s="10"/>
      <c r="I99" s="12"/>
      <c r="J99" s="12"/>
      <c r="K99" s="3">
        <f t="shared" si="2"/>
        <v>30</v>
      </c>
    </row>
    <row r="100" spans="1:11" ht="24" hidden="1" x14ac:dyDescent="0.25">
      <c r="A100" s="5">
        <v>98</v>
      </c>
      <c r="B100" s="6">
        <v>53141600</v>
      </c>
      <c r="C100" s="6" t="s">
        <v>170</v>
      </c>
      <c r="D100" s="7" t="s">
        <v>21</v>
      </c>
      <c r="E100" s="7" t="s">
        <v>93</v>
      </c>
      <c r="F100" s="14">
        <v>0</v>
      </c>
      <c r="G100" s="3"/>
      <c r="H100" s="10"/>
      <c r="I100" s="12"/>
      <c r="J100" s="12"/>
      <c r="K100" s="3">
        <f t="shared" si="2"/>
        <v>0</v>
      </c>
    </row>
    <row r="101" spans="1:11" ht="24" hidden="1" x14ac:dyDescent="0.25">
      <c r="A101" s="5">
        <v>99</v>
      </c>
      <c r="B101" s="6">
        <v>53141600</v>
      </c>
      <c r="C101" s="6" t="s">
        <v>171</v>
      </c>
      <c r="D101" s="7" t="s">
        <v>21</v>
      </c>
      <c r="E101" s="7" t="s">
        <v>93</v>
      </c>
      <c r="F101" s="14">
        <v>0</v>
      </c>
      <c r="G101" s="3"/>
      <c r="H101" s="10"/>
      <c r="I101" s="12"/>
      <c r="J101" s="12"/>
      <c r="K101" s="3">
        <f t="shared" si="2"/>
        <v>0</v>
      </c>
    </row>
    <row r="102" spans="1:11" ht="24" hidden="1" x14ac:dyDescent="0.25">
      <c r="A102" s="5">
        <v>100</v>
      </c>
      <c r="B102" s="6">
        <v>53141600</v>
      </c>
      <c r="C102" s="6" t="s">
        <v>172</v>
      </c>
      <c r="D102" s="7" t="s">
        <v>21</v>
      </c>
      <c r="E102" s="7" t="s">
        <v>93</v>
      </c>
      <c r="F102" s="14">
        <v>0</v>
      </c>
      <c r="G102" s="3"/>
      <c r="H102" s="10"/>
      <c r="I102" s="12"/>
      <c r="J102" s="12"/>
      <c r="K102" s="3">
        <f t="shared" si="2"/>
        <v>0</v>
      </c>
    </row>
    <row r="103" spans="1:11" hidden="1" x14ac:dyDescent="0.25">
      <c r="A103" s="5">
        <v>101</v>
      </c>
      <c r="B103" s="6">
        <v>53141600</v>
      </c>
      <c r="C103" s="6" t="s">
        <v>173</v>
      </c>
      <c r="D103" s="7" t="s">
        <v>21</v>
      </c>
      <c r="E103" s="7" t="s">
        <v>93</v>
      </c>
      <c r="F103" s="14">
        <v>0</v>
      </c>
      <c r="G103" s="3"/>
      <c r="H103" s="10"/>
      <c r="I103" s="12"/>
      <c r="J103" s="12"/>
      <c r="K103" s="3">
        <f t="shared" si="2"/>
        <v>0</v>
      </c>
    </row>
  </sheetData>
  <autoFilter ref="A2:K103" xr:uid="{0A4E19B4-A3E8-44DA-B5CB-9874B1043E79}">
    <filterColumn colId="5">
      <filters>
        <filter val="1"/>
        <filter val="10"/>
        <filter val="2"/>
        <filter val="3"/>
        <filter val="30"/>
        <filter val="4"/>
        <filter val="5"/>
        <filter val="50"/>
        <filter val="6"/>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9290-5A7C-4F1B-ABC1-AE175D99BC06}">
  <dimension ref="A1:J66"/>
  <sheetViews>
    <sheetView workbookViewId="0">
      <selection activeCell="J3" sqref="J3"/>
    </sheetView>
  </sheetViews>
  <sheetFormatPr baseColWidth="10" defaultColWidth="8.88671875" defaultRowHeight="14.4" x14ac:dyDescent="0.3"/>
  <cols>
    <col min="2" max="2" width="10.33203125" bestFit="1" customWidth="1"/>
    <col min="3" max="3" width="16.44140625" customWidth="1"/>
    <col min="4" max="4" width="39.6640625" customWidth="1"/>
    <col min="7" max="7" width="11.6640625" customWidth="1"/>
  </cols>
  <sheetData>
    <row r="1" spans="1:10" ht="43.2" x14ac:dyDescent="0.3">
      <c r="A1" s="15" t="s">
        <v>0</v>
      </c>
      <c r="B1" s="15" t="s">
        <v>1</v>
      </c>
      <c r="C1" s="1" t="s">
        <v>2</v>
      </c>
      <c r="D1" s="16" t="s">
        <v>174</v>
      </c>
      <c r="E1" s="16"/>
      <c r="F1" s="17" t="s">
        <v>175</v>
      </c>
      <c r="G1" s="17" t="s">
        <v>4</v>
      </c>
      <c r="H1" s="15" t="s">
        <v>176</v>
      </c>
      <c r="J1" s="37" t="s">
        <v>177</v>
      </c>
    </row>
    <row r="2" spans="1:10" ht="69" x14ac:dyDescent="0.3">
      <c r="A2" s="18">
        <v>1</v>
      </c>
      <c r="B2" s="19" t="s">
        <v>178</v>
      </c>
      <c r="C2" s="6" t="s">
        <v>179</v>
      </c>
      <c r="D2" s="20" t="s">
        <v>180</v>
      </c>
      <c r="E2" s="20"/>
      <c r="F2" s="19" t="s">
        <v>181</v>
      </c>
      <c r="G2" s="19" t="s">
        <v>182</v>
      </c>
      <c r="H2" s="31">
        <v>4</v>
      </c>
    </row>
    <row r="3" spans="1:10" ht="345" x14ac:dyDescent="0.3">
      <c r="A3" s="18">
        <v>2</v>
      </c>
      <c r="B3" s="19" t="s">
        <v>183</v>
      </c>
      <c r="C3" s="6" t="s">
        <v>184</v>
      </c>
      <c r="D3" s="20" t="s">
        <v>185</v>
      </c>
      <c r="E3" s="20"/>
      <c r="F3" s="19" t="s">
        <v>186</v>
      </c>
      <c r="G3" s="19" t="s">
        <v>182</v>
      </c>
      <c r="H3" s="31">
        <v>1</v>
      </c>
    </row>
    <row r="4" spans="1:10" ht="207" x14ac:dyDescent="0.3">
      <c r="A4" s="18">
        <v>3</v>
      </c>
      <c r="B4" s="19" t="s">
        <v>187</v>
      </c>
      <c r="C4" s="6" t="s">
        <v>188</v>
      </c>
      <c r="D4" s="20" t="s">
        <v>189</v>
      </c>
      <c r="E4" s="20"/>
      <c r="F4" s="19" t="s">
        <v>190</v>
      </c>
      <c r="G4" s="19" t="s">
        <v>190</v>
      </c>
      <c r="H4" s="31">
        <v>1</v>
      </c>
    </row>
    <row r="5" spans="1:10" ht="110.4" x14ac:dyDescent="0.3">
      <c r="A5" s="18">
        <v>4</v>
      </c>
      <c r="B5" s="19" t="s">
        <v>191</v>
      </c>
      <c r="C5" s="6" t="s">
        <v>192</v>
      </c>
      <c r="D5" s="20" t="s">
        <v>193</v>
      </c>
      <c r="E5" s="20"/>
      <c r="F5" s="19" t="s">
        <v>186</v>
      </c>
      <c r="G5" s="19" t="s">
        <v>182</v>
      </c>
      <c r="H5" s="31">
        <v>1</v>
      </c>
    </row>
    <row r="6" spans="1:10" ht="69" x14ac:dyDescent="0.3">
      <c r="A6" s="21">
        <v>5</v>
      </c>
      <c r="B6" s="22" t="s">
        <v>194</v>
      </c>
      <c r="C6" s="23" t="s">
        <v>195</v>
      </c>
      <c r="D6" s="24" t="s">
        <v>196</v>
      </c>
      <c r="E6" s="24"/>
      <c r="F6" s="22" t="s">
        <v>186</v>
      </c>
      <c r="G6" s="22" t="s">
        <v>182</v>
      </c>
      <c r="H6" s="32">
        <v>1</v>
      </c>
    </row>
    <row r="7" spans="1:10" ht="96.6" x14ac:dyDescent="0.3">
      <c r="A7" s="18">
        <v>6</v>
      </c>
      <c r="B7" s="19" t="s">
        <v>194</v>
      </c>
      <c r="C7" s="6" t="s">
        <v>197</v>
      </c>
      <c r="D7" s="20" t="s">
        <v>198</v>
      </c>
      <c r="E7" s="20"/>
      <c r="F7" s="19" t="s">
        <v>186</v>
      </c>
      <c r="G7" s="19" t="s">
        <v>182</v>
      </c>
      <c r="H7" s="31">
        <v>1</v>
      </c>
    </row>
    <row r="8" spans="1:10" ht="234.6" x14ac:dyDescent="0.3">
      <c r="A8" s="25">
        <v>7</v>
      </c>
      <c r="B8" s="26" t="s">
        <v>194</v>
      </c>
      <c r="C8" s="27" t="s">
        <v>199</v>
      </c>
      <c r="D8" s="28" t="s">
        <v>200</v>
      </c>
      <c r="E8" s="28"/>
      <c r="F8" s="26" t="s">
        <v>186</v>
      </c>
      <c r="G8" s="26" t="s">
        <v>182</v>
      </c>
      <c r="H8" s="33">
        <v>1</v>
      </c>
    </row>
    <row r="9" spans="1:10" ht="248.4" x14ac:dyDescent="0.3">
      <c r="A9" s="18">
        <v>8</v>
      </c>
      <c r="B9" s="19" t="s">
        <v>194</v>
      </c>
      <c r="C9" s="6" t="s">
        <v>201</v>
      </c>
      <c r="D9" s="20" t="s">
        <v>202</v>
      </c>
      <c r="E9" s="20"/>
      <c r="F9" s="19" t="s">
        <v>186</v>
      </c>
      <c r="G9" s="19" t="s">
        <v>182</v>
      </c>
      <c r="H9" s="31">
        <v>1</v>
      </c>
    </row>
    <row r="10" spans="1:10" ht="36" x14ac:dyDescent="0.3">
      <c r="A10" s="18">
        <v>9</v>
      </c>
      <c r="B10" s="19" t="s">
        <v>203</v>
      </c>
      <c r="C10" s="6" t="s">
        <v>204</v>
      </c>
      <c r="D10" s="20" t="s">
        <v>205</v>
      </c>
      <c r="E10" s="20"/>
      <c r="F10" s="19" t="s">
        <v>190</v>
      </c>
      <c r="G10" s="19" t="s">
        <v>190</v>
      </c>
      <c r="H10" s="31">
        <v>1</v>
      </c>
    </row>
    <row r="11" spans="1:10" ht="138" x14ac:dyDescent="0.3">
      <c r="A11" s="18">
        <v>10</v>
      </c>
      <c r="B11" s="19" t="s">
        <v>206</v>
      </c>
      <c r="C11" s="6" t="s">
        <v>207</v>
      </c>
      <c r="D11" s="20" t="s">
        <v>208</v>
      </c>
      <c r="E11" s="20"/>
      <c r="F11" s="19" t="s">
        <v>186</v>
      </c>
      <c r="G11" s="19" t="s">
        <v>182</v>
      </c>
      <c r="H11" s="31">
        <v>1</v>
      </c>
    </row>
    <row r="12" spans="1:10" ht="41.4" x14ac:dyDescent="0.3">
      <c r="A12" s="21">
        <v>11</v>
      </c>
      <c r="B12" s="22" t="s">
        <v>209</v>
      </c>
      <c r="C12" s="23" t="s">
        <v>210</v>
      </c>
      <c r="D12" s="24" t="s">
        <v>211</v>
      </c>
      <c r="E12" s="24"/>
      <c r="F12" s="22" t="s">
        <v>186</v>
      </c>
      <c r="G12" s="22" t="s">
        <v>182</v>
      </c>
      <c r="H12" s="32">
        <v>1</v>
      </c>
    </row>
    <row r="13" spans="1:10" ht="207" x14ac:dyDescent="0.3">
      <c r="A13" s="18">
        <v>12</v>
      </c>
      <c r="B13" s="19" t="s">
        <v>212</v>
      </c>
      <c r="C13" s="6" t="s">
        <v>213</v>
      </c>
      <c r="D13" s="20" t="s">
        <v>214</v>
      </c>
      <c r="E13" s="20"/>
      <c r="F13" s="19" t="s">
        <v>186</v>
      </c>
      <c r="G13" s="19" t="s">
        <v>182</v>
      </c>
      <c r="H13" s="31">
        <v>1</v>
      </c>
    </row>
    <row r="14" spans="1:10" ht="165.6" x14ac:dyDescent="0.3">
      <c r="A14" s="18">
        <v>13</v>
      </c>
      <c r="B14" s="19" t="s">
        <v>215</v>
      </c>
      <c r="C14" s="6" t="s">
        <v>216</v>
      </c>
      <c r="D14" s="20" t="s">
        <v>217</v>
      </c>
      <c r="E14" s="20"/>
      <c r="F14" s="19" t="s">
        <v>186</v>
      </c>
      <c r="G14" s="19" t="s">
        <v>186</v>
      </c>
      <c r="H14" s="31">
        <v>1</v>
      </c>
    </row>
    <row r="15" spans="1:10" ht="124.2" x14ac:dyDescent="0.3">
      <c r="A15" s="18">
        <v>14</v>
      </c>
      <c r="B15" s="19" t="s">
        <v>218</v>
      </c>
      <c r="C15" s="6" t="s">
        <v>219</v>
      </c>
      <c r="D15" s="20" t="s">
        <v>220</v>
      </c>
      <c r="E15" s="20"/>
      <c r="F15" s="19" t="s">
        <v>186</v>
      </c>
      <c r="G15" s="19" t="s">
        <v>221</v>
      </c>
      <c r="H15" s="31">
        <v>1</v>
      </c>
    </row>
    <row r="16" spans="1:10" ht="110.4" x14ac:dyDescent="0.3">
      <c r="A16" s="21">
        <v>15</v>
      </c>
      <c r="B16" s="22" t="s">
        <v>222</v>
      </c>
      <c r="C16" s="23" t="s">
        <v>223</v>
      </c>
      <c r="D16" s="24" t="s">
        <v>224</v>
      </c>
      <c r="E16" s="24"/>
      <c r="F16" s="22" t="s">
        <v>186</v>
      </c>
      <c r="G16" s="22" t="s">
        <v>182</v>
      </c>
      <c r="H16" s="32">
        <v>3</v>
      </c>
    </row>
    <row r="17" spans="1:8" ht="69" x14ac:dyDescent="0.3">
      <c r="A17" s="21">
        <v>16</v>
      </c>
      <c r="B17" s="22" t="s">
        <v>203</v>
      </c>
      <c r="C17" s="23" t="s">
        <v>225</v>
      </c>
      <c r="D17" s="24" t="s">
        <v>226</v>
      </c>
      <c r="E17" s="24"/>
      <c r="F17" s="22" t="s">
        <v>190</v>
      </c>
      <c r="G17" s="22" t="s">
        <v>190</v>
      </c>
      <c r="H17" s="32">
        <v>1</v>
      </c>
    </row>
    <row r="18" spans="1:8" ht="165.6" x14ac:dyDescent="0.3">
      <c r="A18" s="25">
        <v>17</v>
      </c>
      <c r="B18" s="26" t="s">
        <v>227</v>
      </c>
      <c r="C18" s="27" t="s">
        <v>228</v>
      </c>
      <c r="D18" s="28" t="s">
        <v>229</v>
      </c>
      <c r="E18" s="28"/>
      <c r="F18" s="26" t="s">
        <v>186</v>
      </c>
      <c r="G18" s="26" t="s">
        <v>182</v>
      </c>
      <c r="H18" s="33">
        <v>1</v>
      </c>
    </row>
    <row r="19" spans="1:8" ht="138" x14ac:dyDescent="0.3">
      <c r="A19" s="25">
        <v>18</v>
      </c>
      <c r="B19" s="26" t="s">
        <v>227</v>
      </c>
      <c r="C19" s="27" t="s">
        <v>228</v>
      </c>
      <c r="D19" s="28" t="s">
        <v>230</v>
      </c>
      <c r="E19" s="28"/>
      <c r="F19" s="26" t="s">
        <v>186</v>
      </c>
      <c r="G19" s="26" t="s">
        <v>182</v>
      </c>
      <c r="H19" s="33">
        <v>1</v>
      </c>
    </row>
    <row r="20" spans="1:8" ht="82.8" x14ac:dyDescent="0.3">
      <c r="A20" s="25">
        <v>19</v>
      </c>
      <c r="B20" s="26" t="s">
        <v>227</v>
      </c>
      <c r="C20" s="27" t="s">
        <v>228</v>
      </c>
      <c r="D20" s="28" t="s">
        <v>231</v>
      </c>
      <c r="E20" s="28"/>
      <c r="F20" s="26" t="s">
        <v>186</v>
      </c>
      <c r="G20" s="26" t="s">
        <v>182</v>
      </c>
      <c r="H20" s="33">
        <v>1</v>
      </c>
    </row>
    <row r="21" spans="1:8" ht="55.2" x14ac:dyDescent="0.3">
      <c r="A21" s="25">
        <v>20</v>
      </c>
      <c r="B21" s="26" t="s">
        <v>227</v>
      </c>
      <c r="C21" s="27" t="s">
        <v>228</v>
      </c>
      <c r="D21" s="28" t="s">
        <v>232</v>
      </c>
      <c r="E21" s="28"/>
      <c r="F21" s="26" t="s">
        <v>186</v>
      </c>
      <c r="G21" s="26" t="s">
        <v>182</v>
      </c>
      <c r="H21" s="33">
        <v>1</v>
      </c>
    </row>
    <row r="22" spans="1:8" ht="55.2" x14ac:dyDescent="0.3">
      <c r="A22" s="21">
        <v>21</v>
      </c>
      <c r="B22" s="22" t="s">
        <v>227</v>
      </c>
      <c r="C22" s="23" t="s">
        <v>228</v>
      </c>
      <c r="D22" s="24" t="s">
        <v>233</v>
      </c>
      <c r="E22" s="24"/>
      <c r="F22" s="22" t="s">
        <v>186</v>
      </c>
      <c r="G22" s="22" t="s">
        <v>182</v>
      </c>
      <c r="H22" s="32">
        <v>1</v>
      </c>
    </row>
    <row r="23" spans="1:8" ht="82.8" x14ac:dyDescent="0.3">
      <c r="A23" s="25">
        <v>22</v>
      </c>
      <c r="B23" s="26" t="s">
        <v>227</v>
      </c>
      <c r="C23" s="27" t="s">
        <v>234</v>
      </c>
      <c r="D23" s="28" t="s">
        <v>235</v>
      </c>
      <c r="E23" s="28"/>
      <c r="F23" s="26" t="s">
        <v>186</v>
      </c>
      <c r="G23" s="26" t="s">
        <v>182</v>
      </c>
      <c r="H23" s="33">
        <v>1</v>
      </c>
    </row>
    <row r="24" spans="1:8" ht="82.8" x14ac:dyDescent="0.3">
      <c r="A24" s="25">
        <v>23</v>
      </c>
      <c r="B24" s="26" t="s">
        <v>227</v>
      </c>
      <c r="C24" s="27" t="s">
        <v>236</v>
      </c>
      <c r="D24" s="28" t="s">
        <v>237</v>
      </c>
      <c r="E24" s="28"/>
      <c r="F24" s="26" t="s">
        <v>186</v>
      </c>
      <c r="G24" s="26" t="s">
        <v>182</v>
      </c>
      <c r="H24" s="33">
        <v>1</v>
      </c>
    </row>
    <row r="25" spans="1:8" x14ac:dyDescent="0.3">
      <c r="A25" s="18">
        <v>24</v>
      </c>
      <c r="B25" s="19" t="s">
        <v>227</v>
      </c>
      <c r="C25" s="6" t="s">
        <v>238</v>
      </c>
      <c r="D25" s="20" t="s">
        <v>239</v>
      </c>
      <c r="E25" s="20"/>
      <c r="F25" s="19" t="s">
        <v>186</v>
      </c>
      <c r="G25" s="19" t="s">
        <v>182</v>
      </c>
      <c r="H25" s="31">
        <v>1</v>
      </c>
    </row>
    <row r="26" spans="1:8" ht="151.80000000000001" x14ac:dyDescent="0.3">
      <c r="A26" s="18">
        <v>25</v>
      </c>
      <c r="B26" s="19" t="s">
        <v>227</v>
      </c>
      <c r="C26" s="6" t="s">
        <v>240</v>
      </c>
      <c r="D26" s="20" t="s">
        <v>241</v>
      </c>
      <c r="E26" s="20"/>
      <c r="F26" s="19" t="s">
        <v>186</v>
      </c>
      <c r="G26" s="19" t="s">
        <v>182</v>
      </c>
      <c r="H26" s="31">
        <v>1</v>
      </c>
    </row>
    <row r="27" spans="1:8" ht="110.4" x14ac:dyDescent="0.3">
      <c r="A27" s="18">
        <v>26</v>
      </c>
      <c r="B27" s="19" t="s">
        <v>242</v>
      </c>
      <c r="C27" s="6" t="s">
        <v>243</v>
      </c>
      <c r="D27" s="20" t="s">
        <v>244</v>
      </c>
      <c r="E27" s="20"/>
      <c r="F27" s="19" t="s">
        <v>190</v>
      </c>
      <c r="G27" s="19" t="s">
        <v>190</v>
      </c>
      <c r="H27" s="31">
        <v>1</v>
      </c>
    </row>
    <row r="28" spans="1:8" ht="27.6" x14ac:dyDescent="0.3">
      <c r="A28" s="21">
        <v>27</v>
      </c>
      <c r="B28" s="22" t="s">
        <v>242</v>
      </c>
      <c r="C28" s="23" t="s">
        <v>245</v>
      </c>
      <c r="D28" s="24" t="s">
        <v>246</v>
      </c>
      <c r="E28" s="24"/>
      <c r="F28" s="22" t="s">
        <v>190</v>
      </c>
      <c r="G28" s="22" t="s">
        <v>190</v>
      </c>
      <c r="H28" s="32">
        <v>6</v>
      </c>
    </row>
    <row r="29" spans="1:8" ht="69" x14ac:dyDescent="0.3">
      <c r="A29" s="25">
        <v>28</v>
      </c>
      <c r="B29" s="26" t="s">
        <v>242</v>
      </c>
      <c r="C29" s="27" t="s">
        <v>247</v>
      </c>
      <c r="D29" s="28" t="s">
        <v>248</v>
      </c>
      <c r="E29" s="28"/>
      <c r="F29" s="26" t="s">
        <v>190</v>
      </c>
      <c r="G29" s="26" t="s">
        <v>190</v>
      </c>
      <c r="H29" s="33">
        <v>1</v>
      </c>
    </row>
    <row r="30" spans="1:8" ht="179.4" x14ac:dyDescent="0.3">
      <c r="A30" s="18">
        <v>29</v>
      </c>
      <c r="B30" s="19" t="s">
        <v>249</v>
      </c>
      <c r="C30" s="6" t="s">
        <v>250</v>
      </c>
      <c r="D30" s="20" t="s">
        <v>251</v>
      </c>
      <c r="E30" s="20"/>
      <c r="F30" s="19" t="s">
        <v>186</v>
      </c>
      <c r="G30" s="19" t="s">
        <v>182</v>
      </c>
      <c r="H30" s="31">
        <v>3</v>
      </c>
    </row>
    <row r="31" spans="1:8" ht="409.6" x14ac:dyDescent="0.3">
      <c r="A31" s="18">
        <v>30</v>
      </c>
      <c r="B31" s="19" t="s">
        <v>252</v>
      </c>
      <c r="C31" s="6" t="s">
        <v>253</v>
      </c>
      <c r="D31" s="20" t="s">
        <v>254</v>
      </c>
      <c r="E31" s="20"/>
      <c r="F31" s="19" t="s">
        <v>182</v>
      </c>
      <c r="G31" s="19" t="s">
        <v>255</v>
      </c>
      <c r="H31" s="31">
        <v>1</v>
      </c>
    </row>
    <row r="32" spans="1:8" ht="151.80000000000001" x14ac:dyDescent="0.3">
      <c r="A32" s="21">
        <v>31</v>
      </c>
      <c r="B32" s="22" t="s">
        <v>256</v>
      </c>
      <c r="C32" s="23" t="s">
        <v>257</v>
      </c>
      <c r="D32" s="24" t="s">
        <v>258</v>
      </c>
      <c r="E32" s="24"/>
      <c r="F32" s="22" t="s">
        <v>186</v>
      </c>
      <c r="G32" s="22" t="s">
        <v>182</v>
      </c>
      <c r="H32" s="32">
        <v>1</v>
      </c>
    </row>
    <row r="33" spans="1:8" ht="69" x14ac:dyDescent="0.3">
      <c r="A33" s="18">
        <v>32</v>
      </c>
      <c r="B33" s="19" t="s">
        <v>227</v>
      </c>
      <c r="C33" s="6" t="s">
        <v>259</v>
      </c>
      <c r="D33" s="20" t="s">
        <v>260</v>
      </c>
      <c r="E33" s="20"/>
      <c r="F33" s="19" t="s">
        <v>186</v>
      </c>
      <c r="G33" s="19" t="s">
        <v>182</v>
      </c>
      <c r="H33" s="31">
        <v>1</v>
      </c>
    </row>
    <row r="34" spans="1:8" ht="55.2" x14ac:dyDescent="0.3">
      <c r="A34" s="21">
        <v>33</v>
      </c>
      <c r="B34" s="22" t="s">
        <v>227</v>
      </c>
      <c r="C34" s="23" t="s">
        <v>261</v>
      </c>
      <c r="D34" s="24" t="s">
        <v>262</v>
      </c>
      <c r="E34" s="24"/>
      <c r="F34" s="22" t="s">
        <v>186</v>
      </c>
      <c r="G34" s="22" t="s">
        <v>182</v>
      </c>
      <c r="H34" s="32">
        <v>1</v>
      </c>
    </row>
    <row r="35" spans="1:8" ht="69" x14ac:dyDescent="0.3">
      <c r="A35" s="18">
        <v>34</v>
      </c>
      <c r="B35" s="19" t="s">
        <v>227</v>
      </c>
      <c r="C35" s="6" t="s">
        <v>263</v>
      </c>
      <c r="D35" s="20" t="s">
        <v>264</v>
      </c>
      <c r="E35" s="20"/>
      <c r="F35" s="19" t="s">
        <v>186</v>
      </c>
      <c r="G35" s="19" t="s">
        <v>182</v>
      </c>
      <c r="H35" s="31">
        <v>1</v>
      </c>
    </row>
    <row r="36" spans="1:8" ht="69" x14ac:dyDescent="0.3">
      <c r="A36" s="18">
        <v>35</v>
      </c>
      <c r="B36" s="19" t="s">
        <v>227</v>
      </c>
      <c r="C36" s="6" t="s">
        <v>265</v>
      </c>
      <c r="D36" s="20" t="s">
        <v>266</v>
      </c>
      <c r="E36" s="20"/>
      <c r="F36" s="19" t="s">
        <v>186</v>
      </c>
      <c r="G36" s="19" t="s">
        <v>182</v>
      </c>
      <c r="H36" s="31">
        <v>1</v>
      </c>
    </row>
    <row r="37" spans="1:8" ht="124.2" x14ac:dyDescent="0.3">
      <c r="A37" s="21">
        <v>36</v>
      </c>
      <c r="B37" s="22" t="s">
        <v>267</v>
      </c>
      <c r="C37" s="23" t="s">
        <v>268</v>
      </c>
      <c r="D37" s="24" t="s">
        <v>269</v>
      </c>
      <c r="E37" s="24"/>
      <c r="F37" s="22" t="s">
        <v>186</v>
      </c>
      <c r="G37" s="22" t="s">
        <v>182</v>
      </c>
      <c r="H37" s="32">
        <v>1</v>
      </c>
    </row>
    <row r="38" spans="1:8" ht="82.8" x14ac:dyDescent="0.3">
      <c r="A38" s="18">
        <v>37</v>
      </c>
      <c r="B38" s="19" t="s">
        <v>270</v>
      </c>
      <c r="C38" s="6" t="s">
        <v>271</v>
      </c>
      <c r="D38" s="20" t="s">
        <v>272</v>
      </c>
      <c r="E38" s="20"/>
      <c r="F38" s="19" t="s">
        <v>186</v>
      </c>
      <c r="G38" s="19" t="s">
        <v>182</v>
      </c>
      <c r="H38" s="34">
        <v>1</v>
      </c>
    </row>
    <row r="39" spans="1:8" ht="96.6" x14ac:dyDescent="0.3">
      <c r="A39" s="18">
        <v>38</v>
      </c>
      <c r="B39" s="19" t="s">
        <v>270</v>
      </c>
      <c r="C39" s="6" t="s">
        <v>273</v>
      </c>
      <c r="D39" s="20" t="s">
        <v>274</v>
      </c>
      <c r="E39" s="20"/>
      <c r="F39" s="19" t="s">
        <v>186</v>
      </c>
      <c r="G39" s="19" t="s">
        <v>182</v>
      </c>
      <c r="H39" s="34">
        <v>2</v>
      </c>
    </row>
    <row r="40" spans="1:8" ht="124.2" x14ac:dyDescent="0.3">
      <c r="A40" s="18">
        <v>39</v>
      </c>
      <c r="B40" s="19" t="s">
        <v>270</v>
      </c>
      <c r="C40" s="6" t="s">
        <v>275</v>
      </c>
      <c r="D40" s="20" t="s">
        <v>276</v>
      </c>
      <c r="E40" s="20"/>
      <c r="F40" s="19" t="s">
        <v>186</v>
      </c>
      <c r="G40" s="19" t="s">
        <v>182</v>
      </c>
      <c r="H40" s="34">
        <v>5</v>
      </c>
    </row>
    <row r="41" spans="1:8" ht="69" x14ac:dyDescent="0.3">
      <c r="A41" s="25">
        <v>40</v>
      </c>
      <c r="B41" s="26" t="s">
        <v>203</v>
      </c>
      <c r="C41" s="27" t="s">
        <v>277</v>
      </c>
      <c r="D41" s="28" t="s">
        <v>278</v>
      </c>
      <c r="E41" s="28"/>
      <c r="F41" s="26" t="s">
        <v>186</v>
      </c>
      <c r="G41" s="26" t="s">
        <v>182</v>
      </c>
      <c r="H41" s="33">
        <v>3</v>
      </c>
    </row>
    <row r="42" spans="1:8" ht="82.8" x14ac:dyDescent="0.3">
      <c r="A42" s="21">
        <v>41</v>
      </c>
      <c r="B42" s="22" t="s">
        <v>203</v>
      </c>
      <c r="C42" s="23" t="s">
        <v>279</v>
      </c>
      <c r="D42" s="24" t="s">
        <v>280</v>
      </c>
      <c r="E42" s="24"/>
      <c r="F42" s="22" t="s">
        <v>186</v>
      </c>
      <c r="G42" s="22" t="s">
        <v>182</v>
      </c>
      <c r="H42" s="32">
        <v>20</v>
      </c>
    </row>
    <row r="43" spans="1:8" ht="151.80000000000001" x14ac:dyDescent="0.3">
      <c r="A43" s="18">
        <v>42</v>
      </c>
      <c r="B43" s="19" t="s">
        <v>267</v>
      </c>
      <c r="C43" s="6" t="s">
        <v>281</v>
      </c>
      <c r="D43" s="20" t="s">
        <v>282</v>
      </c>
      <c r="E43" s="20"/>
      <c r="F43" s="19" t="s">
        <v>186</v>
      </c>
      <c r="G43" s="19" t="s">
        <v>182</v>
      </c>
      <c r="H43" s="31">
        <v>1</v>
      </c>
    </row>
    <row r="44" spans="1:8" ht="151.80000000000001" x14ac:dyDescent="0.3">
      <c r="A44" s="18">
        <v>43</v>
      </c>
      <c r="B44" s="19" t="s">
        <v>227</v>
      </c>
      <c r="C44" s="6" t="s">
        <v>283</v>
      </c>
      <c r="D44" s="20" t="s">
        <v>284</v>
      </c>
      <c r="E44" s="20"/>
      <c r="F44" s="19" t="s">
        <v>186</v>
      </c>
      <c r="G44" s="19" t="s">
        <v>182</v>
      </c>
      <c r="H44" s="31">
        <v>1</v>
      </c>
    </row>
    <row r="45" spans="1:8" ht="110.4" x14ac:dyDescent="0.3">
      <c r="A45" s="18">
        <v>44</v>
      </c>
      <c r="B45" s="19" t="s">
        <v>285</v>
      </c>
      <c r="C45" s="6" t="s">
        <v>286</v>
      </c>
      <c r="D45" s="20" t="s">
        <v>287</v>
      </c>
      <c r="E45" s="20"/>
      <c r="F45" s="19" t="s">
        <v>181</v>
      </c>
      <c r="G45" s="19" t="s">
        <v>181</v>
      </c>
      <c r="H45" s="31">
        <v>1</v>
      </c>
    </row>
    <row r="46" spans="1:8" ht="179.4" x14ac:dyDescent="0.3">
      <c r="A46" s="18">
        <v>45</v>
      </c>
      <c r="B46" s="19" t="s">
        <v>288</v>
      </c>
      <c r="C46" s="6" t="s">
        <v>289</v>
      </c>
      <c r="D46" s="20" t="s">
        <v>290</v>
      </c>
      <c r="E46" s="20"/>
      <c r="F46" s="19" t="s">
        <v>190</v>
      </c>
      <c r="G46" s="19" t="s">
        <v>190</v>
      </c>
      <c r="H46" s="31">
        <v>1</v>
      </c>
    </row>
    <row r="47" spans="1:8" ht="124.2" x14ac:dyDescent="0.3">
      <c r="A47" s="18">
        <v>46</v>
      </c>
      <c r="B47" s="19" t="s">
        <v>291</v>
      </c>
      <c r="C47" s="6" t="s">
        <v>292</v>
      </c>
      <c r="D47" s="20" t="s">
        <v>293</v>
      </c>
      <c r="E47" s="20"/>
      <c r="F47" s="19" t="s">
        <v>181</v>
      </c>
      <c r="G47" s="19" t="s">
        <v>181</v>
      </c>
      <c r="H47" s="31">
        <v>1</v>
      </c>
    </row>
    <row r="48" spans="1:8" ht="358.8" x14ac:dyDescent="0.3">
      <c r="A48" s="18">
        <v>47</v>
      </c>
      <c r="B48" s="19" t="s">
        <v>288</v>
      </c>
      <c r="C48" s="6" t="s">
        <v>294</v>
      </c>
      <c r="D48" s="20" t="s">
        <v>295</v>
      </c>
      <c r="E48" s="20"/>
      <c r="F48" s="19" t="s">
        <v>190</v>
      </c>
      <c r="G48" s="19" t="s">
        <v>190</v>
      </c>
      <c r="H48" s="31">
        <v>1</v>
      </c>
    </row>
    <row r="49" spans="1:8" ht="262.2" x14ac:dyDescent="0.3">
      <c r="A49" s="21">
        <v>48</v>
      </c>
      <c r="B49" s="22" t="s">
        <v>242</v>
      </c>
      <c r="C49" s="23" t="s">
        <v>296</v>
      </c>
      <c r="D49" s="24" t="s">
        <v>297</v>
      </c>
      <c r="E49" s="24"/>
      <c r="F49" s="22" t="s">
        <v>190</v>
      </c>
      <c r="G49" s="22" t="s">
        <v>190</v>
      </c>
      <c r="H49" s="32">
        <v>1</v>
      </c>
    </row>
    <row r="50" spans="1:8" ht="372.6" x14ac:dyDescent="0.3">
      <c r="A50" s="18">
        <v>49</v>
      </c>
      <c r="B50" s="19" t="s">
        <v>242</v>
      </c>
      <c r="C50" s="6" t="s">
        <v>298</v>
      </c>
      <c r="D50" s="20" t="s">
        <v>299</v>
      </c>
      <c r="E50" s="20"/>
      <c r="F50" s="19" t="s">
        <v>190</v>
      </c>
      <c r="G50" s="19" t="s">
        <v>190</v>
      </c>
      <c r="H50" s="31">
        <v>1</v>
      </c>
    </row>
    <row r="51" spans="1:8" ht="165.6" x14ac:dyDescent="0.3">
      <c r="A51" s="18">
        <v>50</v>
      </c>
      <c r="B51" s="19" t="s">
        <v>242</v>
      </c>
      <c r="C51" s="6" t="s">
        <v>300</v>
      </c>
      <c r="D51" s="20" t="s">
        <v>301</v>
      </c>
      <c r="E51" s="20"/>
      <c r="F51" s="19" t="s">
        <v>190</v>
      </c>
      <c r="G51" s="19" t="s">
        <v>190</v>
      </c>
      <c r="H51" s="31">
        <v>1</v>
      </c>
    </row>
    <row r="52" spans="1:8" ht="409.6" x14ac:dyDescent="0.3">
      <c r="A52" s="18">
        <v>51</v>
      </c>
      <c r="B52" s="19" t="s">
        <v>242</v>
      </c>
      <c r="C52" s="6" t="s">
        <v>302</v>
      </c>
      <c r="D52" s="20" t="s">
        <v>303</v>
      </c>
      <c r="E52" s="20"/>
      <c r="F52" s="19" t="s">
        <v>190</v>
      </c>
      <c r="G52" s="19" t="s">
        <v>190</v>
      </c>
      <c r="H52" s="31">
        <v>1</v>
      </c>
    </row>
    <row r="53" spans="1:8" ht="110.4" x14ac:dyDescent="0.3">
      <c r="A53" s="18">
        <v>52</v>
      </c>
      <c r="B53" s="19" t="s">
        <v>242</v>
      </c>
      <c r="C53" s="6" t="s">
        <v>304</v>
      </c>
      <c r="D53" s="20" t="s">
        <v>305</v>
      </c>
      <c r="E53" s="20"/>
      <c r="F53" s="19" t="s">
        <v>190</v>
      </c>
      <c r="G53" s="19" t="s">
        <v>190</v>
      </c>
      <c r="H53" s="31">
        <v>1</v>
      </c>
    </row>
    <row r="54" spans="1:8" ht="193.2" x14ac:dyDescent="0.3">
      <c r="A54" s="18">
        <v>53</v>
      </c>
      <c r="B54" s="19" t="s">
        <v>242</v>
      </c>
      <c r="C54" s="6" t="s">
        <v>306</v>
      </c>
      <c r="D54" s="20" t="s">
        <v>307</v>
      </c>
      <c r="E54" s="20"/>
      <c r="F54" s="19" t="s">
        <v>190</v>
      </c>
      <c r="G54" s="19" t="s">
        <v>190</v>
      </c>
      <c r="H54" s="31">
        <v>1</v>
      </c>
    </row>
    <row r="55" spans="1:8" ht="96.6" x14ac:dyDescent="0.3">
      <c r="A55" s="18">
        <v>54</v>
      </c>
      <c r="B55" s="19" t="s">
        <v>242</v>
      </c>
      <c r="C55" s="6" t="s">
        <v>308</v>
      </c>
      <c r="D55" s="20" t="s">
        <v>309</v>
      </c>
      <c r="E55" s="20"/>
      <c r="F55" s="19" t="s">
        <v>190</v>
      </c>
      <c r="G55" s="19" t="s">
        <v>190</v>
      </c>
      <c r="H55" s="31">
        <v>1</v>
      </c>
    </row>
    <row r="56" spans="1:8" ht="165.6" x14ac:dyDescent="0.3">
      <c r="A56" s="18">
        <v>55</v>
      </c>
      <c r="B56" s="19" t="s">
        <v>242</v>
      </c>
      <c r="C56" s="6" t="s">
        <v>310</v>
      </c>
      <c r="D56" s="20" t="s">
        <v>311</v>
      </c>
      <c r="E56" s="20"/>
      <c r="F56" s="19" t="s">
        <v>190</v>
      </c>
      <c r="G56" s="19" t="s">
        <v>190</v>
      </c>
      <c r="H56" s="31">
        <v>1</v>
      </c>
    </row>
    <row r="57" spans="1:8" ht="24" x14ac:dyDescent="0.3">
      <c r="A57" s="18">
        <v>56</v>
      </c>
      <c r="B57" s="19" t="s">
        <v>242</v>
      </c>
      <c r="C57" s="6" t="s">
        <v>312</v>
      </c>
      <c r="D57" s="20" t="s">
        <v>312</v>
      </c>
      <c r="E57" s="20"/>
      <c r="F57" s="19" t="s">
        <v>190</v>
      </c>
      <c r="G57" s="19" t="s">
        <v>190</v>
      </c>
      <c r="H57" s="31">
        <v>1</v>
      </c>
    </row>
    <row r="58" spans="1:8" ht="82.8" x14ac:dyDescent="0.3">
      <c r="A58" s="18">
        <v>57</v>
      </c>
      <c r="B58" s="19" t="s">
        <v>242</v>
      </c>
      <c r="C58" s="6" t="s">
        <v>313</v>
      </c>
      <c r="D58" s="20" t="s">
        <v>314</v>
      </c>
      <c r="E58" s="20"/>
      <c r="F58" s="19" t="s">
        <v>190</v>
      </c>
      <c r="G58" s="19" t="s">
        <v>190</v>
      </c>
      <c r="H58" s="31">
        <v>1</v>
      </c>
    </row>
    <row r="59" spans="1:8" ht="110.4" x14ac:dyDescent="0.3">
      <c r="A59" s="18">
        <v>58</v>
      </c>
      <c r="B59" s="19" t="s">
        <v>242</v>
      </c>
      <c r="C59" s="6" t="s">
        <v>315</v>
      </c>
      <c r="D59" s="20" t="s">
        <v>316</v>
      </c>
      <c r="E59" s="20"/>
      <c r="F59" s="19" t="s">
        <v>190</v>
      </c>
      <c r="G59" s="19" t="s">
        <v>190</v>
      </c>
      <c r="H59" s="31">
        <v>1</v>
      </c>
    </row>
    <row r="60" spans="1:8" ht="69" x14ac:dyDescent="0.3">
      <c r="A60" s="18">
        <v>59</v>
      </c>
      <c r="B60" s="19" t="s">
        <v>317</v>
      </c>
      <c r="C60" s="6" t="s">
        <v>318</v>
      </c>
      <c r="D60" s="20" t="s">
        <v>319</v>
      </c>
      <c r="E60" s="20"/>
      <c r="F60" s="19" t="s">
        <v>182</v>
      </c>
      <c r="G60" s="19" t="s">
        <v>182</v>
      </c>
      <c r="H60" s="35">
        <v>1</v>
      </c>
    </row>
    <row r="61" spans="1:8" ht="124.2" x14ac:dyDescent="0.3">
      <c r="A61" s="25">
        <v>60</v>
      </c>
      <c r="B61" s="26" t="s">
        <v>320</v>
      </c>
      <c r="C61" s="27" t="s">
        <v>321</v>
      </c>
      <c r="D61" s="28" t="s">
        <v>322</v>
      </c>
      <c r="E61" s="28"/>
      <c r="F61" s="26" t="s">
        <v>182</v>
      </c>
      <c r="G61" s="26" t="s">
        <v>190</v>
      </c>
      <c r="H61" s="33">
        <v>1</v>
      </c>
    </row>
    <row r="62" spans="1:8" ht="55.2" x14ac:dyDescent="0.3">
      <c r="A62" s="18">
        <v>61</v>
      </c>
      <c r="B62" s="19" t="s">
        <v>323</v>
      </c>
      <c r="C62" s="6" t="s">
        <v>324</v>
      </c>
      <c r="D62" s="20" t="s">
        <v>325</v>
      </c>
      <c r="E62" s="20"/>
      <c r="F62" s="19" t="s">
        <v>182</v>
      </c>
      <c r="G62" s="19" t="s">
        <v>326</v>
      </c>
      <c r="H62" s="31">
        <v>5</v>
      </c>
    </row>
    <row r="63" spans="1:8" ht="69" x14ac:dyDescent="0.3">
      <c r="A63" s="21">
        <v>62</v>
      </c>
      <c r="B63" s="22">
        <v>24101510</v>
      </c>
      <c r="C63" s="23" t="s">
        <v>327</v>
      </c>
      <c r="D63" s="24" t="s">
        <v>328</v>
      </c>
      <c r="E63" s="24"/>
      <c r="F63" s="22" t="s">
        <v>21</v>
      </c>
      <c r="G63" s="22" t="s">
        <v>329</v>
      </c>
      <c r="H63" s="32">
        <v>6</v>
      </c>
    </row>
    <row r="64" spans="1:8" ht="69" x14ac:dyDescent="0.3">
      <c r="A64" s="21">
        <v>63</v>
      </c>
      <c r="B64" s="22">
        <v>24101510</v>
      </c>
      <c r="C64" s="23" t="s">
        <v>330</v>
      </c>
      <c r="D64" s="24" t="s">
        <v>328</v>
      </c>
      <c r="E64" s="24"/>
      <c r="F64" s="22" t="s">
        <v>21</v>
      </c>
      <c r="G64" s="22" t="s">
        <v>329</v>
      </c>
      <c r="H64" s="32">
        <v>6</v>
      </c>
    </row>
    <row r="65" spans="1:8" ht="151.80000000000001" x14ac:dyDescent="0.3">
      <c r="A65" s="21">
        <v>64</v>
      </c>
      <c r="B65" s="22">
        <v>53000000</v>
      </c>
      <c r="C65" s="23" t="s">
        <v>331</v>
      </c>
      <c r="D65" s="24" t="s">
        <v>332</v>
      </c>
      <c r="E65" s="24"/>
      <c r="F65" s="22" t="s">
        <v>21</v>
      </c>
      <c r="G65" s="22" t="s">
        <v>329</v>
      </c>
      <c r="H65" s="32">
        <v>1</v>
      </c>
    </row>
    <row r="66" spans="1:8" x14ac:dyDescent="0.3">
      <c r="A66" s="18" t="s">
        <v>333</v>
      </c>
      <c r="B66" s="18"/>
      <c r="C66" s="29"/>
      <c r="D66" s="30"/>
      <c r="E66" s="30"/>
      <c r="F66" s="18"/>
      <c r="G66" s="18"/>
      <c r="H66" s="36"/>
    </row>
  </sheetData>
  <hyperlinks>
    <hyperlink ref="J1" r:id="rId1" xr:uid="{9EE960AD-0B82-40EF-8068-F52C2B6F4ED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E12C-4C7E-4C39-9BA2-1EDC2D2A919E}">
  <dimension ref="A1:T232"/>
  <sheetViews>
    <sheetView tabSelected="1" workbookViewId="0">
      <selection sqref="A1:XFD1"/>
    </sheetView>
  </sheetViews>
  <sheetFormatPr baseColWidth="10" defaultColWidth="9.109375" defaultRowHeight="14.4" x14ac:dyDescent="0.3"/>
  <cols>
    <col min="1" max="1" width="7" style="41" customWidth="1"/>
    <col min="2" max="2" width="10.6640625" style="41" customWidth="1"/>
    <col min="3" max="3" width="27.88671875" style="41" customWidth="1"/>
    <col min="4" max="6" width="9.109375" style="41"/>
    <col min="7" max="7" width="9.109375" style="41" customWidth="1"/>
    <col min="8" max="18" width="9.109375" style="51" customWidth="1"/>
    <col min="19" max="19" width="9.109375" style="41" customWidth="1"/>
    <col min="20" max="20" width="9.109375" style="41"/>
    <col min="21" max="16384" width="9.109375" style="4"/>
  </cols>
  <sheetData>
    <row r="1" spans="1:20" ht="36" x14ac:dyDescent="0.25">
      <c r="A1" s="38" t="s">
        <v>0</v>
      </c>
      <c r="B1" s="38" t="s">
        <v>334</v>
      </c>
      <c r="C1" s="38" t="s">
        <v>2</v>
      </c>
      <c r="D1" s="38" t="s">
        <v>175</v>
      </c>
      <c r="E1" s="38" t="s">
        <v>4</v>
      </c>
      <c r="F1" s="38" t="s">
        <v>335</v>
      </c>
      <c r="G1" s="39" t="s">
        <v>336</v>
      </c>
      <c r="H1" s="39" t="s">
        <v>337</v>
      </c>
      <c r="I1" s="39" t="s">
        <v>338</v>
      </c>
      <c r="J1" s="39" t="s">
        <v>339</v>
      </c>
      <c r="K1" s="39" t="s">
        <v>340</v>
      </c>
      <c r="L1" s="39" t="s">
        <v>341</v>
      </c>
      <c r="M1" s="40" t="s">
        <v>342</v>
      </c>
      <c r="N1" s="40" t="s">
        <v>343</v>
      </c>
      <c r="O1" s="40" t="s">
        <v>344</v>
      </c>
      <c r="P1" s="40" t="s">
        <v>345</v>
      </c>
      <c r="Q1" s="40" t="s">
        <v>346</v>
      </c>
      <c r="R1" s="40" t="s">
        <v>347</v>
      </c>
      <c r="S1" s="39" t="s">
        <v>10</v>
      </c>
    </row>
    <row r="2" spans="1:20" customFormat="1" x14ac:dyDescent="0.3">
      <c r="A2" s="42">
        <v>1</v>
      </c>
      <c r="B2" s="43">
        <v>11162306</v>
      </c>
      <c r="C2" s="44" t="s">
        <v>348</v>
      </c>
      <c r="D2" s="45" t="s">
        <v>349</v>
      </c>
      <c r="E2" s="46" t="s">
        <v>21</v>
      </c>
      <c r="F2" s="47">
        <v>5000</v>
      </c>
      <c r="G2" s="48"/>
      <c r="H2" s="48"/>
      <c r="I2" s="48"/>
      <c r="J2" s="48"/>
      <c r="K2" s="48"/>
      <c r="L2" s="49"/>
      <c r="M2" s="50"/>
      <c r="N2" s="41"/>
      <c r="O2" s="41"/>
      <c r="P2" s="41"/>
      <c r="Q2" s="41"/>
      <c r="R2" s="41"/>
      <c r="S2" s="50">
        <f>F2-G2-H2-I2-J2-K2-L2-M2-N2-O2-P2-Q2-R2</f>
        <v>5000</v>
      </c>
      <c r="T2" s="51"/>
    </row>
    <row r="3" spans="1:20" x14ac:dyDescent="0.3">
      <c r="A3" s="52">
        <v>2</v>
      </c>
      <c r="B3" s="53">
        <v>11131508</v>
      </c>
      <c r="C3" s="54" t="s">
        <v>350</v>
      </c>
      <c r="D3" s="55" t="s">
        <v>351</v>
      </c>
      <c r="E3" s="55" t="s">
        <v>21</v>
      </c>
      <c r="F3" s="56">
        <v>8000</v>
      </c>
      <c r="G3" s="50">
        <v>784</v>
      </c>
      <c r="H3" s="57"/>
      <c r="I3" s="57"/>
      <c r="J3" s="57">
        <v>7161</v>
      </c>
      <c r="K3" s="57"/>
      <c r="L3" s="58"/>
      <c r="M3" s="59"/>
      <c r="N3" s="58"/>
      <c r="O3" s="58"/>
      <c r="P3" s="58"/>
      <c r="Q3" s="58">
        <v>456</v>
      </c>
      <c r="R3" s="58"/>
      <c r="S3" s="50">
        <f t="shared" ref="S3:S21" si="0">F3-G3-H3-I3-J3-K3-L3-M3-N3-O3-P3-Q3-R3</f>
        <v>-401</v>
      </c>
    </row>
    <row r="4" spans="1:20" customFormat="1" x14ac:dyDescent="0.3">
      <c r="A4" s="42">
        <v>3</v>
      </c>
      <c r="B4" s="60">
        <v>11162300</v>
      </c>
      <c r="C4" s="60" t="s">
        <v>352</v>
      </c>
      <c r="D4" s="45" t="s">
        <v>349</v>
      </c>
      <c r="E4" s="46" t="s">
        <v>21</v>
      </c>
      <c r="F4" s="61">
        <v>400</v>
      </c>
      <c r="G4" s="62"/>
      <c r="H4" s="62"/>
      <c r="I4" s="62"/>
      <c r="J4" s="62">
        <v>400</v>
      </c>
      <c r="K4" s="62"/>
      <c r="L4" s="59"/>
      <c r="M4" s="59"/>
      <c r="N4" s="59"/>
      <c r="O4" s="59"/>
      <c r="P4" s="59"/>
      <c r="Q4" s="59"/>
      <c r="R4" s="59"/>
      <c r="S4" s="50">
        <f t="shared" si="0"/>
        <v>0</v>
      </c>
      <c r="T4" s="41" t="s">
        <v>353</v>
      </c>
    </row>
    <row r="5" spans="1:20" customFormat="1" x14ac:dyDescent="0.3">
      <c r="A5" s="63">
        <v>4</v>
      </c>
      <c r="B5" s="64">
        <v>11162300</v>
      </c>
      <c r="C5" s="64" t="s">
        <v>354</v>
      </c>
      <c r="D5" s="65" t="s">
        <v>349</v>
      </c>
      <c r="E5" s="66" t="s">
        <v>21</v>
      </c>
      <c r="F5" s="67">
        <v>10000</v>
      </c>
      <c r="G5" s="57"/>
      <c r="H5" s="57"/>
      <c r="I5" s="57"/>
      <c r="J5" s="57"/>
      <c r="K5" s="57"/>
      <c r="L5" s="58">
        <v>647</v>
      </c>
      <c r="M5" s="58"/>
      <c r="N5" s="58">
        <v>4830</v>
      </c>
      <c r="O5" s="58">
        <v>6443</v>
      </c>
      <c r="P5" s="58"/>
      <c r="Q5" s="58"/>
      <c r="R5" s="58"/>
      <c r="S5" s="50">
        <f>F5-G5-H5-I5-J5-K5-L5-M5-N5-O5-P5-Q5-R5</f>
        <v>-1920</v>
      </c>
      <c r="T5" s="68" t="s">
        <v>355</v>
      </c>
    </row>
    <row r="6" spans="1:20" customFormat="1" x14ac:dyDescent="0.3">
      <c r="A6" s="63">
        <v>5</v>
      </c>
      <c r="B6" s="64">
        <v>11131508</v>
      </c>
      <c r="C6" s="64" t="s">
        <v>356</v>
      </c>
      <c r="D6" s="65" t="s">
        <v>349</v>
      </c>
      <c r="E6" s="66" t="s">
        <v>21</v>
      </c>
      <c r="F6" s="67">
        <v>1200</v>
      </c>
      <c r="G6" s="57"/>
      <c r="H6" s="57"/>
      <c r="I6" s="57"/>
      <c r="J6" s="57"/>
      <c r="K6" s="57"/>
      <c r="L6" s="58"/>
      <c r="M6" s="58"/>
      <c r="N6" s="58"/>
      <c r="O6" s="58">
        <v>739</v>
      </c>
      <c r="P6" s="58"/>
      <c r="Q6" s="58"/>
      <c r="R6" s="58"/>
      <c r="S6" s="50">
        <f t="shared" si="0"/>
        <v>461</v>
      </c>
      <c r="T6" s="41"/>
    </row>
    <row r="7" spans="1:20" customFormat="1" x14ac:dyDescent="0.3">
      <c r="A7" s="63">
        <v>6</v>
      </c>
      <c r="B7" s="64">
        <v>11162305</v>
      </c>
      <c r="C7" s="64" t="s">
        <v>357</v>
      </c>
      <c r="D7" s="65" t="s">
        <v>349</v>
      </c>
      <c r="E7" s="66" t="s">
        <v>21</v>
      </c>
      <c r="F7" s="67">
        <v>1517</v>
      </c>
      <c r="G7" s="57"/>
      <c r="H7" s="57"/>
      <c r="I7" s="57"/>
      <c r="J7" s="57"/>
      <c r="K7" s="57"/>
      <c r="L7" s="58">
        <v>1058</v>
      </c>
      <c r="M7" s="58"/>
      <c r="N7" s="58"/>
      <c r="O7" s="58">
        <v>459</v>
      </c>
      <c r="P7" s="58"/>
      <c r="Q7" s="58"/>
      <c r="R7" s="58"/>
      <c r="S7" s="50">
        <f t="shared" si="0"/>
        <v>0</v>
      </c>
      <c r="T7" s="41" t="s">
        <v>358</v>
      </c>
    </row>
    <row r="8" spans="1:20" customFormat="1" x14ac:dyDescent="0.3">
      <c r="A8" s="63">
        <v>7</v>
      </c>
      <c r="B8" s="64">
        <v>11162305</v>
      </c>
      <c r="C8" s="64" t="s">
        <v>359</v>
      </c>
      <c r="D8" s="65" t="s">
        <v>349</v>
      </c>
      <c r="E8" s="66" t="s">
        <v>21</v>
      </c>
      <c r="F8" s="67">
        <v>800</v>
      </c>
      <c r="G8" s="57"/>
      <c r="H8" s="57"/>
      <c r="I8" s="57"/>
      <c r="J8" s="57"/>
      <c r="K8" s="57"/>
      <c r="L8" s="58">
        <v>376</v>
      </c>
      <c r="M8" s="58"/>
      <c r="N8" s="58"/>
      <c r="O8" s="58">
        <v>220</v>
      </c>
      <c r="P8" s="58"/>
      <c r="Q8" s="58"/>
      <c r="R8" s="58"/>
      <c r="S8" s="50">
        <f t="shared" si="0"/>
        <v>204</v>
      </c>
      <c r="T8" s="41"/>
    </row>
    <row r="9" spans="1:20" customFormat="1" x14ac:dyDescent="0.3">
      <c r="A9" s="63">
        <v>8</v>
      </c>
      <c r="B9" s="64">
        <v>11162305</v>
      </c>
      <c r="C9" s="64" t="s">
        <v>360</v>
      </c>
      <c r="D9" s="65" t="s">
        <v>349</v>
      </c>
      <c r="E9" s="66" t="s">
        <v>21</v>
      </c>
      <c r="F9" s="67">
        <v>800</v>
      </c>
      <c r="G9" s="57"/>
      <c r="H9" s="57"/>
      <c r="I9" s="57"/>
      <c r="J9" s="57"/>
      <c r="K9" s="57"/>
      <c r="L9" s="58"/>
      <c r="M9" s="58"/>
      <c r="N9" s="58"/>
      <c r="O9" s="58"/>
      <c r="P9" s="58"/>
      <c r="Q9" s="58">
        <v>167</v>
      </c>
      <c r="R9" s="58"/>
      <c r="S9" s="50">
        <f t="shared" si="0"/>
        <v>633</v>
      </c>
      <c r="T9" s="41"/>
    </row>
    <row r="10" spans="1:20" customFormat="1" x14ac:dyDescent="0.3">
      <c r="A10" s="63">
        <v>9</v>
      </c>
      <c r="B10" s="64">
        <v>11162305</v>
      </c>
      <c r="C10" s="64" t="s">
        <v>361</v>
      </c>
      <c r="D10" s="65" t="s">
        <v>349</v>
      </c>
      <c r="E10" s="66" t="s">
        <v>21</v>
      </c>
      <c r="F10" s="67">
        <v>12000</v>
      </c>
      <c r="G10" s="57"/>
      <c r="H10" s="57"/>
      <c r="I10" s="57"/>
      <c r="J10" s="57"/>
      <c r="K10" s="57"/>
      <c r="L10" s="58"/>
      <c r="M10" s="58"/>
      <c r="N10" s="58"/>
      <c r="O10" s="58">
        <v>6544</v>
      </c>
      <c r="P10" s="58"/>
      <c r="Q10" s="58">
        <v>5052</v>
      </c>
      <c r="R10" s="58"/>
      <c r="S10" s="50">
        <f t="shared" si="0"/>
        <v>404</v>
      </c>
      <c r="T10" s="41"/>
    </row>
    <row r="11" spans="1:20" customFormat="1" x14ac:dyDescent="0.3">
      <c r="A11" s="63">
        <v>10</v>
      </c>
      <c r="B11" s="64">
        <v>11162304</v>
      </c>
      <c r="C11" s="64" t="s">
        <v>362</v>
      </c>
      <c r="D11" s="65" t="s">
        <v>349</v>
      </c>
      <c r="E11" s="66" t="s">
        <v>21</v>
      </c>
      <c r="F11" s="67">
        <v>300</v>
      </c>
      <c r="G11" s="57"/>
      <c r="H11" s="57"/>
      <c r="I11" s="57"/>
      <c r="J11" s="57"/>
      <c r="K11" s="57"/>
      <c r="L11" s="58"/>
      <c r="M11" s="58"/>
      <c r="N11" s="58"/>
      <c r="O11" s="58"/>
      <c r="P11" s="58"/>
      <c r="Q11" s="58">
        <v>307</v>
      </c>
      <c r="R11" s="58"/>
      <c r="S11" s="50">
        <f t="shared" si="0"/>
        <v>-7</v>
      </c>
      <c r="T11" s="41"/>
    </row>
    <row r="12" spans="1:20" customFormat="1" x14ac:dyDescent="0.3">
      <c r="A12" s="63">
        <v>11</v>
      </c>
      <c r="B12" s="64">
        <v>11131508</v>
      </c>
      <c r="C12" s="64" t="s">
        <v>363</v>
      </c>
      <c r="D12" s="65" t="s">
        <v>349</v>
      </c>
      <c r="E12" s="66" t="s">
        <v>21</v>
      </c>
      <c r="F12" s="67">
        <v>10000</v>
      </c>
      <c r="G12" s="57"/>
      <c r="H12" s="57"/>
      <c r="I12" s="57"/>
      <c r="J12" s="57"/>
      <c r="K12" s="57">
        <v>9541</v>
      </c>
      <c r="L12" s="58"/>
      <c r="M12" s="58"/>
      <c r="N12" s="58"/>
      <c r="O12" s="58"/>
      <c r="P12" s="58"/>
      <c r="Q12" s="58"/>
      <c r="R12" s="58"/>
      <c r="S12" s="50">
        <f t="shared" si="0"/>
        <v>459</v>
      </c>
      <c r="T12" s="41"/>
    </row>
    <row r="13" spans="1:20" customFormat="1" ht="17.25" customHeight="1" x14ac:dyDescent="0.3">
      <c r="A13" s="63">
        <v>12</v>
      </c>
      <c r="B13" s="64">
        <v>11161703</v>
      </c>
      <c r="C13" s="69" t="s">
        <v>364</v>
      </c>
      <c r="D13" s="65" t="s">
        <v>69</v>
      </c>
      <c r="E13" s="66" t="s">
        <v>365</v>
      </c>
      <c r="F13" s="67">
        <v>200</v>
      </c>
      <c r="G13" s="57"/>
      <c r="H13" s="57"/>
      <c r="I13" s="57"/>
      <c r="J13" s="57"/>
      <c r="K13" s="57"/>
      <c r="L13" s="58"/>
      <c r="M13" s="58"/>
      <c r="N13" s="58"/>
      <c r="O13" s="58">
        <v>200</v>
      </c>
      <c r="P13" s="58"/>
      <c r="Q13" s="58"/>
      <c r="R13" s="58">
        <v>200</v>
      </c>
      <c r="S13" s="50">
        <f t="shared" si="0"/>
        <v>-200</v>
      </c>
      <c r="T13" s="41"/>
    </row>
    <row r="14" spans="1:20" customFormat="1" x14ac:dyDescent="0.3">
      <c r="A14" s="63">
        <v>13</v>
      </c>
      <c r="B14" s="69">
        <v>11161802</v>
      </c>
      <c r="C14" s="69" t="s">
        <v>366</v>
      </c>
      <c r="D14" s="65" t="s">
        <v>69</v>
      </c>
      <c r="E14" s="66" t="s">
        <v>365</v>
      </c>
      <c r="F14" s="67">
        <v>200</v>
      </c>
      <c r="G14" s="57"/>
      <c r="H14" s="57"/>
      <c r="I14" s="57"/>
      <c r="J14" s="57"/>
      <c r="K14" s="57"/>
      <c r="L14" s="58"/>
      <c r="M14" s="58"/>
      <c r="N14" s="58"/>
      <c r="O14" s="58">
        <v>200</v>
      </c>
      <c r="P14" s="58"/>
      <c r="Q14" s="58"/>
      <c r="R14" s="58"/>
      <c r="S14" s="50">
        <f t="shared" si="0"/>
        <v>0</v>
      </c>
      <c r="T14" s="41"/>
    </row>
    <row r="15" spans="1:20" customFormat="1" x14ac:dyDescent="0.3">
      <c r="A15" s="63">
        <v>14</v>
      </c>
      <c r="B15" s="64">
        <v>11162112</v>
      </c>
      <c r="C15" s="64" t="s">
        <v>367</v>
      </c>
      <c r="D15" s="65" t="s">
        <v>69</v>
      </c>
      <c r="E15" s="66" t="s">
        <v>365</v>
      </c>
      <c r="F15" s="67">
        <v>150</v>
      </c>
      <c r="G15" s="57"/>
      <c r="H15" s="57"/>
      <c r="I15" s="57"/>
      <c r="J15" s="57"/>
      <c r="K15" s="57"/>
      <c r="L15" s="58"/>
      <c r="M15" s="58"/>
      <c r="N15" s="58"/>
      <c r="O15" s="58">
        <v>150</v>
      </c>
      <c r="P15" s="58"/>
      <c r="Q15" s="58"/>
      <c r="R15" s="58"/>
      <c r="S15" s="50">
        <f t="shared" si="0"/>
        <v>0</v>
      </c>
      <c r="T15" s="41"/>
    </row>
    <row r="16" spans="1:20" customFormat="1" x14ac:dyDescent="0.3">
      <c r="A16" s="63">
        <v>15</v>
      </c>
      <c r="B16" s="64">
        <v>11162112</v>
      </c>
      <c r="C16" s="64" t="s">
        <v>368</v>
      </c>
      <c r="D16" s="65" t="s">
        <v>69</v>
      </c>
      <c r="E16" s="66" t="s">
        <v>365</v>
      </c>
      <c r="F16" s="67">
        <v>150</v>
      </c>
      <c r="G16" s="57"/>
      <c r="H16" s="57"/>
      <c r="I16" s="57"/>
      <c r="J16" s="57"/>
      <c r="K16" s="57"/>
      <c r="L16" s="58"/>
      <c r="M16" s="58"/>
      <c r="N16" s="58"/>
      <c r="O16" s="58">
        <v>150</v>
      </c>
      <c r="P16" s="58"/>
      <c r="Q16" s="58"/>
      <c r="R16" s="58"/>
      <c r="S16" s="50">
        <f t="shared" si="0"/>
        <v>0</v>
      </c>
      <c r="T16" s="41"/>
    </row>
    <row r="17" spans="1:20" customFormat="1" x14ac:dyDescent="0.3">
      <c r="A17" s="63">
        <v>16</v>
      </c>
      <c r="B17" s="64">
        <v>11161804</v>
      </c>
      <c r="C17" s="64" t="s">
        <v>369</v>
      </c>
      <c r="D17" s="65" t="s">
        <v>69</v>
      </c>
      <c r="E17" s="66" t="s">
        <v>365</v>
      </c>
      <c r="F17" s="67">
        <v>200</v>
      </c>
      <c r="G17" s="57"/>
      <c r="H17" s="57"/>
      <c r="I17" s="57"/>
      <c r="J17" s="57"/>
      <c r="K17" s="57"/>
      <c r="L17" s="58"/>
      <c r="M17" s="58"/>
      <c r="N17" s="58"/>
      <c r="O17" s="58">
        <v>200</v>
      </c>
      <c r="P17" s="58"/>
      <c r="Q17" s="58"/>
      <c r="R17" s="58"/>
      <c r="S17" s="50">
        <f t="shared" si="0"/>
        <v>0</v>
      </c>
      <c r="T17" s="41"/>
    </row>
    <row r="18" spans="1:20" customFormat="1" x14ac:dyDescent="0.3">
      <c r="A18" s="63">
        <v>17</v>
      </c>
      <c r="B18" s="64">
        <v>11161805</v>
      </c>
      <c r="C18" s="64" t="s">
        <v>370</v>
      </c>
      <c r="D18" s="65" t="s">
        <v>69</v>
      </c>
      <c r="E18" s="66" t="s">
        <v>365</v>
      </c>
      <c r="F18" s="67">
        <v>30</v>
      </c>
      <c r="G18" s="57"/>
      <c r="H18" s="57"/>
      <c r="I18" s="57"/>
      <c r="J18" s="57">
        <v>30</v>
      </c>
      <c r="K18" s="57"/>
      <c r="L18" s="58"/>
      <c r="M18" s="58"/>
      <c r="N18" s="58"/>
      <c r="O18" s="58"/>
      <c r="P18" s="58"/>
      <c r="Q18" s="58"/>
      <c r="R18" s="58"/>
      <c r="S18" s="50">
        <f t="shared" si="0"/>
        <v>0</v>
      </c>
      <c r="T18" s="41"/>
    </row>
    <row r="19" spans="1:20" customFormat="1" x14ac:dyDescent="0.3">
      <c r="A19" s="63">
        <v>18</v>
      </c>
      <c r="B19" s="64">
        <v>11162307</v>
      </c>
      <c r="C19" s="69" t="s">
        <v>371</v>
      </c>
      <c r="D19" s="65" t="s">
        <v>69</v>
      </c>
      <c r="E19" s="66" t="s">
        <v>365</v>
      </c>
      <c r="F19" s="67">
        <v>100</v>
      </c>
      <c r="G19" s="57"/>
      <c r="H19" s="57"/>
      <c r="I19" s="57"/>
      <c r="J19" s="57"/>
      <c r="K19" s="57"/>
      <c r="L19" s="58"/>
      <c r="M19" s="58"/>
      <c r="N19" s="58"/>
      <c r="O19" s="58">
        <v>100</v>
      </c>
      <c r="P19" s="58"/>
      <c r="Q19" s="58"/>
      <c r="R19" s="58"/>
      <c r="S19" s="50">
        <f t="shared" si="0"/>
        <v>0</v>
      </c>
      <c r="T19" s="41"/>
    </row>
    <row r="20" spans="1:20" customFormat="1" x14ac:dyDescent="0.3">
      <c r="A20" s="63">
        <v>19</v>
      </c>
      <c r="B20" s="64">
        <v>11162307</v>
      </c>
      <c r="C20" s="69" t="s">
        <v>372</v>
      </c>
      <c r="D20" s="65" t="s">
        <v>69</v>
      </c>
      <c r="E20" s="66" t="s">
        <v>365</v>
      </c>
      <c r="F20" s="67">
        <v>300</v>
      </c>
      <c r="G20" s="57"/>
      <c r="H20" s="57"/>
      <c r="I20" s="57"/>
      <c r="J20" s="57">
        <v>183</v>
      </c>
      <c r="K20" s="57"/>
      <c r="L20" s="58"/>
      <c r="M20" s="58"/>
      <c r="N20" s="58"/>
      <c r="O20" s="58">
        <v>117</v>
      </c>
      <c r="P20" s="58"/>
      <c r="Q20" s="58"/>
      <c r="R20" s="58"/>
      <c r="S20" s="50">
        <f t="shared" si="0"/>
        <v>0</v>
      </c>
      <c r="T20" s="41"/>
    </row>
    <row r="21" spans="1:20" customFormat="1" x14ac:dyDescent="0.3">
      <c r="A21" s="63">
        <v>20</v>
      </c>
      <c r="B21" s="64">
        <v>11162307</v>
      </c>
      <c r="C21" s="69" t="s">
        <v>373</v>
      </c>
      <c r="D21" s="70" t="s">
        <v>69</v>
      </c>
      <c r="E21" s="66" t="s">
        <v>365</v>
      </c>
      <c r="F21" s="67">
        <v>300</v>
      </c>
      <c r="G21" s="57"/>
      <c r="H21" s="57"/>
      <c r="I21" s="57"/>
      <c r="J21" s="57"/>
      <c r="K21" s="57"/>
      <c r="L21" s="58"/>
      <c r="M21" s="58"/>
      <c r="N21" s="58"/>
      <c r="O21" s="58">
        <v>300</v>
      </c>
      <c r="P21" s="58"/>
      <c r="Q21" s="58"/>
      <c r="R21" s="58"/>
      <c r="S21" s="50">
        <f t="shared" si="0"/>
        <v>0</v>
      </c>
      <c r="T21" s="41"/>
    </row>
    <row r="22" spans="1:20" customFormat="1" x14ac:dyDescent="0.3">
      <c r="A22" s="63">
        <v>21</v>
      </c>
      <c r="B22" s="64">
        <v>11162307</v>
      </c>
      <c r="C22" s="69" t="s">
        <v>374</v>
      </c>
      <c r="D22" s="70" t="s">
        <v>69</v>
      </c>
      <c r="E22" s="66" t="s">
        <v>365</v>
      </c>
      <c r="F22" s="67">
        <v>500</v>
      </c>
      <c r="G22" s="57"/>
      <c r="H22" s="57"/>
      <c r="I22" s="57"/>
      <c r="J22" s="57">
        <v>123</v>
      </c>
      <c r="K22" s="57"/>
      <c r="L22" s="58">
        <v>40</v>
      </c>
      <c r="M22" s="58"/>
      <c r="N22" s="58">
        <v>377</v>
      </c>
      <c r="O22" s="58"/>
      <c r="P22" s="58"/>
      <c r="Q22" s="58"/>
      <c r="R22" s="58"/>
      <c r="S22" s="50">
        <f>F22-G22-H22-I22-J22-K22-L22-M22-N22</f>
        <v>-40</v>
      </c>
      <c r="T22" s="41"/>
    </row>
    <row r="23" spans="1:20" customFormat="1" x14ac:dyDescent="0.3">
      <c r="A23" s="63">
        <v>22</v>
      </c>
      <c r="B23" s="64">
        <v>11161801</v>
      </c>
      <c r="C23" s="69" t="s">
        <v>375</v>
      </c>
      <c r="D23" s="65" t="s">
        <v>69</v>
      </c>
      <c r="E23" s="66" t="s">
        <v>365</v>
      </c>
      <c r="F23" s="67">
        <v>100</v>
      </c>
      <c r="G23" s="57"/>
      <c r="H23" s="57"/>
      <c r="I23" s="57"/>
      <c r="J23" s="57"/>
      <c r="K23" s="57"/>
      <c r="L23" s="58"/>
      <c r="M23" s="58"/>
      <c r="N23" s="58"/>
      <c r="O23" s="58"/>
      <c r="P23" s="58"/>
      <c r="Q23" s="58"/>
      <c r="R23" s="58"/>
      <c r="S23" s="50">
        <f t="shared" ref="S23:S25" si="1">F23-G23-H23-I23-J23-K23-L23-M23-N23-O23-P23-Q23-R23</f>
        <v>100</v>
      </c>
      <c r="T23" s="41"/>
    </row>
    <row r="24" spans="1:20" customFormat="1" x14ac:dyDescent="0.3">
      <c r="A24" s="63">
        <v>23</v>
      </c>
      <c r="B24" s="64">
        <v>13102030</v>
      </c>
      <c r="C24" s="69" t="s">
        <v>376</v>
      </c>
      <c r="D24" s="65" t="s">
        <v>69</v>
      </c>
      <c r="E24" s="66" t="s">
        <v>365</v>
      </c>
      <c r="F24" s="67">
        <v>30</v>
      </c>
      <c r="G24" s="57"/>
      <c r="H24" s="57"/>
      <c r="I24" s="57"/>
      <c r="J24" s="57"/>
      <c r="K24" s="57"/>
      <c r="L24" s="58"/>
      <c r="M24" s="58"/>
      <c r="N24" s="58"/>
      <c r="O24" s="58"/>
      <c r="P24" s="58"/>
      <c r="Q24" s="58"/>
      <c r="R24" s="58"/>
      <c r="S24" s="50">
        <f t="shared" si="1"/>
        <v>30</v>
      </c>
      <c r="T24" s="41"/>
    </row>
    <row r="25" spans="1:20" customFormat="1" x14ac:dyDescent="0.3">
      <c r="A25" s="63">
        <v>24</v>
      </c>
      <c r="B25" s="71">
        <v>11162110</v>
      </c>
      <c r="C25" s="72" t="s">
        <v>377</v>
      </c>
      <c r="D25" s="73" t="s">
        <v>69</v>
      </c>
      <c r="E25" s="66" t="s">
        <v>365</v>
      </c>
      <c r="F25" s="67">
        <v>100</v>
      </c>
      <c r="G25" s="57"/>
      <c r="H25" s="57"/>
      <c r="I25" s="57"/>
      <c r="J25" s="57"/>
      <c r="K25" s="57"/>
      <c r="L25" s="58"/>
      <c r="M25" s="58"/>
      <c r="N25" s="58"/>
      <c r="O25" s="58"/>
      <c r="P25" s="58"/>
      <c r="Q25" s="58">
        <v>100</v>
      </c>
      <c r="R25" s="58"/>
      <c r="S25" s="50">
        <f t="shared" si="1"/>
        <v>0</v>
      </c>
      <c r="T25" s="41"/>
    </row>
    <row r="26" spans="1:20" customFormat="1" x14ac:dyDescent="0.3">
      <c r="A26" s="63">
        <v>25</v>
      </c>
      <c r="B26" s="74">
        <v>11161801</v>
      </c>
      <c r="C26" s="44" t="s">
        <v>378</v>
      </c>
      <c r="D26" s="45" t="s">
        <v>69</v>
      </c>
      <c r="E26" s="66" t="s">
        <v>365</v>
      </c>
      <c r="F26" s="67">
        <v>30</v>
      </c>
      <c r="G26" s="75"/>
      <c r="H26" s="75"/>
      <c r="I26" s="75"/>
      <c r="J26" s="75"/>
      <c r="K26" s="75"/>
      <c r="L26" s="76"/>
      <c r="M26" s="76"/>
      <c r="N26" s="76">
        <v>30</v>
      </c>
      <c r="O26" s="76"/>
      <c r="P26" s="76"/>
      <c r="Q26" s="76"/>
      <c r="R26" s="76"/>
      <c r="S26" s="50">
        <f>F26-G26-H26-I26-J26-K26-L26-M26-N26</f>
        <v>0</v>
      </c>
      <c r="T26" s="41"/>
    </row>
    <row r="27" spans="1:20" x14ac:dyDescent="0.3">
      <c r="A27" s="52">
        <v>26</v>
      </c>
      <c r="B27" s="53">
        <v>11162201</v>
      </c>
      <c r="C27" s="54" t="s">
        <v>379</v>
      </c>
      <c r="D27" s="55" t="s">
        <v>69</v>
      </c>
      <c r="E27" s="55" t="s">
        <v>365</v>
      </c>
      <c r="F27" s="56">
        <v>100</v>
      </c>
      <c r="G27" s="50">
        <v>100</v>
      </c>
      <c r="H27" s="57"/>
      <c r="I27" s="57"/>
      <c r="J27" s="57"/>
      <c r="K27" s="57"/>
      <c r="L27" s="58"/>
      <c r="M27" s="58"/>
      <c r="N27" s="58"/>
      <c r="O27" s="58"/>
      <c r="P27" s="58"/>
      <c r="Q27" s="58"/>
      <c r="R27" s="58"/>
      <c r="S27" s="50">
        <f>F27-G27-H27-I27-J27-K27-L27-M27-N27</f>
        <v>0</v>
      </c>
    </row>
    <row r="28" spans="1:20" customFormat="1" x14ac:dyDescent="0.3">
      <c r="A28" s="42">
        <v>27</v>
      </c>
      <c r="B28" s="60">
        <v>11162201</v>
      </c>
      <c r="C28" s="60" t="s">
        <v>380</v>
      </c>
      <c r="D28" s="45" t="s">
        <v>69</v>
      </c>
      <c r="E28" s="46" t="s">
        <v>365</v>
      </c>
      <c r="F28" s="61">
        <v>500</v>
      </c>
      <c r="G28" s="62"/>
      <c r="H28" s="62"/>
      <c r="I28" s="62"/>
      <c r="J28" s="62"/>
      <c r="K28" s="62"/>
      <c r="L28" s="59"/>
      <c r="M28" s="59"/>
      <c r="N28" s="59"/>
      <c r="O28" s="59">
        <v>300</v>
      </c>
      <c r="P28" s="59"/>
      <c r="Q28" s="59">
        <v>157</v>
      </c>
      <c r="R28" s="59"/>
      <c r="S28" s="50">
        <f>F28-G28-H28-I28-J28-K28-L28-M28-N28-O28-P28-Q28-R28</f>
        <v>43</v>
      </c>
      <c r="T28" s="41"/>
    </row>
    <row r="29" spans="1:20" customFormat="1" x14ac:dyDescent="0.3">
      <c r="A29" s="63">
        <v>28</v>
      </c>
      <c r="B29" s="64">
        <v>11161700</v>
      </c>
      <c r="C29" s="64" t="s">
        <v>381</v>
      </c>
      <c r="D29" s="65" t="s">
        <v>69</v>
      </c>
      <c r="E29" s="66" t="s">
        <v>365</v>
      </c>
      <c r="F29" s="67">
        <v>1</v>
      </c>
      <c r="G29" s="57"/>
      <c r="H29" s="57"/>
      <c r="I29" s="57"/>
      <c r="J29" s="57"/>
      <c r="K29" s="57"/>
      <c r="L29" s="58"/>
      <c r="M29" s="58"/>
      <c r="N29" s="58"/>
      <c r="O29" s="58">
        <v>1</v>
      </c>
      <c r="P29" s="58"/>
      <c r="Q29" s="58"/>
      <c r="R29" s="58"/>
      <c r="S29" s="50">
        <f>F29-G29-H29-I29-J29-K29-L29-M29-N29-O29-P29-Q29-R29</f>
        <v>0</v>
      </c>
      <c r="T29" s="41"/>
    </row>
    <row r="30" spans="1:20" customFormat="1" x14ac:dyDescent="0.3">
      <c r="A30" s="63">
        <v>29</v>
      </c>
      <c r="B30" s="64">
        <v>11162200</v>
      </c>
      <c r="C30" s="64" t="s">
        <v>382</v>
      </c>
      <c r="D30" s="65" t="s">
        <v>69</v>
      </c>
      <c r="E30" s="66" t="s">
        <v>365</v>
      </c>
      <c r="F30" s="67">
        <v>50</v>
      </c>
      <c r="G30" s="57"/>
      <c r="H30" s="57"/>
      <c r="I30" s="57"/>
      <c r="J30" s="57"/>
      <c r="K30" s="57"/>
      <c r="L30" s="58"/>
      <c r="M30" s="58"/>
      <c r="N30" s="58"/>
      <c r="O30" s="58">
        <v>50</v>
      </c>
      <c r="P30" s="58"/>
      <c r="Q30" s="58"/>
      <c r="R30" s="58"/>
      <c r="S30" s="50">
        <f t="shared" ref="S30" si="2">F30-G30-H30-I30-J30-K30-L30-M30-N30-O30-P30-Q30-R30</f>
        <v>0</v>
      </c>
      <c r="T30" s="41"/>
    </row>
    <row r="31" spans="1:20" customFormat="1" x14ac:dyDescent="0.3">
      <c r="A31" s="63">
        <v>30</v>
      </c>
      <c r="B31" s="64">
        <v>11162200</v>
      </c>
      <c r="C31" s="64" t="s">
        <v>383</v>
      </c>
      <c r="D31" s="65" t="s">
        <v>69</v>
      </c>
      <c r="E31" s="66" t="s">
        <v>365</v>
      </c>
      <c r="F31" s="67">
        <v>50</v>
      </c>
      <c r="G31" s="57"/>
      <c r="H31" s="57"/>
      <c r="I31" s="57"/>
      <c r="J31" s="57"/>
      <c r="K31" s="57"/>
      <c r="L31" s="58"/>
      <c r="M31" s="58"/>
      <c r="N31" s="58">
        <v>50</v>
      </c>
      <c r="O31" s="58"/>
      <c r="P31" s="58"/>
      <c r="Q31" s="58"/>
      <c r="R31" s="58"/>
      <c r="S31" s="50">
        <f>F31-G31-H31-I31-J31-K31-L31-M31-N31</f>
        <v>0</v>
      </c>
      <c r="T31" s="41"/>
    </row>
    <row r="32" spans="1:20" customFormat="1" x14ac:dyDescent="0.3">
      <c r="A32" s="63">
        <v>31</v>
      </c>
      <c r="B32" s="74">
        <v>11162125</v>
      </c>
      <c r="C32" s="77" t="s">
        <v>384</v>
      </c>
      <c r="D32" s="65" t="s">
        <v>69</v>
      </c>
      <c r="E32" s="66" t="s">
        <v>365</v>
      </c>
      <c r="F32" s="67">
        <v>150</v>
      </c>
      <c r="G32" s="75"/>
      <c r="H32" s="75"/>
      <c r="I32" s="75"/>
      <c r="J32" s="75"/>
      <c r="K32" s="75"/>
      <c r="L32" s="76"/>
      <c r="M32" s="76"/>
      <c r="N32" s="76">
        <v>150</v>
      </c>
      <c r="O32" s="76"/>
      <c r="P32" s="76"/>
      <c r="Q32" s="76"/>
      <c r="R32" s="76"/>
      <c r="S32" s="50">
        <f>F32-G32-H32-I32-J32-K32-L32-M32-N32</f>
        <v>0</v>
      </c>
      <c r="T32" s="41"/>
    </row>
    <row r="33" spans="1:20" ht="17.25" customHeight="1" x14ac:dyDescent="0.3">
      <c r="A33" s="52">
        <v>32</v>
      </c>
      <c r="B33" s="53">
        <v>11162125</v>
      </c>
      <c r="C33" s="54" t="s">
        <v>385</v>
      </c>
      <c r="D33" s="55" t="s">
        <v>69</v>
      </c>
      <c r="E33" s="55" t="s">
        <v>365</v>
      </c>
      <c r="F33" s="56">
        <v>50</v>
      </c>
      <c r="G33" s="50">
        <v>50</v>
      </c>
      <c r="H33" s="57"/>
      <c r="I33" s="57"/>
      <c r="J33" s="57"/>
      <c r="K33" s="57"/>
      <c r="L33" s="58"/>
      <c r="M33" s="58"/>
      <c r="N33" s="58"/>
      <c r="O33" s="58"/>
      <c r="P33" s="58"/>
      <c r="Q33" s="58"/>
      <c r="R33" s="58"/>
      <c r="S33" s="50">
        <f>F33-G33-H33-I33-J33-K33-L33-M33-N33</f>
        <v>0</v>
      </c>
    </row>
    <row r="34" spans="1:20" customFormat="1" x14ac:dyDescent="0.3">
      <c r="A34" s="42">
        <v>33</v>
      </c>
      <c r="B34" s="60">
        <v>11162125</v>
      </c>
      <c r="C34" s="78" t="s">
        <v>386</v>
      </c>
      <c r="D34" s="45" t="s">
        <v>69</v>
      </c>
      <c r="E34" s="46" t="s">
        <v>365</v>
      </c>
      <c r="F34" s="61">
        <v>500</v>
      </c>
      <c r="G34" s="62"/>
      <c r="H34" s="62"/>
      <c r="I34" s="62"/>
      <c r="J34" s="62"/>
      <c r="K34" s="62"/>
      <c r="L34" s="59"/>
      <c r="M34" s="59"/>
      <c r="N34" s="59"/>
      <c r="O34" s="59"/>
      <c r="P34" s="59"/>
      <c r="Q34" s="59"/>
      <c r="R34" s="59">
        <v>600</v>
      </c>
      <c r="S34" s="50">
        <f t="shared" ref="S34:S35" si="3">F34-G34-H34-I34-J34-K34-L34-M34-N34-O34-P34-Q34-R34</f>
        <v>-100</v>
      </c>
      <c r="T34" s="41" t="s">
        <v>387</v>
      </c>
    </row>
    <row r="35" spans="1:20" customFormat="1" x14ac:dyDescent="0.3">
      <c r="A35" s="63">
        <v>34</v>
      </c>
      <c r="B35" s="64">
        <v>11162125</v>
      </c>
      <c r="C35" s="69" t="s">
        <v>388</v>
      </c>
      <c r="D35" s="65" t="s">
        <v>69</v>
      </c>
      <c r="E35" s="66" t="s">
        <v>365</v>
      </c>
      <c r="F35" s="67">
        <v>500</v>
      </c>
      <c r="G35" s="57"/>
      <c r="H35" s="57"/>
      <c r="I35" s="57"/>
      <c r="J35" s="57"/>
      <c r="K35" s="57"/>
      <c r="L35" s="58"/>
      <c r="M35" s="58"/>
      <c r="N35" s="58"/>
      <c r="O35" s="58"/>
      <c r="P35" s="58"/>
      <c r="Q35" s="58"/>
      <c r="R35" s="58">
        <v>150</v>
      </c>
      <c r="S35" s="50">
        <f t="shared" si="3"/>
        <v>350</v>
      </c>
      <c r="T35" s="41" t="s">
        <v>389</v>
      </c>
    </row>
    <row r="36" spans="1:20" customFormat="1" x14ac:dyDescent="0.3">
      <c r="A36" s="63">
        <v>35</v>
      </c>
      <c r="B36" s="74">
        <v>60123204</v>
      </c>
      <c r="C36" s="77" t="s">
        <v>390</v>
      </c>
      <c r="D36" s="65" t="s">
        <v>69</v>
      </c>
      <c r="E36" s="66" t="s">
        <v>365</v>
      </c>
      <c r="F36" s="67">
        <v>600</v>
      </c>
      <c r="G36" s="75"/>
      <c r="H36" s="75"/>
      <c r="I36" s="75"/>
      <c r="J36" s="75"/>
      <c r="K36" s="75"/>
      <c r="L36" s="76"/>
      <c r="M36" s="76"/>
      <c r="N36" s="76">
        <v>600</v>
      </c>
      <c r="O36" s="76"/>
      <c r="P36" s="76"/>
      <c r="Q36" s="76"/>
      <c r="R36" s="76"/>
      <c r="S36" s="50">
        <f t="shared" ref="S36:S45" si="4">F36-G36-H36-I36-J36-K36-L36-M36-N36</f>
        <v>0</v>
      </c>
      <c r="T36" s="41"/>
    </row>
    <row r="37" spans="1:20" x14ac:dyDescent="0.3">
      <c r="A37" s="52">
        <v>36</v>
      </c>
      <c r="B37" s="53">
        <v>44121701</v>
      </c>
      <c r="C37" s="53" t="s">
        <v>391</v>
      </c>
      <c r="D37" s="55" t="s">
        <v>392</v>
      </c>
      <c r="E37" s="55" t="s">
        <v>21</v>
      </c>
      <c r="F37" s="56">
        <v>200</v>
      </c>
      <c r="G37" s="50">
        <v>200</v>
      </c>
      <c r="H37" s="57"/>
      <c r="I37" s="57"/>
      <c r="J37" s="57"/>
      <c r="K37" s="57"/>
      <c r="L37" s="58"/>
      <c r="M37" s="58"/>
      <c r="N37" s="58"/>
      <c r="O37" s="58"/>
      <c r="P37" s="58"/>
      <c r="Q37" s="58"/>
      <c r="R37" s="58"/>
      <c r="S37" s="50">
        <f t="shared" si="4"/>
        <v>0</v>
      </c>
    </row>
    <row r="38" spans="1:20" customFormat="1" x14ac:dyDescent="0.3">
      <c r="A38" s="42">
        <v>37</v>
      </c>
      <c r="B38" s="60">
        <v>46111502</v>
      </c>
      <c r="C38" s="60" t="s">
        <v>393</v>
      </c>
      <c r="D38" s="45" t="s">
        <v>392</v>
      </c>
      <c r="E38" s="46" t="s">
        <v>21</v>
      </c>
      <c r="F38" s="61">
        <v>50</v>
      </c>
      <c r="G38" s="62"/>
      <c r="H38" s="62"/>
      <c r="I38" s="62"/>
      <c r="J38" s="62">
        <v>50</v>
      </c>
      <c r="K38" s="62"/>
      <c r="L38" s="59"/>
      <c r="M38" s="59"/>
      <c r="N38" s="59"/>
      <c r="O38" s="59"/>
      <c r="P38" s="59"/>
      <c r="Q38" s="59"/>
      <c r="R38" s="59"/>
      <c r="S38" s="50">
        <f t="shared" si="4"/>
        <v>0</v>
      </c>
      <c r="T38" s="41"/>
    </row>
    <row r="39" spans="1:20" customFormat="1" x14ac:dyDescent="0.3">
      <c r="A39" s="63">
        <v>38</v>
      </c>
      <c r="B39" s="64">
        <v>12352104</v>
      </c>
      <c r="C39" s="64" t="s">
        <v>394</v>
      </c>
      <c r="D39" s="70" t="s">
        <v>29</v>
      </c>
      <c r="E39" s="79" t="s">
        <v>395</v>
      </c>
      <c r="F39" s="67">
        <v>2</v>
      </c>
      <c r="G39" s="57"/>
      <c r="H39" s="57"/>
      <c r="I39" s="57"/>
      <c r="J39" s="57"/>
      <c r="K39" s="57"/>
      <c r="L39" s="58"/>
      <c r="M39" s="58"/>
      <c r="N39" s="58">
        <v>2</v>
      </c>
      <c r="O39" s="58"/>
      <c r="P39" s="58"/>
      <c r="Q39" s="58"/>
      <c r="R39" s="58"/>
      <c r="S39" s="50">
        <f t="shared" si="4"/>
        <v>0</v>
      </c>
      <c r="T39" s="41"/>
    </row>
    <row r="40" spans="1:20" customFormat="1" x14ac:dyDescent="0.3">
      <c r="A40" s="63">
        <v>39</v>
      </c>
      <c r="B40" s="74">
        <v>15101506</v>
      </c>
      <c r="C40" s="74" t="s">
        <v>396</v>
      </c>
      <c r="D40" s="45" t="s">
        <v>29</v>
      </c>
      <c r="E40" s="66" t="s">
        <v>397</v>
      </c>
      <c r="F40" s="67">
        <v>4</v>
      </c>
      <c r="G40" s="75"/>
      <c r="H40" s="75"/>
      <c r="I40" s="75"/>
      <c r="J40" s="75"/>
      <c r="K40" s="75"/>
      <c r="L40" s="76"/>
      <c r="M40" s="76"/>
      <c r="N40" s="76">
        <v>4</v>
      </c>
      <c r="O40" s="76"/>
      <c r="P40" s="76"/>
      <c r="Q40" s="76"/>
      <c r="R40" s="76"/>
      <c r="S40" s="50">
        <f t="shared" si="4"/>
        <v>0</v>
      </c>
      <c r="T40" s="41"/>
    </row>
    <row r="41" spans="1:20" x14ac:dyDescent="0.3">
      <c r="A41" s="52">
        <v>40</v>
      </c>
      <c r="B41" s="53">
        <v>47131820</v>
      </c>
      <c r="C41" s="53" t="s">
        <v>398</v>
      </c>
      <c r="D41" s="55" t="s">
        <v>399</v>
      </c>
      <c r="E41" s="55" t="s">
        <v>400</v>
      </c>
      <c r="F41" s="56">
        <v>1</v>
      </c>
      <c r="G41" s="50">
        <v>1</v>
      </c>
      <c r="H41" s="57"/>
      <c r="I41" s="57"/>
      <c r="J41" s="57"/>
      <c r="K41" s="57"/>
      <c r="L41" s="58"/>
      <c r="M41" s="58"/>
      <c r="N41" s="58"/>
      <c r="O41" s="58"/>
      <c r="P41" s="58"/>
      <c r="Q41" s="58"/>
      <c r="R41" s="58"/>
      <c r="S41" s="50">
        <f t="shared" si="4"/>
        <v>0</v>
      </c>
    </row>
    <row r="42" spans="1:20" customFormat="1" x14ac:dyDescent="0.3">
      <c r="A42" s="42">
        <v>41</v>
      </c>
      <c r="B42" s="60">
        <v>41104210</v>
      </c>
      <c r="C42" s="60" t="s">
        <v>401</v>
      </c>
      <c r="D42" s="45" t="s">
        <v>29</v>
      </c>
      <c r="E42" s="46" t="s">
        <v>395</v>
      </c>
      <c r="F42" s="61">
        <v>2</v>
      </c>
      <c r="G42" s="62"/>
      <c r="H42" s="62"/>
      <c r="I42" s="62"/>
      <c r="J42" s="62"/>
      <c r="K42" s="62"/>
      <c r="L42" s="59"/>
      <c r="M42" s="59"/>
      <c r="N42" s="59">
        <v>2</v>
      </c>
      <c r="O42" s="59"/>
      <c r="P42" s="59"/>
      <c r="Q42" s="59"/>
      <c r="R42" s="59"/>
      <c r="S42" s="50">
        <f t="shared" si="4"/>
        <v>0</v>
      </c>
      <c r="T42" s="41"/>
    </row>
    <row r="43" spans="1:20" customFormat="1" x14ac:dyDescent="0.3">
      <c r="A43" s="63">
        <v>42</v>
      </c>
      <c r="B43" s="64">
        <v>41104210</v>
      </c>
      <c r="C43" s="64" t="s">
        <v>402</v>
      </c>
      <c r="D43" s="65" t="s">
        <v>29</v>
      </c>
      <c r="E43" s="66" t="s">
        <v>395</v>
      </c>
      <c r="F43" s="67">
        <v>6</v>
      </c>
      <c r="G43" s="57"/>
      <c r="H43" s="57"/>
      <c r="I43" s="57"/>
      <c r="J43" s="57"/>
      <c r="K43" s="57"/>
      <c r="L43" s="58"/>
      <c r="M43" s="58"/>
      <c r="N43" s="58">
        <v>6</v>
      </c>
      <c r="O43" s="58"/>
      <c r="P43" s="58"/>
      <c r="Q43" s="58"/>
      <c r="R43" s="58"/>
      <c r="S43" s="50">
        <f t="shared" si="4"/>
        <v>0</v>
      </c>
      <c r="T43" s="41"/>
    </row>
    <row r="44" spans="1:20" customFormat="1" x14ac:dyDescent="0.3">
      <c r="A44" s="63">
        <v>43</v>
      </c>
      <c r="B44" s="64">
        <v>15121520</v>
      </c>
      <c r="C44" s="64" t="s">
        <v>403</v>
      </c>
      <c r="D44" s="65" t="s">
        <v>399</v>
      </c>
      <c r="E44" s="66" t="s">
        <v>404</v>
      </c>
      <c r="F44" s="67">
        <v>2</v>
      </c>
      <c r="G44" s="57"/>
      <c r="H44" s="57"/>
      <c r="I44" s="57"/>
      <c r="J44" s="57">
        <v>2</v>
      </c>
      <c r="K44" s="57"/>
      <c r="L44" s="58"/>
      <c r="M44" s="58"/>
      <c r="N44" s="58"/>
      <c r="O44" s="58"/>
      <c r="P44" s="58"/>
      <c r="Q44" s="58"/>
      <c r="R44" s="58"/>
      <c r="S44" s="50">
        <f t="shared" si="4"/>
        <v>0</v>
      </c>
      <c r="T44" s="41"/>
    </row>
    <row r="45" spans="1:20" customFormat="1" x14ac:dyDescent="0.3">
      <c r="A45" s="63">
        <v>44</v>
      </c>
      <c r="B45" s="64">
        <v>15121520</v>
      </c>
      <c r="C45" s="64" t="s">
        <v>405</v>
      </c>
      <c r="D45" s="65" t="s">
        <v>406</v>
      </c>
      <c r="E45" s="66" t="s">
        <v>407</v>
      </c>
      <c r="F45" s="67">
        <v>2</v>
      </c>
      <c r="G45" s="57"/>
      <c r="H45" s="57"/>
      <c r="I45" s="57">
        <v>2</v>
      </c>
      <c r="J45" s="57"/>
      <c r="K45" s="57"/>
      <c r="L45" s="58"/>
      <c r="M45" s="58"/>
      <c r="N45" s="58"/>
      <c r="O45" s="58"/>
      <c r="P45" s="58"/>
      <c r="Q45" s="58"/>
      <c r="R45" s="58"/>
      <c r="S45" s="50">
        <f t="shared" si="4"/>
        <v>0</v>
      </c>
      <c r="T45" s="41"/>
    </row>
    <row r="46" spans="1:20" customFormat="1" x14ac:dyDescent="0.3">
      <c r="A46" s="63">
        <v>45</v>
      </c>
      <c r="B46" s="64">
        <v>31201601</v>
      </c>
      <c r="C46" s="64" t="s">
        <v>408</v>
      </c>
      <c r="D46" s="65" t="s">
        <v>406</v>
      </c>
      <c r="E46" s="66" t="s">
        <v>409</v>
      </c>
      <c r="F46" s="67">
        <v>10</v>
      </c>
      <c r="G46" s="57"/>
      <c r="H46" s="50">
        <v>12</v>
      </c>
      <c r="I46" s="57"/>
      <c r="J46" s="57"/>
      <c r="K46" s="57"/>
      <c r="L46" s="58"/>
      <c r="M46" s="58"/>
      <c r="N46" s="58"/>
      <c r="O46" s="58"/>
      <c r="P46" s="58"/>
      <c r="Q46" s="58"/>
      <c r="R46" s="58"/>
      <c r="S46" s="50">
        <f t="shared" ref="S46:S57" si="5">F46-G46-H46-I46-J46-K46-L46-M46-N46-O46-P46-Q46-R46</f>
        <v>-2</v>
      </c>
      <c r="T46" s="41"/>
    </row>
    <row r="47" spans="1:20" customFormat="1" x14ac:dyDescent="0.3">
      <c r="A47" s="63">
        <v>46</v>
      </c>
      <c r="B47" s="64">
        <v>31200000</v>
      </c>
      <c r="C47" s="64" t="s">
        <v>410</v>
      </c>
      <c r="D47" s="65" t="s">
        <v>411</v>
      </c>
      <c r="E47" s="66" t="s">
        <v>409</v>
      </c>
      <c r="F47" s="67">
        <v>10</v>
      </c>
      <c r="G47" s="57"/>
      <c r="H47" s="50">
        <v>12</v>
      </c>
      <c r="I47" s="57"/>
      <c r="J47" s="57"/>
      <c r="K47" s="57"/>
      <c r="L47" s="58"/>
      <c r="M47" s="58"/>
      <c r="N47" s="58"/>
      <c r="O47" s="58"/>
      <c r="P47" s="58"/>
      <c r="Q47" s="58"/>
      <c r="R47" s="58"/>
      <c r="S47" s="50">
        <f t="shared" si="5"/>
        <v>-2</v>
      </c>
      <c r="T47" s="41"/>
    </row>
    <row r="48" spans="1:20" customFormat="1" x14ac:dyDescent="0.3">
      <c r="A48" s="80">
        <v>47</v>
      </c>
      <c r="B48" s="64">
        <v>31200000</v>
      </c>
      <c r="C48" s="64" t="s">
        <v>412</v>
      </c>
      <c r="D48" s="81" t="s">
        <v>399</v>
      </c>
      <c r="E48" s="82" t="s">
        <v>413</v>
      </c>
      <c r="F48" s="83">
        <v>100</v>
      </c>
      <c r="G48" s="57"/>
      <c r="H48" s="50">
        <v>102</v>
      </c>
      <c r="I48" s="57"/>
      <c r="J48" s="57"/>
      <c r="K48" s="57"/>
      <c r="L48" s="58"/>
      <c r="M48" s="58"/>
      <c r="N48" s="58"/>
      <c r="O48" s="58"/>
      <c r="P48" s="58"/>
      <c r="Q48" s="58">
        <v>80</v>
      </c>
      <c r="R48" s="58">
        <v>65</v>
      </c>
      <c r="S48" s="50">
        <f t="shared" si="5"/>
        <v>-147</v>
      </c>
      <c r="T48" s="41"/>
    </row>
    <row r="49" spans="1:20" customFormat="1" x14ac:dyDescent="0.3">
      <c r="A49" s="42">
        <v>48</v>
      </c>
      <c r="B49" s="60">
        <v>31200000</v>
      </c>
      <c r="C49" s="78" t="s">
        <v>414</v>
      </c>
      <c r="D49" s="45" t="s">
        <v>399</v>
      </c>
      <c r="E49" s="46" t="s">
        <v>415</v>
      </c>
      <c r="F49" s="61">
        <v>50</v>
      </c>
      <c r="G49" s="62"/>
      <c r="H49" s="62"/>
      <c r="I49" s="62">
        <v>36</v>
      </c>
      <c r="J49" s="62"/>
      <c r="K49" s="62"/>
      <c r="L49" s="59">
        <v>9</v>
      </c>
      <c r="M49" s="59"/>
      <c r="N49" s="59"/>
      <c r="O49" s="59"/>
      <c r="P49" s="59"/>
      <c r="Q49" s="59"/>
      <c r="R49" s="59">
        <v>35</v>
      </c>
      <c r="S49" s="50">
        <f t="shared" si="5"/>
        <v>-30</v>
      </c>
      <c r="T49" s="41"/>
    </row>
    <row r="50" spans="1:20" customFormat="1" x14ac:dyDescent="0.3">
      <c r="A50" s="63">
        <v>49</v>
      </c>
      <c r="B50" s="64">
        <v>13101502</v>
      </c>
      <c r="C50" s="69" t="s">
        <v>416</v>
      </c>
      <c r="D50" s="65" t="s">
        <v>115</v>
      </c>
      <c r="E50" s="66" t="s">
        <v>115</v>
      </c>
      <c r="F50" s="67">
        <v>80</v>
      </c>
      <c r="G50" s="57"/>
      <c r="H50" s="57"/>
      <c r="I50" s="57"/>
      <c r="J50" s="57"/>
      <c r="K50" s="57"/>
      <c r="L50" s="58"/>
      <c r="M50" s="58"/>
      <c r="N50" s="58"/>
      <c r="O50" s="58"/>
      <c r="P50" s="58"/>
      <c r="Q50" s="58">
        <v>128</v>
      </c>
      <c r="R50" s="58"/>
      <c r="S50" s="50">
        <f t="shared" si="5"/>
        <v>-48</v>
      </c>
      <c r="T50" s="41"/>
    </row>
    <row r="51" spans="1:20" customFormat="1" x14ac:dyDescent="0.3">
      <c r="A51" s="63">
        <v>50</v>
      </c>
      <c r="B51" s="64">
        <v>13101502</v>
      </c>
      <c r="C51" s="69" t="s">
        <v>417</v>
      </c>
      <c r="D51" s="70" t="s">
        <v>115</v>
      </c>
      <c r="E51" s="66" t="s">
        <v>115</v>
      </c>
      <c r="F51" s="67">
        <v>80</v>
      </c>
      <c r="G51" s="57"/>
      <c r="H51" s="57"/>
      <c r="I51" s="57"/>
      <c r="J51" s="57"/>
      <c r="K51" s="57"/>
      <c r="L51" s="58"/>
      <c r="M51" s="58"/>
      <c r="N51" s="58"/>
      <c r="O51" s="58"/>
      <c r="P51" s="58"/>
      <c r="Q51" s="58">
        <v>80</v>
      </c>
      <c r="R51" s="58"/>
      <c r="S51" s="50">
        <f t="shared" si="5"/>
        <v>0</v>
      </c>
      <c r="T51" s="41"/>
    </row>
    <row r="52" spans="1:20" customFormat="1" x14ac:dyDescent="0.3">
      <c r="A52" s="63">
        <v>51</v>
      </c>
      <c r="B52" s="64">
        <v>13101606</v>
      </c>
      <c r="C52" s="69" t="s">
        <v>418</v>
      </c>
      <c r="D52" s="70" t="s">
        <v>115</v>
      </c>
      <c r="E52" s="66" t="s">
        <v>115</v>
      </c>
      <c r="F52" s="67">
        <v>80</v>
      </c>
      <c r="G52" s="57"/>
      <c r="H52" s="57"/>
      <c r="I52" s="57"/>
      <c r="J52" s="57"/>
      <c r="K52" s="57"/>
      <c r="L52" s="58"/>
      <c r="M52" s="58"/>
      <c r="N52" s="58"/>
      <c r="O52" s="58"/>
      <c r="P52" s="58"/>
      <c r="Q52" s="58">
        <v>128</v>
      </c>
      <c r="R52" s="58"/>
      <c r="S52" s="50">
        <f t="shared" si="5"/>
        <v>-48</v>
      </c>
      <c r="T52" s="41"/>
    </row>
    <row r="53" spans="1:20" customFormat="1" x14ac:dyDescent="0.3">
      <c r="A53" s="63">
        <v>52</v>
      </c>
      <c r="B53" s="64">
        <v>13101601</v>
      </c>
      <c r="C53" s="69" t="s">
        <v>419</v>
      </c>
      <c r="D53" s="70" t="s">
        <v>115</v>
      </c>
      <c r="E53" s="66" t="s">
        <v>115</v>
      </c>
      <c r="F53" s="67">
        <v>80</v>
      </c>
      <c r="G53" s="57"/>
      <c r="H53" s="57"/>
      <c r="I53" s="57"/>
      <c r="J53" s="57"/>
      <c r="K53" s="57"/>
      <c r="L53" s="58"/>
      <c r="M53" s="58"/>
      <c r="N53" s="58"/>
      <c r="O53" s="58"/>
      <c r="P53" s="58"/>
      <c r="Q53" s="58">
        <v>80</v>
      </c>
      <c r="R53" s="58"/>
      <c r="S53" s="50">
        <f t="shared" si="5"/>
        <v>0</v>
      </c>
      <c r="T53" s="41"/>
    </row>
    <row r="54" spans="1:20" customFormat="1" x14ac:dyDescent="0.3">
      <c r="A54" s="63">
        <v>53</v>
      </c>
      <c r="B54" s="64">
        <v>13101606</v>
      </c>
      <c r="C54" s="69" t="s">
        <v>420</v>
      </c>
      <c r="D54" s="70" t="s">
        <v>115</v>
      </c>
      <c r="E54" s="66" t="s">
        <v>115</v>
      </c>
      <c r="F54" s="67">
        <v>48</v>
      </c>
      <c r="G54" s="57"/>
      <c r="H54" s="57"/>
      <c r="I54" s="57"/>
      <c r="J54" s="57"/>
      <c r="K54" s="57"/>
      <c r="L54" s="58"/>
      <c r="M54" s="58"/>
      <c r="N54" s="58"/>
      <c r="O54" s="58"/>
      <c r="P54" s="58"/>
      <c r="Q54" s="58"/>
      <c r="R54" s="58"/>
      <c r="S54" s="50">
        <f t="shared" si="5"/>
        <v>48</v>
      </c>
      <c r="T54" s="41"/>
    </row>
    <row r="55" spans="1:20" customFormat="1" x14ac:dyDescent="0.3">
      <c r="A55" s="63">
        <v>54</v>
      </c>
      <c r="B55" s="64">
        <v>13101606</v>
      </c>
      <c r="C55" s="69" t="s">
        <v>421</v>
      </c>
      <c r="D55" s="70" t="s">
        <v>115</v>
      </c>
      <c r="E55" s="66" t="s">
        <v>115</v>
      </c>
      <c r="F55" s="67">
        <v>48</v>
      </c>
      <c r="G55" s="57"/>
      <c r="H55" s="57"/>
      <c r="I55" s="57"/>
      <c r="J55" s="57"/>
      <c r="K55" s="57"/>
      <c r="L55" s="58"/>
      <c r="M55" s="58"/>
      <c r="N55" s="58"/>
      <c r="O55" s="58">
        <v>48</v>
      </c>
      <c r="P55" s="58"/>
      <c r="Q55" s="58"/>
      <c r="R55" s="58"/>
      <c r="S55" s="50">
        <f t="shared" si="5"/>
        <v>0</v>
      </c>
      <c r="T55" s="41"/>
    </row>
    <row r="56" spans="1:20" customFormat="1" x14ac:dyDescent="0.3">
      <c r="A56" s="63">
        <v>55</v>
      </c>
      <c r="B56" s="64">
        <v>13101601</v>
      </c>
      <c r="C56" s="69" t="s">
        <v>422</v>
      </c>
      <c r="D56" s="70" t="s">
        <v>115</v>
      </c>
      <c r="E56" s="66" t="s">
        <v>115</v>
      </c>
      <c r="F56" s="67">
        <v>48</v>
      </c>
      <c r="G56" s="57"/>
      <c r="H56" s="57"/>
      <c r="I56" s="57"/>
      <c r="J56" s="57"/>
      <c r="K56" s="57"/>
      <c r="L56" s="58"/>
      <c r="M56" s="58"/>
      <c r="N56" s="58"/>
      <c r="O56" s="58"/>
      <c r="P56" s="58"/>
      <c r="Q56" s="58"/>
      <c r="R56" s="58"/>
      <c r="S56" s="50">
        <f t="shared" si="5"/>
        <v>48</v>
      </c>
      <c r="T56" s="41"/>
    </row>
    <row r="57" spans="1:20" customFormat="1" x14ac:dyDescent="0.3">
      <c r="A57" s="63">
        <v>56</v>
      </c>
      <c r="B57" s="64">
        <v>46182208</v>
      </c>
      <c r="C57" s="69" t="s">
        <v>423</v>
      </c>
      <c r="D57" s="70" t="s">
        <v>115</v>
      </c>
      <c r="E57" s="66" t="s">
        <v>115</v>
      </c>
      <c r="F57" s="67">
        <v>300</v>
      </c>
      <c r="G57" s="57"/>
      <c r="H57" s="57"/>
      <c r="I57" s="57"/>
      <c r="J57" s="57"/>
      <c r="K57" s="57"/>
      <c r="L57" s="58"/>
      <c r="M57" s="58"/>
      <c r="N57" s="58"/>
      <c r="O57" s="58">
        <v>300</v>
      </c>
      <c r="P57" s="58"/>
      <c r="Q57" s="58"/>
      <c r="R57" s="58"/>
      <c r="S57" s="50">
        <f t="shared" si="5"/>
        <v>0</v>
      </c>
      <c r="T57" s="41"/>
    </row>
    <row r="58" spans="1:20" customFormat="1" x14ac:dyDescent="0.3">
      <c r="A58" s="63">
        <v>57</v>
      </c>
      <c r="B58" s="64">
        <v>11162116</v>
      </c>
      <c r="C58" s="69" t="s">
        <v>424</v>
      </c>
      <c r="D58" s="65" t="s">
        <v>392</v>
      </c>
      <c r="E58" s="66" t="s">
        <v>425</v>
      </c>
      <c r="F58" s="67">
        <v>10</v>
      </c>
      <c r="G58" s="57"/>
      <c r="H58" s="57"/>
      <c r="I58" s="57"/>
      <c r="J58" s="57">
        <v>10</v>
      </c>
      <c r="K58" s="57"/>
      <c r="L58" s="58"/>
      <c r="M58" s="58"/>
      <c r="N58" s="58"/>
      <c r="O58" s="58"/>
      <c r="P58" s="58"/>
      <c r="Q58" s="58"/>
      <c r="R58" s="58"/>
      <c r="S58" s="50">
        <f>F58-G58-H58-I58-J58-K58-L58-M58-N58</f>
        <v>0</v>
      </c>
      <c r="T58" s="41"/>
    </row>
    <row r="59" spans="1:20" customFormat="1" x14ac:dyDescent="0.3">
      <c r="A59" s="63">
        <v>58</v>
      </c>
      <c r="B59" s="64">
        <v>72152604</v>
      </c>
      <c r="C59" s="69" t="s">
        <v>426</v>
      </c>
      <c r="D59" s="65" t="s">
        <v>392</v>
      </c>
      <c r="E59" s="66" t="s">
        <v>21</v>
      </c>
      <c r="F59" s="67">
        <v>0</v>
      </c>
      <c r="G59" s="57"/>
      <c r="H59" s="57"/>
      <c r="I59" s="57"/>
      <c r="J59" s="57"/>
      <c r="K59" s="57"/>
      <c r="L59" s="58"/>
      <c r="M59" s="58"/>
      <c r="N59" s="58"/>
      <c r="O59" s="58"/>
      <c r="P59" s="58"/>
      <c r="Q59" s="58"/>
      <c r="R59" s="58"/>
      <c r="S59" s="50">
        <f>F59-G59-H59-I59-J59-K59-L59-M59-N59</f>
        <v>0</v>
      </c>
      <c r="T59" s="41"/>
    </row>
    <row r="60" spans="1:20" customFormat="1" x14ac:dyDescent="0.3">
      <c r="A60" s="63">
        <v>59</v>
      </c>
      <c r="B60" s="64">
        <v>14121703</v>
      </c>
      <c r="C60" s="69" t="s">
        <v>427</v>
      </c>
      <c r="D60" s="65" t="s">
        <v>392</v>
      </c>
      <c r="E60" s="66" t="s">
        <v>428</v>
      </c>
      <c r="F60" s="67">
        <v>3</v>
      </c>
      <c r="G60" s="57"/>
      <c r="H60" s="57"/>
      <c r="I60" s="57"/>
      <c r="J60" s="57"/>
      <c r="K60" s="57"/>
      <c r="L60" s="58"/>
      <c r="M60" s="58"/>
      <c r="N60" s="58">
        <v>3</v>
      </c>
      <c r="O60" s="58"/>
      <c r="P60" s="58"/>
      <c r="Q60" s="58"/>
      <c r="R60" s="58"/>
      <c r="S60" s="50">
        <f>F60-G60-H60-I60-J60-K60-L60-M60-N60</f>
        <v>0</v>
      </c>
      <c r="T60" s="41"/>
    </row>
    <row r="61" spans="1:20" customFormat="1" x14ac:dyDescent="0.3">
      <c r="A61" s="63">
        <v>60</v>
      </c>
      <c r="B61" s="64">
        <v>31201509</v>
      </c>
      <c r="C61" s="69" t="s">
        <v>429</v>
      </c>
      <c r="D61" s="65" t="s">
        <v>392</v>
      </c>
      <c r="E61" s="66" t="s">
        <v>430</v>
      </c>
      <c r="F61" s="67">
        <v>10</v>
      </c>
      <c r="G61" s="57"/>
      <c r="H61" s="57"/>
      <c r="I61" s="57"/>
      <c r="J61" s="57"/>
      <c r="K61" s="57"/>
      <c r="L61" s="58"/>
      <c r="M61" s="58"/>
      <c r="N61" s="58"/>
      <c r="O61" s="58">
        <v>10</v>
      </c>
      <c r="P61" s="58"/>
      <c r="Q61" s="58"/>
      <c r="R61" s="58"/>
      <c r="S61" s="50">
        <f t="shared" ref="S61:S62" si="6">F61-G61-H61-I61-J61-K61-L61-M61-N61-O61-P61-Q61-R61</f>
        <v>0</v>
      </c>
      <c r="T61" s="41"/>
    </row>
    <row r="62" spans="1:20" customFormat="1" x14ac:dyDescent="0.3">
      <c r="A62" s="63">
        <v>61</v>
      </c>
      <c r="B62" s="74">
        <v>31211904</v>
      </c>
      <c r="C62" s="74" t="s">
        <v>431</v>
      </c>
      <c r="D62" s="70" t="s">
        <v>392</v>
      </c>
      <c r="E62" s="66" t="s">
        <v>21</v>
      </c>
      <c r="F62" s="67">
        <v>200</v>
      </c>
      <c r="G62" s="75"/>
      <c r="H62" s="75"/>
      <c r="I62" s="75"/>
      <c r="J62" s="75"/>
      <c r="K62" s="75"/>
      <c r="L62" s="76"/>
      <c r="M62" s="76"/>
      <c r="N62" s="76"/>
      <c r="O62" s="76">
        <v>200</v>
      </c>
      <c r="P62" s="76"/>
      <c r="Q62" s="76"/>
      <c r="R62" s="76"/>
      <c r="S62" s="50">
        <f t="shared" si="6"/>
        <v>0</v>
      </c>
      <c r="T62" s="41" t="s">
        <v>432</v>
      </c>
    </row>
    <row r="63" spans="1:20" x14ac:dyDescent="0.3">
      <c r="A63" s="52">
        <v>62</v>
      </c>
      <c r="B63" s="53">
        <v>27111918</v>
      </c>
      <c r="C63" s="53" t="s">
        <v>433</v>
      </c>
      <c r="D63" s="55" t="s">
        <v>392</v>
      </c>
      <c r="E63" s="55" t="s">
        <v>21</v>
      </c>
      <c r="F63" s="56">
        <v>10</v>
      </c>
      <c r="G63" s="84">
        <v>10</v>
      </c>
      <c r="H63" s="57"/>
      <c r="I63" s="57"/>
      <c r="J63" s="57"/>
      <c r="K63" s="57"/>
      <c r="L63" s="58"/>
      <c r="M63" s="58"/>
      <c r="N63" s="58"/>
      <c r="O63" s="58"/>
      <c r="P63" s="58"/>
      <c r="Q63" s="58"/>
      <c r="R63" s="58"/>
      <c r="S63" s="50">
        <f>F63-G63-H63-I63-J63-K63-L63-M63-N63</f>
        <v>0</v>
      </c>
    </row>
    <row r="64" spans="1:20" x14ac:dyDescent="0.3">
      <c r="A64" s="52">
        <v>63</v>
      </c>
      <c r="B64" s="53">
        <v>27111918</v>
      </c>
      <c r="C64" s="53" t="s">
        <v>434</v>
      </c>
      <c r="D64" s="55" t="s">
        <v>392</v>
      </c>
      <c r="E64" s="55" t="s">
        <v>21</v>
      </c>
      <c r="F64" s="56">
        <v>10</v>
      </c>
      <c r="G64" s="84">
        <v>10</v>
      </c>
      <c r="H64" s="57"/>
      <c r="I64" s="57"/>
      <c r="J64" s="57"/>
      <c r="K64" s="57"/>
      <c r="L64" s="58"/>
      <c r="M64" s="58"/>
      <c r="N64" s="58"/>
      <c r="O64" s="58"/>
      <c r="P64" s="58"/>
      <c r="Q64" s="58"/>
      <c r="R64" s="58"/>
      <c r="S64" s="50">
        <f>F64-G64-H64-I64-J64-K64-L64-M64-N64</f>
        <v>0</v>
      </c>
    </row>
    <row r="65" spans="1:20" x14ac:dyDescent="0.3">
      <c r="A65" s="52">
        <v>64</v>
      </c>
      <c r="B65" s="53">
        <v>27111918</v>
      </c>
      <c r="C65" s="53" t="s">
        <v>435</v>
      </c>
      <c r="D65" s="55" t="s">
        <v>392</v>
      </c>
      <c r="E65" s="55" t="s">
        <v>21</v>
      </c>
      <c r="F65" s="56">
        <v>10</v>
      </c>
      <c r="G65" s="84">
        <v>10</v>
      </c>
      <c r="H65" s="57"/>
      <c r="I65" s="57"/>
      <c r="J65" s="57"/>
      <c r="K65" s="57"/>
      <c r="L65" s="58"/>
      <c r="M65" s="58"/>
      <c r="N65" s="58"/>
      <c r="O65" s="58"/>
      <c r="P65" s="58"/>
      <c r="Q65" s="58"/>
      <c r="R65" s="58"/>
      <c r="S65" s="50">
        <f>F65-G65-H65-I65-J65-K65-L65-M65-N65</f>
        <v>0</v>
      </c>
    </row>
    <row r="66" spans="1:20" x14ac:dyDescent="0.3">
      <c r="A66" s="52">
        <v>65</v>
      </c>
      <c r="B66" s="53">
        <v>27111918</v>
      </c>
      <c r="C66" s="53" t="s">
        <v>436</v>
      </c>
      <c r="D66" s="55" t="s">
        <v>392</v>
      </c>
      <c r="E66" s="55" t="s">
        <v>21</v>
      </c>
      <c r="F66" s="56">
        <v>10</v>
      </c>
      <c r="G66" s="84">
        <v>10</v>
      </c>
      <c r="H66" s="57"/>
      <c r="I66" s="57"/>
      <c r="J66" s="57"/>
      <c r="K66" s="57"/>
      <c r="L66" s="58"/>
      <c r="M66" s="58"/>
      <c r="N66" s="58"/>
      <c r="O66" s="58"/>
      <c r="P66" s="58"/>
      <c r="Q66" s="58"/>
      <c r="R66" s="58"/>
      <c r="S66" s="50">
        <f>F66-G66-H66-I66-J66-K66-L66-M66-N66</f>
        <v>0</v>
      </c>
    </row>
    <row r="67" spans="1:20" x14ac:dyDescent="0.3">
      <c r="A67" s="52">
        <v>66</v>
      </c>
      <c r="B67" s="53">
        <v>27111918</v>
      </c>
      <c r="C67" s="53" t="s">
        <v>437</v>
      </c>
      <c r="D67" s="55" t="s">
        <v>392</v>
      </c>
      <c r="E67" s="55" t="s">
        <v>21</v>
      </c>
      <c r="F67" s="56">
        <v>10</v>
      </c>
      <c r="G67" s="84">
        <v>10</v>
      </c>
      <c r="H67" s="57"/>
      <c r="I67" s="57"/>
      <c r="J67" s="57"/>
      <c r="K67" s="57"/>
      <c r="L67" s="58"/>
      <c r="M67" s="58"/>
      <c r="N67" s="58"/>
      <c r="O67" s="58"/>
      <c r="P67" s="58"/>
      <c r="Q67" s="58"/>
      <c r="R67" s="58"/>
      <c r="S67" s="50">
        <f t="shared" ref="S67:S80" si="7">F67-G67-H67-I67-J67-K67-L67-M67-N67</f>
        <v>0</v>
      </c>
    </row>
    <row r="68" spans="1:20" x14ac:dyDescent="0.3">
      <c r="A68" s="52">
        <v>67</v>
      </c>
      <c r="B68" s="53">
        <v>27111918</v>
      </c>
      <c r="C68" s="53" t="s">
        <v>438</v>
      </c>
      <c r="D68" s="55" t="s">
        <v>392</v>
      </c>
      <c r="E68" s="55" t="s">
        <v>21</v>
      </c>
      <c r="F68" s="56">
        <v>10</v>
      </c>
      <c r="G68" s="84">
        <v>10</v>
      </c>
      <c r="H68" s="57"/>
      <c r="I68" s="57"/>
      <c r="J68" s="57"/>
      <c r="K68" s="57"/>
      <c r="L68" s="58"/>
      <c r="M68" s="58"/>
      <c r="N68" s="58"/>
      <c r="O68" s="58"/>
      <c r="P68" s="58"/>
      <c r="Q68" s="58"/>
      <c r="R68" s="58"/>
      <c r="S68" s="50">
        <f t="shared" si="7"/>
        <v>0</v>
      </c>
    </row>
    <row r="69" spans="1:20" customFormat="1" x14ac:dyDescent="0.3">
      <c r="A69" s="42">
        <v>68</v>
      </c>
      <c r="B69" s="43">
        <v>27111918</v>
      </c>
      <c r="C69" s="43" t="s">
        <v>439</v>
      </c>
      <c r="D69" s="45" t="s">
        <v>392</v>
      </c>
      <c r="E69" s="46" t="s">
        <v>21</v>
      </c>
      <c r="F69" s="61">
        <v>10</v>
      </c>
      <c r="G69" s="61"/>
      <c r="H69" s="85"/>
      <c r="I69" s="85"/>
      <c r="J69" s="85"/>
      <c r="K69" s="85"/>
      <c r="L69" s="86"/>
      <c r="M69" s="86"/>
      <c r="N69" s="86">
        <v>10</v>
      </c>
      <c r="O69" s="86"/>
      <c r="P69" s="86"/>
      <c r="Q69" s="86"/>
      <c r="R69" s="86"/>
      <c r="S69" s="50">
        <f t="shared" si="7"/>
        <v>0</v>
      </c>
      <c r="T69" s="41"/>
    </row>
    <row r="70" spans="1:20" x14ac:dyDescent="0.3">
      <c r="A70" s="52">
        <v>69</v>
      </c>
      <c r="B70" s="53">
        <v>27111918</v>
      </c>
      <c r="C70" s="53" t="s">
        <v>440</v>
      </c>
      <c r="D70" s="55" t="s">
        <v>392</v>
      </c>
      <c r="E70" s="55" t="s">
        <v>21</v>
      </c>
      <c r="F70" s="56">
        <v>10</v>
      </c>
      <c r="G70" s="84">
        <v>10</v>
      </c>
      <c r="H70" s="57"/>
      <c r="I70" s="57"/>
      <c r="J70" s="57"/>
      <c r="K70" s="57"/>
      <c r="L70" s="58"/>
      <c r="M70" s="58"/>
      <c r="N70" s="58"/>
      <c r="O70" s="58"/>
      <c r="P70" s="58"/>
      <c r="Q70" s="58"/>
      <c r="R70" s="58"/>
      <c r="S70" s="50">
        <f t="shared" si="7"/>
        <v>0</v>
      </c>
    </row>
    <row r="71" spans="1:20" x14ac:dyDescent="0.3">
      <c r="A71" s="52">
        <v>70</v>
      </c>
      <c r="B71" s="53">
        <v>27111918</v>
      </c>
      <c r="C71" s="53" t="s">
        <v>441</v>
      </c>
      <c r="D71" s="55" t="s">
        <v>392</v>
      </c>
      <c r="E71" s="55" t="s">
        <v>21</v>
      </c>
      <c r="F71" s="56">
        <v>10</v>
      </c>
      <c r="G71" s="84">
        <v>10</v>
      </c>
      <c r="H71" s="57"/>
      <c r="I71" s="57"/>
      <c r="J71" s="57"/>
      <c r="K71" s="57"/>
      <c r="L71" s="58"/>
      <c r="M71" s="58"/>
      <c r="N71" s="58"/>
      <c r="O71" s="58"/>
      <c r="P71" s="58"/>
      <c r="Q71" s="58"/>
      <c r="R71" s="58"/>
      <c r="S71" s="50">
        <f t="shared" si="7"/>
        <v>0</v>
      </c>
    </row>
    <row r="72" spans="1:20" customFormat="1" x14ac:dyDescent="0.3">
      <c r="A72" s="42">
        <v>71</v>
      </c>
      <c r="B72" s="60">
        <v>27112739</v>
      </c>
      <c r="C72" s="60" t="s">
        <v>442</v>
      </c>
      <c r="D72" s="45" t="s">
        <v>392</v>
      </c>
      <c r="E72" s="46" t="s">
        <v>21</v>
      </c>
      <c r="F72" s="61">
        <v>5</v>
      </c>
      <c r="G72" s="62"/>
      <c r="H72" s="62"/>
      <c r="I72" s="62"/>
      <c r="J72" s="62"/>
      <c r="K72" s="62"/>
      <c r="L72" s="59"/>
      <c r="M72" s="59"/>
      <c r="N72" s="59">
        <v>5</v>
      </c>
      <c r="O72" s="59"/>
      <c r="P72" s="59"/>
      <c r="Q72" s="59"/>
      <c r="R72" s="59"/>
      <c r="S72" s="50">
        <f t="shared" si="7"/>
        <v>0</v>
      </c>
      <c r="T72" s="41" t="s">
        <v>443</v>
      </c>
    </row>
    <row r="73" spans="1:20" customFormat="1" x14ac:dyDescent="0.3">
      <c r="A73" s="63">
        <v>72</v>
      </c>
      <c r="B73" s="74">
        <v>27112739</v>
      </c>
      <c r="C73" s="74" t="s">
        <v>444</v>
      </c>
      <c r="D73" s="65" t="s">
        <v>392</v>
      </c>
      <c r="E73" s="66" t="s">
        <v>21</v>
      </c>
      <c r="F73" s="67">
        <v>5</v>
      </c>
      <c r="G73" s="75"/>
      <c r="H73" s="75"/>
      <c r="I73" s="75"/>
      <c r="J73" s="75"/>
      <c r="K73" s="75"/>
      <c r="L73" s="76"/>
      <c r="M73" s="76"/>
      <c r="N73" s="76">
        <v>5</v>
      </c>
      <c r="O73" s="76"/>
      <c r="P73" s="76"/>
      <c r="Q73" s="76"/>
      <c r="R73" s="76"/>
      <c r="S73" s="50">
        <f t="shared" si="7"/>
        <v>0</v>
      </c>
      <c r="T73" s="41"/>
    </row>
    <row r="74" spans="1:20" x14ac:dyDescent="0.3">
      <c r="A74" s="52">
        <v>73</v>
      </c>
      <c r="B74" s="53">
        <v>53141605</v>
      </c>
      <c r="C74" s="53" t="s">
        <v>445</v>
      </c>
      <c r="D74" s="55" t="s">
        <v>392</v>
      </c>
      <c r="E74" s="55" t="s">
        <v>21</v>
      </c>
      <c r="F74" s="56">
        <v>100</v>
      </c>
      <c r="G74" s="50">
        <v>100</v>
      </c>
      <c r="H74" s="57"/>
      <c r="I74" s="57"/>
      <c r="J74" s="57"/>
      <c r="K74" s="57"/>
      <c r="L74" s="58"/>
      <c r="M74" s="58"/>
      <c r="N74" s="58"/>
      <c r="O74" s="58"/>
      <c r="P74" s="58"/>
      <c r="Q74" s="58">
        <v>400</v>
      </c>
      <c r="R74" s="58"/>
      <c r="S74" s="50">
        <f t="shared" si="7"/>
        <v>0</v>
      </c>
    </row>
    <row r="75" spans="1:20" x14ac:dyDescent="0.3">
      <c r="A75" s="52">
        <v>74</v>
      </c>
      <c r="B75" s="53">
        <v>23121612</v>
      </c>
      <c r="C75" s="53" t="s">
        <v>446</v>
      </c>
      <c r="D75" s="55" t="s">
        <v>392</v>
      </c>
      <c r="E75" s="55" t="s">
        <v>447</v>
      </c>
      <c r="F75" s="56">
        <v>15</v>
      </c>
      <c r="G75" s="50">
        <v>15</v>
      </c>
      <c r="H75" s="57"/>
      <c r="I75" s="57"/>
      <c r="J75" s="57"/>
      <c r="K75" s="57"/>
      <c r="L75" s="58"/>
      <c r="M75" s="58"/>
      <c r="N75" s="58"/>
      <c r="O75" s="58"/>
      <c r="P75" s="58"/>
      <c r="Q75" s="58"/>
      <c r="R75" s="58"/>
      <c r="S75" s="50">
        <f t="shared" si="7"/>
        <v>0</v>
      </c>
    </row>
    <row r="76" spans="1:20" customFormat="1" x14ac:dyDescent="0.3">
      <c r="A76" s="42">
        <v>75</v>
      </c>
      <c r="B76" s="60">
        <v>23121612</v>
      </c>
      <c r="C76" s="60" t="s">
        <v>448</v>
      </c>
      <c r="D76" s="45" t="s">
        <v>392</v>
      </c>
      <c r="E76" s="46" t="s">
        <v>447</v>
      </c>
      <c r="F76" s="61">
        <v>50</v>
      </c>
      <c r="G76" s="62"/>
      <c r="H76" s="62"/>
      <c r="I76" s="62"/>
      <c r="J76" s="62"/>
      <c r="K76" s="62"/>
      <c r="L76" s="59"/>
      <c r="M76" s="59"/>
      <c r="N76" s="59"/>
      <c r="O76" s="59"/>
      <c r="P76" s="59"/>
      <c r="Q76" s="59">
        <v>50</v>
      </c>
      <c r="R76" s="59"/>
      <c r="S76" s="50">
        <f t="shared" ref="S76:S78" si="8">F76-G76-H76-I76-J76-K76-L76-M76-N76-O76-P76-Q76-R76</f>
        <v>0</v>
      </c>
      <c r="T76" s="41"/>
    </row>
    <row r="77" spans="1:20" customFormat="1" x14ac:dyDescent="0.3">
      <c r="A77" s="63">
        <v>76</v>
      </c>
      <c r="B77" s="64">
        <v>23121612</v>
      </c>
      <c r="C77" s="64" t="s">
        <v>449</v>
      </c>
      <c r="D77" s="65" t="s">
        <v>392</v>
      </c>
      <c r="E77" s="66" t="s">
        <v>447</v>
      </c>
      <c r="F77" s="67">
        <v>50</v>
      </c>
      <c r="G77" s="57"/>
      <c r="H77" s="57"/>
      <c r="I77" s="57"/>
      <c r="J77" s="57"/>
      <c r="K77" s="57"/>
      <c r="L77" s="58"/>
      <c r="M77" s="58"/>
      <c r="N77" s="58"/>
      <c r="O77" s="58"/>
      <c r="P77" s="58"/>
      <c r="Q77" s="58">
        <v>50</v>
      </c>
      <c r="R77" s="58"/>
      <c r="S77" s="50">
        <f t="shared" si="8"/>
        <v>0</v>
      </c>
      <c r="T77" s="41"/>
    </row>
    <row r="78" spans="1:20" customFormat="1" x14ac:dyDescent="0.3">
      <c r="A78" s="63">
        <v>77</v>
      </c>
      <c r="B78" s="74">
        <v>23121612</v>
      </c>
      <c r="C78" s="74" t="s">
        <v>450</v>
      </c>
      <c r="D78" s="65" t="s">
        <v>392</v>
      </c>
      <c r="E78" s="66" t="s">
        <v>447</v>
      </c>
      <c r="F78" s="67">
        <v>50</v>
      </c>
      <c r="G78" s="75"/>
      <c r="H78" s="75"/>
      <c r="I78" s="75"/>
      <c r="J78" s="75"/>
      <c r="K78" s="75"/>
      <c r="L78" s="76"/>
      <c r="M78" s="76"/>
      <c r="N78" s="76"/>
      <c r="O78" s="76"/>
      <c r="P78" s="76"/>
      <c r="Q78" s="76">
        <v>50</v>
      </c>
      <c r="R78" s="76"/>
      <c r="S78" s="50">
        <f t="shared" si="8"/>
        <v>0</v>
      </c>
      <c r="T78" s="41"/>
    </row>
    <row r="79" spans="1:20" ht="15.75" customHeight="1" x14ac:dyDescent="0.3">
      <c r="A79" s="52">
        <v>78</v>
      </c>
      <c r="B79" s="53">
        <v>11151709</v>
      </c>
      <c r="C79" s="53" t="s">
        <v>451</v>
      </c>
      <c r="D79" s="55" t="s">
        <v>392</v>
      </c>
      <c r="E79" s="55" t="s">
        <v>21</v>
      </c>
      <c r="F79" s="56">
        <v>50</v>
      </c>
      <c r="G79" s="50">
        <v>40</v>
      </c>
      <c r="H79" s="57"/>
      <c r="I79" s="57">
        <v>10</v>
      </c>
      <c r="J79" s="57"/>
      <c r="K79" s="57"/>
      <c r="L79" s="58"/>
      <c r="M79" s="58"/>
      <c r="N79" s="58"/>
      <c r="O79" s="58"/>
      <c r="P79" s="58"/>
      <c r="Q79" s="58"/>
      <c r="R79" s="58"/>
      <c r="S79" s="50">
        <f t="shared" si="7"/>
        <v>0</v>
      </c>
    </row>
    <row r="80" spans="1:20" ht="14.25" customHeight="1" x14ac:dyDescent="0.3">
      <c r="A80" s="52">
        <v>79</v>
      </c>
      <c r="B80" s="54">
        <v>11151709</v>
      </c>
      <c r="C80" s="54" t="s">
        <v>452</v>
      </c>
      <c r="D80" s="55" t="s">
        <v>392</v>
      </c>
      <c r="E80" s="55" t="s">
        <v>21</v>
      </c>
      <c r="F80" s="56">
        <v>30</v>
      </c>
      <c r="G80" s="50">
        <v>22</v>
      </c>
      <c r="H80" s="57"/>
      <c r="I80" s="57">
        <v>8</v>
      </c>
      <c r="J80" s="57"/>
      <c r="K80" s="57"/>
      <c r="L80" s="58"/>
      <c r="M80" s="58"/>
      <c r="N80" s="58"/>
      <c r="O80" s="58"/>
      <c r="P80" s="58"/>
      <c r="Q80" s="58"/>
      <c r="R80" s="58"/>
      <c r="S80" s="50">
        <f t="shared" si="7"/>
        <v>0</v>
      </c>
    </row>
    <row r="81" spans="1:20" customFormat="1" x14ac:dyDescent="0.3">
      <c r="A81" s="42">
        <v>80</v>
      </c>
      <c r="B81" s="60">
        <v>11151703</v>
      </c>
      <c r="C81" s="60" t="s">
        <v>453</v>
      </c>
      <c r="D81" s="45" t="s">
        <v>392</v>
      </c>
      <c r="E81" s="46" t="s">
        <v>21</v>
      </c>
      <c r="F81" s="61">
        <v>5</v>
      </c>
      <c r="G81" s="62"/>
      <c r="H81" s="62"/>
      <c r="I81" s="62"/>
      <c r="J81" s="62"/>
      <c r="K81" s="62"/>
      <c r="L81" s="59"/>
      <c r="M81" s="59"/>
      <c r="N81" s="59"/>
      <c r="O81" s="59">
        <v>2</v>
      </c>
      <c r="P81" s="59"/>
      <c r="Q81" s="59">
        <v>3</v>
      </c>
      <c r="R81" s="59"/>
      <c r="S81" s="50">
        <f>F81-G81-H81-I81-J81-K81-L81-M81-N81-O81-P81-Q81-R81</f>
        <v>0</v>
      </c>
      <c r="T81" s="41"/>
    </row>
    <row r="82" spans="1:20" customFormat="1" ht="17.25" customHeight="1" x14ac:dyDescent="0.3">
      <c r="A82" s="63">
        <v>81</v>
      </c>
      <c r="B82" s="74">
        <v>11151703</v>
      </c>
      <c r="C82" s="74" t="s">
        <v>454</v>
      </c>
      <c r="D82" s="65" t="s">
        <v>392</v>
      </c>
      <c r="E82" s="66" t="s">
        <v>21</v>
      </c>
      <c r="F82" s="67">
        <v>1</v>
      </c>
      <c r="G82" s="75"/>
      <c r="H82" s="75"/>
      <c r="I82" s="75"/>
      <c r="J82" s="75">
        <v>1</v>
      </c>
      <c r="K82" s="75"/>
      <c r="L82" s="76"/>
      <c r="M82" s="76"/>
      <c r="N82" s="76"/>
      <c r="O82" s="76"/>
      <c r="P82" s="76"/>
      <c r="Q82" s="76">
        <v>19</v>
      </c>
      <c r="R82" s="76"/>
      <c r="S82" s="50">
        <f t="shared" ref="S82:S145" si="9">F82-G82-H82-I82-J82-K82-L82-M82-N82-O82-P82-Q82-R82</f>
        <v>-19</v>
      </c>
      <c r="T82" s="41"/>
    </row>
    <row r="83" spans="1:20" x14ac:dyDescent="0.3">
      <c r="A83" s="52">
        <v>82</v>
      </c>
      <c r="B83" s="54">
        <v>23140000</v>
      </c>
      <c r="C83" s="54" t="s">
        <v>455</v>
      </c>
      <c r="D83" s="55" t="s">
        <v>392</v>
      </c>
      <c r="E83" s="55" t="s">
        <v>21</v>
      </c>
      <c r="F83" s="56">
        <v>10</v>
      </c>
      <c r="G83" s="50">
        <v>10</v>
      </c>
      <c r="H83" s="57"/>
      <c r="I83" s="57"/>
      <c r="J83" s="57"/>
      <c r="K83" s="57"/>
      <c r="L83" s="58"/>
      <c r="M83" s="58"/>
      <c r="N83" s="58"/>
      <c r="O83" s="58"/>
      <c r="P83" s="58"/>
      <c r="Q83" s="58"/>
      <c r="R83" s="58"/>
      <c r="S83" s="50">
        <f t="shared" si="9"/>
        <v>0</v>
      </c>
    </row>
    <row r="84" spans="1:20" x14ac:dyDescent="0.3">
      <c r="A84" s="52">
        <v>83</v>
      </c>
      <c r="B84" s="54">
        <v>23140000</v>
      </c>
      <c r="C84" s="54" t="s">
        <v>456</v>
      </c>
      <c r="D84" s="55" t="s">
        <v>392</v>
      </c>
      <c r="E84" s="55" t="s">
        <v>21</v>
      </c>
      <c r="F84" s="56">
        <v>50</v>
      </c>
      <c r="G84" s="50">
        <v>50</v>
      </c>
      <c r="H84" s="57"/>
      <c r="I84" s="57"/>
      <c r="J84" s="57"/>
      <c r="K84" s="57"/>
      <c r="L84" s="58"/>
      <c r="M84" s="58"/>
      <c r="N84" s="58"/>
      <c r="O84" s="58"/>
      <c r="P84" s="58"/>
      <c r="Q84" s="58"/>
      <c r="R84" s="58"/>
      <c r="S84" s="50">
        <f t="shared" si="9"/>
        <v>0</v>
      </c>
    </row>
    <row r="85" spans="1:20" x14ac:dyDescent="0.3">
      <c r="A85" s="52">
        <v>84</v>
      </c>
      <c r="B85" s="54">
        <v>23140000</v>
      </c>
      <c r="C85" s="54" t="s">
        <v>457</v>
      </c>
      <c r="D85" s="55" t="s">
        <v>392</v>
      </c>
      <c r="E85" s="55" t="s">
        <v>21</v>
      </c>
      <c r="F85" s="56">
        <v>50</v>
      </c>
      <c r="G85" s="50">
        <v>50</v>
      </c>
      <c r="H85" s="57"/>
      <c r="I85" s="57"/>
      <c r="J85" s="57"/>
      <c r="K85" s="57"/>
      <c r="L85" s="58"/>
      <c r="M85" s="58"/>
      <c r="N85" s="58"/>
      <c r="O85" s="58"/>
      <c r="P85" s="58"/>
      <c r="Q85" s="58"/>
      <c r="R85" s="58"/>
      <c r="S85" s="50">
        <f t="shared" si="9"/>
        <v>0</v>
      </c>
    </row>
    <row r="86" spans="1:20" customFormat="1" x14ac:dyDescent="0.3">
      <c r="A86" s="42">
        <v>85</v>
      </c>
      <c r="B86" s="44">
        <v>23140000</v>
      </c>
      <c r="C86" s="44" t="s">
        <v>458</v>
      </c>
      <c r="D86" s="45" t="s">
        <v>392</v>
      </c>
      <c r="E86" s="46" t="s">
        <v>21</v>
      </c>
      <c r="F86" s="61">
        <v>100</v>
      </c>
      <c r="G86" s="85"/>
      <c r="H86" s="85"/>
      <c r="I86" s="85"/>
      <c r="J86" s="85"/>
      <c r="K86" s="85"/>
      <c r="L86" s="86"/>
      <c r="M86" s="86"/>
      <c r="N86" s="86">
        <v>100</v>
      </c>
      <c r="O86" s="86"/>
      <c r="P86" s="86"/>
      <c r="Q86" s="86"/>
      <c r="R86" s="86"/>
      <c r="S86" s="50">
        <f t="shared" si="9"/>
        <v>0</v>
      </c>
      <c r="T86" s="41"/>
    </row>
    <row r="87" spans="1:20" x14ac:dyDescent="0.3">
      <c r="A87" s="52">
        <v>86</v>
      </c>
      <c r="B87" s="54">
        <v>23140000</v>
      </c>
      <c r="C87" s="54" t="s">
        <v>459</v>
      </c>
      <c r="D87" s="55" t="s">
        <v>392</v>
      </c>
      <c r="E87" s="55" t="s">
        <v>21</v>
      </c>
      <c r="F87" s="56">
        <v>100</v>
      </c>
      <c r="G87" s="50">
        <v>100</v>
      </c>
      <c r="H87" s="57"/>
      <c r="I87" s="57"/>
      <c r="J87" s="57"/>
      <c r="K87" s="57"/>
      <c r="L87" s="58"/>
      <c r="M87" s="58"/>
      <c r="N87" s="58"/>
      <c r="O87" s="58"/>
      <c r="P87" s="58"/>
      <c r="Q87" s="58"/>
      <c r="R87" s="58"/>
      <c r="S87" s="50">
        <f t="shared" si="9"/>
        <v>0</v>
      </c>
    </row>
    <row r="88" spans="1:20" x14ac:dyDescent="0.3">
      <c r="A88" s="52">
        <v>87</v>
      </c>
      <c r="B88" s="54">
        <v>23140000</v>
      </c>
      <c r="C88" s="54" t="s">
        <v>460</v>
      </c>
      <c r="D88" s="55" t="s">
        <v>392</v>
      </c>
      <c r="E88" s="55" t="s">
        <v>21</v>
      </c>
      <c r="F88" s="56">
        <v>100</v>
      </c>
      <c r="G88" s="50">
        <v>100</v>
      </c>
      <c r="H88" s="57"/>
      <c r="I88" s="57"/>
      <c r="J88" s="57"/>
      <c r="K88" s="57"/>
      <c r="L88" s="58"/>
      <c r="M88" s="58"/>
      <c r="N88" s="58"/>
      <c r="O88" s="58"/>
      <c r="P88" s="58"/>
      <c r="Q88" s="58"/>
      <c r="R88" s="58"/>
      <c r="S88" s="50">
        <f t="shared" si="9"/>
        <v>0</v>
      </c>
    </row>
    <row r="89" spans="1:20" x14ac:dyDescent="0.3">
      <c r="A89" s="52">
        <v>88</v>
      </c>
      <c r="B89" s="53">
        <v>53141506</v>
      </c>
      <c r="C89" s="54" t="s">
        <v>461</v>
      </c>
      <c r="D89" s="55" t="s">
        <v>392</v>
      </c>
      <c r="E89" s="55" t="s">
        <v>21</v>
      </c>
      <c r="F89" s="56">
        <v>20</v>
      </c>
      <c r="G89" s="50">
        <v>20</v>
      </c>
      <c r="H89" s="57"/>
      <c r="I89" s="57"/>
      <c r="J89" s="57"/>
      <c r="K89" s="57"/>
      <c r="L89" s="58"/>
      <c r="M89" s="58"/>
      <c r="N89" s="58"/>
      <c r="O89" s="58"/>
      <c r="P89" s="58"/>
      <c r="Q89" s="58"/>
      <c r="R89" s="58"/>
      <c r="S89" s="50">
        <f t="shared" si="9"/>
        <v>0</v>
      </c>
    </row>
    <row r="90" spans="1:20" customFormat="1" ht="13.5" customHeight="1" x14ac:dyDescent="0.3">
      <c r="A90" s="42">
        <v>89</v>
      </c>
      <c r="B90" s="43">
        <v>23140000</v>
      </c>
      <c r="C90" s="43" t="s">
        <v>462</v>
      </c>
      <c r="D90" s="45" t="s">
        <v>392</v>
      </c>
      <c r="E90" s="46" t="s">
        <v>21</v>
      </c>
      <c r="F90" s="61">
        <v>150</v>
      </c>
      <c r="G90" s="85"/>
      <c r="H90" s="85"/>
      <c r="I90" s="85"/>
      <c r="J90" s="85"/>
      <c r="K90" s="85"/>
      <c r="L90" s="86"/>
      <c r="M90" s="86"/>
      <c r="N90" s="86">
        <v>150</v>
      </c>
      <c r="O90" s="86"/>
      <c r="P90" s="86"/>
      <c r="Q90" s="86"/>
      <c r="R90" s="86"/>
      <c r="S90" s="50">
        <f t="shared" si="9"/>
        <v>0</v>
      </c>
      <c r="T90" s="41"/>
    </row>
    <row r="91" spans="1:20" x14ac:dyDescent="0.3">
      <c r="A91" s="52">
        <v>90</v>
      </c>
      <c r="B91" s="53">
        <v>23140000</v>
      </c>
      <c r="C91" s="53" t="s">
        <v>463</v>
      </c>
      <c r="D91" s="55" t="s">
        <v>392</v>
      </c>
      <c r="E91" s="55" t="s">
        <v>21</v>
      </c>
      <c r="F91" s="56">
        <v>150</v>
      </c>
      <c r="G91" s="50">
        <v>150</v>
      </c>
      <c r="H91" s="57"/>
      <c r="I91" s="57"/>
      <c r="J91" s="57"/>
      <c r="K91" s="57"/>
      <c r="L91" s="58"/>
      <c r="M91" s="58"/>
      <c r="N91" s="58"/>
      <c r="O91" s="58"/>
      <c r="P91" s="58"/>
      <c r="Q91" s="58"/>
      <c r="R91" s="58"/>
      <c r="S91" s="50">
        <f t="shared" si="9"/>
        <v>0</v>
      </c>
    </row>
    <row r="92" spans="1:20" x14ac:dyDescent="0.3">
      <c r="A92" s="52">
        <v>91</v>
      </c>
      <c r="B92" s="53">
        <v>23140000</v>
      </c>
      <c r="C92" s="53" t="s">
        <v>464</v>
      </c>
      <c r="D92" s="55" t="s">
        <v>392</v>
      </c>
      <c r="E92" s="55" t="s">
        <v>21</v>
      </c>
      <c r="F92" s="56">
        <v>150</v>
      </c>
      <c r="G92" s="50">
        <v>150</v>
      </c>
      <c r="H92" s="57"/>
      <c r="I92" s="57"/>
      <c r="J92" s="57"/>
      <c r="K92" s="57"/>
      <c r="L92" s="58"/>
      <c r="M92" s="58"/>
      <c r="N92" s="58"/>
      <c r="O92" s="58"/>
      <c r="P92" s="58"/>
      <c r="Q92" s="58"/>
      <c r="R92" s="58"/>
      <c r="S92" s="50">
        <f t="shared" si="9"/>
        <v>0</v>
      </c>
    </row>
    <row r="93" spans="1:20" x14ac:dyDescent="0.3">
      <c r="A93" s="52">
        <v>92</v>
      </c>
      <c r="B93" s="53">
        <v>23140000</v>
      </c>
      <c r="C93" s="53" t="s">
        <v>465</v>
      </c>
      <c r="D93" s="55" t="s">
        <v>392</v>
      </c>
      <c r="E93" s="55" t="s">
        <v>21</v>
      </c>
      <c r="F93" s="56">
        <v>150</v>
      </c>
      <c r="G93" s="50">
        <v>150</v>
      </c>
      <c r="H93" s="57"/>
      <c r="I93" s="57"/>
      <c r="J93" s="57"/>
      <c r="K93" s="57"/>
      <c r="L93" s="58"/>
      <c r="M93" s="58"/>
      <c r="N93" s="58"/>
      <c r="O93" s="58"/>
      <c r="P93" s="58"/>
      <c r="Q93" s="58"/>
      <c r="R93" s="58"/>
      <c r="S93" s="50">
        <f t="shared" si="9"/>
        <v>0</v>
      </c>
    </row>
    <row r="94" spans="1:20" x14ac:dyDescent="0.3">
      <c r="A94" s="52">
        <v>93</v>
      </c>
      <c r="B94" s="53">
        <v>23140000</v>
      </c>
      <c r="C94" s="54" t="s">
        <v>466</v>
      </c>
      <c r="D94" s="55" t="s">
        <v>392</v>
      </c>
      <c r="E94" s="55" t="s">
        <v>21</v>
      </c>
      <c r="F94" s="56">
        <v>100</v>
      </c>
      <c r="G94" s="50">
        <v>100</v>
      </c>
      <c r="H94" s="57"/>
      <c r="I94" s="57"/>
      <c r="J94" s="57"/>
      <c r="K94" s="57"/>
      <c r="L94" s="58"/>
      <c r="M94" s="58"/>
      <c r="N94" s="58"/>
      <c r="O94" s="58"/>
      <c r="P94" s="58"/>
      <c r="Q94" s="58"/>
      <c r="R94" s="58"/>
      <c r="S94" s="50">
        <f t="shared" si="9"/>
        <v>0</v>
      </c>
    </row>
    <row r="95" spans="1:20" x14ac:dyDescent="0.3">
      <c r="A95" s="52">
        <v>94</v>
      </c>
      <c r="B95" s="54">
        <v>23140000</v>
      </c>
      <c r="C95" s="53" t="s">
        <v>467</v>
      </c>
      <c r="D95" s="55" t="s">
        <v>392</v>
      </c>
      <c r="E95" s="55" t="s">
        <v>21</v>
      </c>
      <c r="F95" s="56">
        <v>100</v>
      </c>
      <c r="G95" s="50">
        <v>100</v>
      </c>
      <c r="H95" s="57"/>
      <c r="I95" s="57"/>
      <c r="J95" s="57"/>
      <c r="K95" s="57"/>
      <c r="L95" s="58"/>
      <c r="M95" s="58"/>
      <c r="N95" s="58"/>
      <c r="O95" s="58"/>
      <c r="P95" s="58"/>
      <c r="Q95" s="58"/>
      <c r="R95" s="58"/>
      <c r="S95" s="50">
        <f t="shared" si="9"/>
        <v>0</v>
      </c>
    </row>
    <row r="96" spans="1:20" customFormat="1" x14ac:dyDescent="0.3">
      <c r="A96" s="42">
        <v>95</v>
      </c>
      <c r="B96" s="87">
        <v>53141504</v>
      </c>
      <c r="C96" s="43" t="s">
        <v>468</v>
      </c>
      <c r="D96" s="45" t="s">
        <v>392</v>
      </c>
      <c r="E96" s="46" t="s">
        <v>21</v>
      </c>
      <c r="F96" s="61">
        <v>50</v>
      </c>
      <c r="G96" s="85"/>
      <c r="H96" s="85"/>
      <c r="I96" s="85"/>
      <c r="J96" s="85"/>
      <c r="K96" s="85"/>
      <c r="L96" s="86"/>
      <c r="M96" s="86"/>
      <c r="N96" s="86">
        <v>50</v>
      </c>
      <c r="O96" s="86"/>
      <c r="P96" s="86"/>
      <c r="Q96" s="86"/>
      <c r="R96" s="86"/>
      <c r="S96" s="50">
        <f t="shared" si="9"/>
        <v>0</v>
      </c>
      <c r="T96" s="41"/>
    </row>
    <row r="97" spans="1:20" x14ac:dyDescent="0.3">
      <c r="A97" s="52">
        <v>96</v>
      </c>
      <c r="B97" s="54">
        <v>53141504</v>
      </c>
      <c r="C97" s="53" t="s">
        <v>469</v>
      </c>
      <c r="D97" s="55" t="s">
        <v>392</v>
      </c>
      <c r="E97" s="55" t="s">
        <v>21</v>
      </c>
      <c r="F97" s="56">
        <v>50</v>
      </c>
      <c r="G97" s="50">
        <v>50</v>
      </c>
      <c r="H97" s="57"/>
      <c r="I97" s="57"/>
      <c r="J97" s="57"/>
      <c r="K97" s="57"/>
      <c r="L97" s="58"/>
      <c r="M97" s="58"/>
      <c r="N97" s="58"/>
      <c r="O97" s="58"/>
      <c r="P97" s="58"/>
      <c r="Q97" s="58"/>
      <c r="R97" s="58"/>
      <c r="S97" s="50">
        <f t="shared" si="9"/>
        <v>0</v>
      </c>
    </row>
    <row r="98" spans="1:20" customFormat="1" x14ac:dyDescent="0.3">
      <c r="A98" s="42">
        <v>97</v>
      </c>
      <c r="B98" s="60">
        <v>23140000</v>
      </c>
      <c r="C98" s="60" t="s">
        <v>470</v>
      </c>
      <c r="D98" s="45" t="s">
        <v>392</v>
      </c>
      <c r="E98" s="46" t="s">
        <v>21</v>
      </c>
      <c r="F98" s="61">
        <v>100</v>
      </c>
      <c r="G98" s="62"/>
      <c r="H98" s="62"/>
      <c r="I98" s="62"/>
      <c r="J98" s="62"/>
      <c r="K98" s="62"/>
      <c r="L98" s="59"/>
      <c r="M98" s="59"/>
      <c r="N98" s="59">
        <v>10</v>
      </c>
      <c r="O98" s="59"/>
      <c r="P98" s="59"/>
      <c r="Q98" s="59"/>
      <c r="R98" s="59"/>
      <c r="S98" s="50">
        <f t="shared" si="9"/>
        <v>90</v>
      </c>
      <c r="T98" s="41"/>
    </row>
    <row r="99" spans="1:20" customFormat="1" x14ac:dyDescent="0.3">
      <c r="A99" s="63">
        <v>98</v>
      </c>
      <c r="B99" s="74">
        <v>13111305</v>
      </c>
      <c r="C99" s="64" t="s">
        <v>471</v>
      </c>
      <c r="D99" s="70" t="s">
        <v>392</v>
      </c>
      <c r="E99" s="66" t="s">
        <v>472</v>
      </c>
      <c r="F99" s="67">
        <v>10</v>
      </c>
      <c r="G99" s="57"/>
      <c r="H99" s="57"/>
      <c r="I99" s="57"/>
      <c r="J99" s="57"/>
      <c r="K99" s="57"/>
      <c r="L99" s="58"/>
      <c r="M99" s="58"/>
      <c r="N99" s="58"/>
      <c r="O99" s="58">
        <v>10</v>
      </c>
      <c r="P99" s="58"/>
      <c r="Q99" s="58"/>
      <c r="R99" s="58"/>
      <c r="S99" s="50">
        <f t="shared" si="9"/>
        <v>0</v>
      </c>
      <c r="T99" s="41"/>
    </row>
    <row r="100" spans="1:20" customFormat="1" x14ac:dyDescent="0.3">
      <c r="A100" s="63">
        <v>99</v>
      </c>
      <c r="B100" s="74">
        <v>13111305</v>
      </c>
      <c r="C100" s="64" t="s">
        <v>473</v>
      </c>
      <c r="D100" s="70" t="s">
        <v>21</v>
      </c>
      <c r="E100" s="66" t="s">
        <v>472</v>
      </c>
      <c r="F100" s="67">
        <v>0</v>
      </c>
      <c r="G100" s="57"/>
      <c r="H100" s="57"/>
      <c r="I100" s="57"/>
      <c r="J100" s="57"/>
      <c r="K100" s="57"/>
      <c r="L100" s="58"/>
      <c r="M100" s="58"/>
      <c r="N100" s="58"/>
      <c r="O100" s="58"/>
      <c r="P100" s="58"/>
      <c r="Q100" s="58"/>
      <c r="R100" s="58"/>
      <c r="S100" s="50">
        <f t="shared" si="9"/>
        <v>0</v>
      </c>
      <c r="T100" s="41" t="s">
        <v>432</v>
      </c>
    </row>
    <row r="101" spans="1:20" customFormat="1" x14ac:dyDescent="0.3">
      <c r="A101" s="63">
        <v>100</v>
      </c>
      <c r="B101" s="74">
        <v>13111305</v>
      </c>
      <c r="C101" s="74" t="s">
        <v>471</v>
      </c>
      <c r="D101" s="70" t="s">
        <v>21</v>
      </c>
      <c r="E101" s="66" t="s">
        <v>472</v>
      </c>
      <c r="F101" s="67">
        <v>5</v>
      </c>
      <c r="G101" s="75"/>
      <c r="H101" s="75"/>
      <c r="I101" s="75"/>
      <c r="J101" s="75"/>
      <c r="K101" s="75"/>
      <c r="L101" s="76"/>
      <c r="M101" s="76"/>
      <c r="N101" s="76">
        <v>5</v>
      </c>
      <c r="O101" s="76"/>
      <c r="P101" s="76"/>
      <c r="Q101" s="76"/>
      <c r="R101" s="76"/>
      <c r="S101" s="50">
        <f t="shared" si="9"/>
        <v>0</v>
      </c>
      <c r="T101" s="41"/>
    </row>
    <row r="102" spans="1:20" x14ac:dyDescent="0.3">
      <c r="A102" s="52">
        <v>101</v>
      </c>
      <c r="B102" s="53">
        <v>11151709</v>
      </c>
      <c r="C102" s="53" t="s">
        <v>474</v>
      </c>
      <c r="D102" s="55" t="s">
        <v>475</v>
      </c>
      <c r="E102" s="55" t="s">
        <v>476</v>
      </c>
      <c r="F102" s="56">
        <v>100</v>
      </c>
      <c r="G102" s="50">
        <v>100</v>
      </c>
      <c r="H102" s="57"/>
      <c r="I102" s="57"/>
      <c r="J102" s="57"/>
      <c r="K102" s="57"/>
      <c r="L102" s="58"/>
      <c r="M102" s="58"/>
      <c r="N102" s="58"/>
      <c r="O102" s="58"/>
      <c r="P102" s="58"/>
      <c r="Q102" s="58"/>
      <c r="R102" s="58"/>
      <c r="S102" s="50">
        <f t="shared" si="9"/>
        <v>0</v>
      </c>
    </row>
    <row r="103" spans="1:20" customFormat="1" x14ac:dyDescent="0.3">
      <c r="A103" s="42">
        <v>102</v>
      </c>
      <c r="B103" s="43">
        <v>13101723</v>
      </c>
      <c r="C103" s="60" t="s">
        <v>477</v>
      </c>
      <c r="D103" s="88" t="s">
        <v>478</v>
      </c>
      <c r="E103" s="46" t="s">
        <v>479</v>
      </c>
      <c r="F103" s="61">
        <v>0</v>
      </c>
      <c r="G103" s="62"/>
      <c r="H103" s="62"/>
      <c r="I103" s="62"/>
      <c r="J103" s="62"/>
      <c r="K103" s="62"/>
      <c r="L103" s="59"/>
      <c r="M103" s="59"/>
      <c r="N103" s="59"/>
      <c r="O103" s="59"/>
      <c r="P103" s="59"/>
      <c r="Q103" s="59"/>
      <c r="R103" s="59"/>
      <c r="S103" s="50">
        <f t="shared" si="9"/>
        <v>0</v>
      </c>
      <c r="T103" s="41"/>
    </row>
    <row r="104" spans="1:20" customFormat="1" x14ac:dyDescent="0.3">
      <c r="A104" s="63">
        <v>103</v>
      </c>
      <c r="B104" s="74">
        <v>13101723</v>
      </c>
      <c r="C104" s="64" t="s">
        <v>480</v>
      </c>
      <c r="D104" s="66" t="s">
        <v>478</v>
      </c>
      <c r="E104" s="66" t="s">
        <v>481</v>
      </c>
      <c r="F104" s="67">
        <v>0</v>
      </c>
      <c r="G104" s="57"/>
      <c r="H104" s="57"/>
      <c r="I104" s="57"/>
      <c r="J104" s="57"/>
      <c r="K104" s="57"/>
      <c r="L104" s="58"/>
      <c r="M104" s="58"/>
      <c r="N104" s="58"/>
      <c r="O104" s="58"/>
      <c r="P104" s="58"/>
      <c r="Q104" s="58"/>
      <c r="R104" s="58"/>
      <c r="S104" s="50">
        <f t="shared" si="9"/>
        <v>0</v>
      </c>
      <c r="T104" s="41"/>
    </row>
    <row r="105" spans="1:20" customFormat="1" x14ac:dyDescent="0.3">
      <c r="A105" s="63">
        <v>104</v>
      </c>
      <c r="B105" s="74">
        <v>31211704</v>
      </c>
      <c r="C105" s="74" t="s">
        <v>482</v>
      </c>
      <c r="D105" s="65" t="s">
        <v>399</v>
      </c>
      <c r="E105" s="66" t="s">
        <v>483</v>
      </c>
      <c r="F105" s="67">
        <v>20</v>
      </c>
      <c r="G105" s="75"/>
      <c r="H105" s="75"/>
      <c r="I105" s="75"/>
      <c r="J105" s="75"/>
      <c r="K105" s="75"/>
      <c r="L105" s="76"/>
      <c r="M105" s="76"/>
      <c r="N105" s="76">
        <v>20</v>
      </c>
      <c r="O105" s="76"/>
      <c r="P105" s="76"/>
      <c r="Q105" s="76"/>
      <c r="R105" s="76"/>
      <c r="S105" s="50">
        <f t="shared" si="9"/>
        <v>0</v>
      </c>
      <c r="T105" s="41"/>
    </row>
    <row r="106" spans="1:20" x14ac:dyDescent="0.3">
      <c r="A106" s="52">
        <v>105</v>
      </c>
      <c r="B106" s="53">
        <v>31211709</v>
      </c>
      <c r="C106" s="53" t="s">
        <v>484</v>
      </c>
      <c r="D106" s="55" t="s">
        <v>399</v>
      </c>
      <c r="E106" s="55" t="s">
        <v>483</v>
      </c>
      <c r="F106" s="56">
        <v>15</v>
      </c>
      <c r="G106" s="50">
        <v>15</v>
      </c>
      <c r="H106" s="57"/>
      <c r="I106" s="57"/>
      <c r="J106" s="57"/>
      <c r="K106" s="57"/>
      <c r="L106" s="58"/>
      <c r="M106" s="58"/>
      <c r="N106" s="58"/>
      <c r="O106" s="58"/>
      <c r="P106" s="58"/>
      <c r="Q106" s="58"/>
      <c r="R106" s="58"/>
      <c r="S106" s="50">
        <f t="shared" si="9"/>
        <v>0</v>
      </c>
    </row>
    <row r="107" spans="1:20" ht="15.75" customHeight="1" x14ac:dyDescent="0.3">
      <c r="A107" s="52">
        <v>106</v>
      </c>
      <c r="B107" s="53">
        <v>31211709</v>
      </c>
      <c r="C107" s="53" t="s">
        <v>485</v>
      </c>
      <c r="D107" s="55" t="s">
        <v>399</v>
      </c>
      <c r="E107" s="55" t="s">
        <v>486</v>
      </c>
      <c r="F107" s="56">
        <v>8</v>
      </c>
      <c r="G107" s="50">
        <v>8</v>
      </c>
      <c r="H107" s="57"/>
      <c r="I107" s="57"/>
      <c r="J107" s="57"/>
      <c r="K107" s="57"/>
      <c r="L107" s="58"/>
      <c r="M107" s="58"/>
      <c r="N107" s="58"/>
      <c r="O107" s="58"/>
      <c r="P107" s="58"/>
      <c r="Q107" s="58"/>
      <c r="R107" s="58"/>
      <c r="S107" s="50">
        <f t="shared" si="9"/>
        <v>0</v>
      </c>
    </row>
    <row r="108" spans="1:20" customFormat="1" x14ac:dyDescent="0.3">
      <c r="A108" s="42">
        <v>107</v>
      </c>
      <c r="B108" s="60">
        <v>31211704</v>
      </c>
      <c r="C108" s="60" t="s">
        <v>487</v>
      </c>
      <c r="D108" s="88" t="s">
        <v>406</v>
      </c>
      <c r="E108" s="46" t="s">
        <v>488</v>
      </c>
      <c r="F108" s="61">
        <v>20</v>
      </c>
      <c r="G108" s="62"/>
      <c r="H108" s="62"/>
      <c r="I108" s="62"/>
      <c r="J108" s="62"/>
      <c r="K108" s="62"/>
      <c r="L108" s="59"/>
      <c r="M108" s="59"/>
      <c r="N108" s="59"/>
      <c r="O108" s="59"/>
      <c r="P108" s="59">
        <v>20</v>
      </c>
      <c r="Q108" s="59"/>
      <c r="R108" s="59"/>
      <c r="S108" s="50">
        <f t="shared" si="9"/>
        <v>0</v>
      </c>
      <c r="T108" s="41"/>
    </row>
    <row r="109" spans="1:20" customFormat="1" x14ac:dyDescent="0.3">
      <c r="A109" s="63">
        <v>108</v>
      </c>
      <c r="B109" s="64">
        <v>31211709</v>
      </c>
      <c r="C109" s="64" t="s">
        <v>489</v>
      </c>
      <c r="D109" s="65" t="s">
        <v>490</v>
      </c>
      <c r="E109" s="66" t="s">
        <v>397</v>
      </c>
      <c r="F109" s="67">
        <v>15</v>
      </c>
      <c r="G109" s="57"/>
      <c r="H109" s="57"/>
      <c r="I109" s="57"/>
      <c r="J109" s="57"/>
      <c r="K109" s="57"/>
      <c r="L109" s="58"/>
      <c r="M109" s="58"/>
      <c r="N109" s="58">
        <v>15</v>
      </c>
      <c r="O109" s="58"/>
      <c r="P109" s="58"/>
      <c r="Q109" s="58"/>
      <c r="R109" s="58"/>
      <c r="S109" s="50">
        <f t="shared" si="9"/>
        <v>0</v>
      </c>
      <c r="T109" s="41"/>
    </row>
    <row r="110" spans="1:20" customFormat="1" x14ac:dyDescent="0.3">
      <c r="A110" s="63">
        <v>109</v>
      </c>
      <c r="B110" s="64">
        <v>12181501</v>
      </c>
      <c r="C110" s="64" t="s">
        <v>491</v>
      </c>
      <c r="D110" s="65" t="s">
        <v>490</v>
      </c>
      <c r="E110" s="66" t="s">
        <v>492</v>
      </c>
      <c r="F110" s="67">
        <v>30</v>
      </c>
      <c r="G110" s="57"/>
      <c r="H110" s="57"/>
      <c r="I110" s="57"/>
      <c r="J110" s="57"/>
      <c r="K110" s="57"/>
      <c r="L110" s="58"/>
      <c r="M110" s="58"/>
      <c r="N110" s="58">
        <v>30</v>
      </c>
      <c r="O110" s="58"/>
      <c r="P110" s="58"/>
      <c r="Q110" s="58"/>
      <c r="R110" s="58"/>
      <c r="S110" s="50">
        <f t="shared" si="9"/>
        <v>0</v>
      </c>
      <c r="T110" s="41"/>
    </row>
    <row r="111" spans="1:20" customFormat="1" x14ac:dyDescent="0.3">
      <c r="A111" s="63">
        <v>110</v>
      </c>
      <c r="B111" s="64">
        <v>12181502</v>
      </c>
      <c r="C111" s="64" t="s">
        <v>493</v>
      </c>
      <c r="D111" s="65" t="s">
        <v>475</v>
      </c>
      <c r="E111" s="66" t="s">
        <v>494</v>
      </c>
      <c r="F111" s="67">
        <v>4</v>
      </c>
      <c r="G111" s="57"/>
      <c r="H111" s="57"/>
      <c r="I111" s="57"/>
      <c r="J111" s="57"/>
      <c r="K111" s="57"/>
      <c r="L111" s="58"/>
      <c r="M111" s="58"/>
      <c r="N111" s="58">
        <v>4</v>
      </c>
      <c r="O111" s="58"/>
      <c r="P111" s="58"/>
      <c r="Q111" s="58"/>
      <c r="R111" s="58"/>
      <c r="S111" s="50">
        <f t="shared" si="9"/>
        <v>0</v>
      </c>
      <c r="T111" s="41"/>
    </row>
    <row r="112" spans="1:20" customFormat="1" x14ac:dyDescent="0.3">
      <c r="A112" s="63">
        <v>111</v>
      </c>
      <c r="B112" s="74">
        <v>13111064</v>
      </c>
      <c r="C112" s="74" t="s">
        <v>495</v>
      </c>
      <c r="D112" s="65" t="s">
        <v>392</v>
      </c>
      <c r="E112" s="66" t="s">
        <v>496</v>
      </c>
      <c r="F112" s="67">
        <v>15</v>
      </c>
      <c r="G112" s="75"/>
      <c r="H112" s="75"/>
      <c r="I112" s="75"/>
      <c r="J112" s="75"/>
      <c r="K112" s="75"/>
      <c r="L112" s="76"/>
      <c r="M112" s="76"/>
      <c r="N112" s="76">
        <v>4</v>
      </c>
      <c r="O112" s="76"/>
      <c r="P112" s="76"/>
      <c r="Q112" s="76"/>
      <c r="R112" s="76"/>
      <c r="S112" s="50">
        <f t="shared" si="9"/>
        <v>11</v>
      </c>
      <c r="T112" s="41"/>
    </row>
    <row r="113" spans="1:20" x14ac:dyDescent="0.3">
      <c r="A113" s="52">
        <v>112</v>
      </c>
      <c r="B113" s="53">
        <v>15121902</v>
      </c>
      <c r="C113" s="53" t="s">
        <v>497</v>
      </c>
      <c r="D113" s="55" t="s">
        <v>392</v>
      </c>
      <c r="E113" s="55" t="s">
        <v>498</v>
      </c>
      <c r="F113" s="56">
        <v>15</v>
      </c>
      <c r="G113" s="50">
        <v>15</v>
      </c>
      <c r="H113" s="57"/>
      <c r="I113" s="57"/>
      <c r="J113" s="57"/>
      <c r="K113" s="57"/>
      <c r="L113" s="58"/>
      <c r="M113" s="58"/>
      <c r="N113" s="58"/>
      <c r="O113" s="58"/>
      <c r="P113" s="58"/>
      <c r="Q113" s="58"/>
      <c r="R113" s="58"/>
      <c r="S113" s="50">
        <f t="shared" si="9"/>
        <v>0</v>
      </c>
    </row>
    <row r="114" spans="1:20" customFormat="1" x14ac:dyDescent="0.3">
      <c r="A114" s="42">
        <v>113</v>
      </c>
      <c r="B114" s="60">
        <v>47131809</v>
      </c>
      <c r="C114" s="60" t="s">
        <v>499</v>
      </c>
      <c r="D114" s="88" t="s">
        <v>392</v>
      </c>
      <c r="E114" s="46" t="s">
        <v>500</v>
      </c>
      <c r="F114" s="61">
        <v>10</v>
      </c>
      <c r="G114" s="62"/>
      <c r="H114" s="62"/>
      <c r="I114" s="62"/>
      <c r="J114" s="62"/>
      <c r="K114" s="62"/>
      <c r="L114" s="59"/>
      <c r="M114" s="59"/>
      <c r="N114" s="59">
        <v>10</v>
      </c>
      <c r="O114" s="59"/>
      <c r="P114" s="59"/>
      <c r="Q114" s="59"/>
      <c r="R114" s="59"/>
      <c r="S114" s="50">
        <f t="shared" si="9"/>
        <v>0</v>
      </c>
      <c r="T114" s="41"/>
    </row>
    <row r="115" spans="1:20" customFormat="1" x14ac:dyDescent="0.3">
      <c r="A115" s="63">
        <v>114</v>
      </c>
      <c r="B115" s="64">
        <v>11162105</v>
      </c>
      <c r="C115" s="64" t="s">
        <v>501</v>
      </c>
      <c r="D115" s="65" t="s">
        <v>392</v>
      </c>
      <c r="E115" s="66" t="s">
        <v>502</v>
      </c>
      <c r="F115" s="67">
        <v>5</v>
      </c>
      <c r="G115" s="57"/>
      <c r="H115" s="57"/>
      <c r="I115" s="57"/>
      <c r="J115" s="57"/>
      <c r="K115" s="57"/>
      <c r="L115" s="58"/>
      <c r="M115" s="58"/>
      <c r="N115" s="58">
        <v>5</v>
      </c>
      <c r="O115" s="58"/>
      <c r="P115" s="58"/>
      <c r="Q115" s="58"/>
      <c r="R115" s="58"/>
      <c r="S115" s="50">
        <f t="shared" si="9"/>
        <v>0</v>
      </c>
      <c r="T115" s="41"/>
    </row>
    <row r="116" spans="1:20" customFormat="1" x14ac:dyDescent="0.3">
      <c r="A116" s="63">
        <v>115</v>
      </c>
      <c r="B116" s="64">
        <v>11162105</v>
      </c>
      <c r="C116" s="64" t="s">
        <v>503</v>
      </c>
      <c r="D116" s="65" t="s">
        <v>69</v>
      </c>
      <c r="E116" s="66" t="s">
        <v>504</v>
      </c>
      <c r="F116" s="67">
        <v>10</v>
      </c>
      <c r="G116" s="57"/>
      <c r="H116" s="57"/>
      <c r="I116" s="57"/>
      <c r="J116" s="57"/>
      <c r="K116" s="57"/>
      <c r="L116" s="58"/>
      <c r="M116" s="58"/>
      <c r="N116" s="58">
        <v>10</v>
      </c>
      <c r="O116" s="58"/>
      <c r="P116" s="58"/>
      <c r="Q116" s="58"/>
      <c r="R116" s="58"/>
      <c r="S116" s="50">
        <f t="shared" si="9"/>
        <v>0</v>
      </c>
      <c r="T116" s="41"/>
    </row>
    <row r="117" spans="1:20" customFormat="1" x14ac:dyDescent="0.3">
      <c r="A117" s="63">
        <v>116</v>
      </c>
      <c r="B117" s="64">
        <v>27112126</v>
      </c>
      <c r="C117" s="64" t="s">
        <v>505</v>
      </c>
      <c r="D117" s="65" t="s">
        <v>392</v>
      </c>
      <c r="E117" s="66" t="s">
        <v>21</v>
      </c>
      <c r="F117" s="67">
        <v>2</v>
      </c>
      <c r="G117" s="57"/>
      <c r="H117" s="57"/>
      <c r="I117" s="57"/>
      <c r="J117" s="57"/>
      <c r="K117" s="57"/>
      <c r="L117" s="58"/>
      <c r="M117" s="58"/>
      <c r="N117" s="58"/>
      <c r="O117" s="58"/>
      <c r="P117" s="58"/>
      <c r="Q117" s="58">
        <v>2</v>
      </c>
      <c r="R117" s="58"/>
      <c r="S117" s="50">
        <f>F117-G117-H117-I117-J117-K117-L117-M117-N117-O117-P117-Q117-R117</f>
        <v>0</v>
      </c>
      <c r="T117" s="41"/>
    </row>
    <row r="118" spans="1:20" customFormat="1" x14ac:dyDescent="0.3">
      <c r="A118" s="63">
        <v>117</v>
      </c>
      <c r="B118" s="64">
        <v>27111956</v>
      </c>
      <c r="C118" s="64" t="s">
        <v>506</v>
      </c>
      <c r="D118" s="65" t="s">
        <v>392</v>
      </c>
      <c r="E118" s="66" t="s">
        <v>21</v>
      </c>
      <c r="F118" s="67">
        <v>5</v>
      </c>
      <c r="G118" s="57"/>
      <c r="H118" s="57"/>
      <c r="I118" s="57"/>
      <c r="J118" s="57"/>
      <c r="K118" s="57"/>
      <c r="L118" s="58"/>
      <c r="M118" s="58"/>
      <c r="N118" s="58"/>
      <c r="O118" s="58">
        <v>5</v>
      </c>
      <c r="P118" s="58"/>
      <c r="Q118" s="58"/>
      <c r="R118" s="58"/>
      <c r="S118" s="50">
        <f t="shared" si="9"/>
        <v>0</v>
      </c>
      <c r="T118" s="41"/>
    </row>
    <row r="119" spans="1:20" customFormat="1" x14ac:dyDescent="0.3">
      <c r="A119" s="63">
        <v>118</v>
      </c>
      <c r="B119" s="64">
        <v>27111956</v>
      </c>
      <c r="C119" s="64" t="s">
        <v>507</v>
      </c>
      <c r="D119" s="65" t="s">
        <v>392</v>
      </c>
      <c r="E119" s="66" t="s">
        <v>21</v>
      </c>
      <c r="F119" s="67">
        <v>5</v>
      </c>
      <c r="G119" s="57"/>
      <c r="H119" s="57"/>
      <c r="I119" s="57"/>
      <c r="J119" s="57"/>
      <c r="K119" s="57"/>
      <c r="L119" s="58"/>
      <c r="M119" s="58"/>
      <c r="N119" s="58"/>
      <c r="O119" s="58">
        <v>5</v>
      </c>
      <c r="P119" s="58"/>
      <c r="Q119" s="58"/>
      <c r="R119" s="58"/>
      <c r="S119" s="50">
        <f t="shared" si="9"/>
        <v>0</v>
      </c>
      <c r="T119" s="41"/>
    </row>
    <row r="120" spans="1:20" customFormat="1" x14ac:dyDescent="0.3">
      <c r="A120" s="63">
        <v>119</v>
      </c>
      <c r="B120" s="64">
        <v>27111526</v>
      </c>
      <c r="C120" s="64" t="s">
        <v>508</v>
      </c>
      <c r="D120" s="65" t="s">
        <v>392</v>
      </c>
      <c r="E120" s="66" t="s">
        <v>21</v>
      </c>
      <c r="F120" s="67">
        <v>0</v>
      </c>
      <c r="G120" s="57"/>
      <c r="H120" s="57"/>
      <c r="I120" s="57"/>
      <c r="J120" s="57"/>
      <c r="K120" s="57"/>
      <c r="L120" s="58"/>
      <c r="M120" s="58"/>
      <c r="N120" s="58"/>
      <c r="O120" s="58"/>
      <c r="P120" s="58"/>
      <c r="Q120" s="58"/>
      <c r="R120" s="58"/>
      <c r="S120" s="50">
        <f t="shared" si="9"/>
        <v>0</v>
      </c>
      <c r="T120" s="41"/>
    </row>
    <row r="121" spans="1:20" customFormat="1" x14ac:dyDescent="0.3">
      <c r="A121" s="63">
        <v>120</v>
      </c>
      <c r="B121" s="64">
        <v>27111526</v>
      </c>
      <c r="C121" s="64" t="s">
        <v>509</v>
      </c>
      <c r="D121" s="65" t="s">
        <v>510</v>
      </c>
      <c r="E121" s="66" t="s">
        <v>510</v>
      </c>
      <c r="F121" s="67">
        <v>5</v>
      </c>
      <c r="G121" s="57"/>
      <c r="H121" s="57"/>
      <c r="I121" s="57"/>
      <c r="J121" s="57"/>
      <c r="K121" s="57"/>
      <c r="L121" s="58"/>
      <c r="M121" s="58"/>
      <c r="N121" s="58"/>
      <c r="O121" s="58"/>
      <c r="P121" s="58"/>
      <c r="Q121" s="58">
        <v>3</v>
      </c>
      <c r="R121" s="58"/>
      <c r="S121" s="50">
        <f t="shared" si="9"/>
        <v>2</v>
      </c>
      <c r="T121" s="41"/>
    </row>
    <row r="122" spans="1:20" customFormat="1" x14ac:dyDescent="0.3">
      <c r="A122" s="63">
        <v>121</v>
      </c>
      <c r="B122" s="64">
        <v>27111956</v>
      </c>
      <c r="C122" s="64" t="s">
        <v>511</v>
      </c>
      <c r="D122" s="65" t="s">
        <v>510</v>
      </c>
      <c r="E122" s="66" t="s">
        <v>510</v>
      </c>
      <c r="F122" s="67">
        <v>0</v>
      </c>
      <c r="G122" s="57"/>
      <c r="H122" s="57"/>
      <c r="I122" s="57"/>
      <c r="J122" s="57"/>
      <c r="K122" s="57"/>
      <c r="L122" s="58"/>
      <c r="M122" s="58"/>
      <c r="N122" s="58"/>
      <c r="O122" s="58"/>
      <c r="P122" s="58"/>
      <c r="Q122" s="58"/>
      <c r="R122" s="58"/>
      <c r="S122" s="50">
        <f t="shared" si="9"/>
        <v>0</v>
      </c>
      <c r="T122" s="41"/>
    </row>
    <row r="123" spans="1:20" customFormat="1" x14ac:dyDescent="0.3">
      <c r="A123" s="63">
        <v>122</v>
      </c>
      <c r="B123" s="74">
        <v>23241601</v>
      </c>
      <c r="C123" s="74" t="s">
        <v>512</v>
      </c>
      <c r="D123" s="65" t="s">
        <v>392</v>
      </c>
      <c r="E123" s="66" t="s">
        <v>21</v>
      </c>
      <c r="F123" s="67">
        <v>5</v>
      </c>
      <c r="G123" s="75"/>
      <c r="H123" s="75"/>
      <c r="I123" s="75"/>
      <c r="J123" s="75"/>
      <c r="K123" s="75"/>
      <c r="L123" s="76"/>
      <c r="M123" s="76"/>
      <c r="N123" s="76"/>
      <c r="O123" s="76"/>
      <c r="P123" s="76"/>
      <c r="Q123" s="76"/>
      <c r="R123" s="76"/>
      <c r="S123" s="50">
        <f t="shared" si="9"/>
        <v>5</v>
      </c>
      <c r="T123" s="41"/>
    </row>
    <row r="124" spans="1:20" x14ac:dyDescent="0.3">
      <c r="A124" s="52">
        <v>123</v>
      </c>
      <c r="B124" s="53">
        <v>23271806</v>
      </c>
      <c r="C124" s="53" t="s">
        <v>513</v>
      </c>
      <c r="D124" s="55" t="s">
        <v>392</v>
      </c>
      <c r="E124" s="55" t="s">
        <v>21</v>
      </c>
      <c r="F124" s="56">
        <v>5</v>
      </c>
      <c r="G124" s="50"/>
      <c r="H124" s="57"/>
      <c r="I124" s="57"/>
      <c r="J124" s="57"/>
      <c r="K124" s="57"/>
      <c r="L124" s="58"/>
      <c r="M124" s="58"/>
      <c r="N124" s="58">
        <v>5</v>
      </c>
      <c r="O124" s="58"/>
      <c r="P124" s="58"/>
      <c r="Q124" s="58"/>
      <c r="R124" s="58"/>
      <c r="S124" s="50">
        <f t="shared" si="9"/>
        <v>0</v>
      </c>
    </row>
    <row r="125" spans="1:20" customFormat="1" x14ac:dyDescent="0.3">
      <c r="A125" s="42">
        <v>124</v>
      </c>
      <c r="B125" s="60">
        <v>40102003</v>
      </c>
      <c r="C125" s="60" t="s">
        <v>514</v>
      </c>
      <c r="D125" s="45" t="s">
        <v>392</v>
      </c>
      <c r="E125" s="46" t="s">
        <v>21</v>
      </c>
      <c r="F125" s="61">
        <v>0</v>
      </c>
      <c r="G125" s="62"/>
      <c r="H125" s="62"/>
      <c r="I125" s="62"/>
      <c r="J125" s="62"/>
      <c r="K125" s="62"/>
      <c r="L125" s="59"/>
      <c r="M125" s="59"/>
      <c r="N125" s="59"/>
      <c r="O125" s="59"/>
      <c r="P125" s="59"/>
      <c r="Q125" s="59"/>
      <c r="R125" s="59"/>
      <c r="S125" s="50">
        <f t="shared" si="9"/>
        <v>0</v>
      </c>
      <c r="T125" s="41"/>
    </row>
    <row r="126" spans="1:20" customFormat="1" x14ac:dyDescent="0.3">
      <c r="A126" s="63">
        <v>125</v>
      </c>
      <c r="B126" s="64">
        <v>31211900</v>
      </c>
      <c r="C126" s="64" t="s">
        <v>515</v>
      </c>
      <c r="D126" s="65" t="s">
        <v>392</v>
      </c>
      <c r="E126" s="66" t="s">
        <v>21</v>
      </c>
      <c r="F126" s="67">
        <v>0</v>
      </c>
      <c r="G126" s="57"/>
      <c r="H126" s="57"/>
      <c r="I126" s="57"/>
      <c r="J126" s="57"/>
      <c r="K126" s="57"/>
      <c r="L126" s="58"/>
      <c r="M126" s="58"/>
      <c r="N126" s="58"/>
      <c r="O126" s="58"/>
      <c r="P126" s="58"/>
      <c r="Q126" s="58"/>
      <c r="R126" s="58"/>
      <c r="S126" s="50">
        <f t="shared" si="9"/>
        <v>0</v>
      </c>
      <c r="T126" s="41"/>
    </row>
    <row r="127" spans="1:20" customFormat="1" x14ac:dyDescent="0.3">
      <c r="A127" s="63">
        <v>126</v>
      </c>
      <c r="B127" s="64">
        <v>41113327</v>
      </c>
      <c r="C127" s="64" t="s">
        <v>516</v>
      </c>
      <c r="D127" s="65" t="s">
        <v>392</v>
      </c>
      <c r="E127" s="66" t="s">
        <v>21</v>
      </c>
      <c r="F127" s="67">
        <v>0</v>
      </c>
      <c r="G127" s="57"/>
      <c r="H127" s="57"/>
      <c r="I127" s="57"/>
      <c r="J127" s="57"/>
      <c r="K127" s="57"/>
      <c r="L127" s="58"/>
      <c r="M127" s="58"/>
      <c r="N127" s="58"/>
      <c r="O127" s="58"/>
      <c r="P127" s="58"/>
      <c r="Q127" s="58"/>
      <c r="R127" s="58"/>
      <c r="S127" s="50">
        <f t="shared" si="9"/>
        <v>0</v>
      </c>
      <c r="T127" s="41"/>
    </row>
    <row r="128" spans="1:20" customFormat="1" x14ac:dyDescent="0.3">
      <c r="A128" s="63">
        <v>127</v>
      </c>
      <c r="B128" s="64">
        <v>23141700</v>
      </c>
      <c r="C128" s="64" t="s">
        <v>517</v>
      </c>
      <c r="D128" s="65" t="s">
        <v>392</v>
      </c>
      <c r="E128" s="66" t="s">
        <v>518</v>
      </c>
      <c r="F128" s="67">
        <v>5</v>
      </c>
      <c r="G128" s="57"/>
      <c r="H128" s="57"/>
      <c r="I128" s="57"/>
      <c r="J128" s="57"/>
      <c r="K128" s="57"/>
      <c r="L128" s="58"/>
      <c r="M128" s="58"/>
      <c r="N128" s="58">
        <v>5</v>
      </c>
      <c r="O128" s="58"/>
      <c r="P128" s="58"/>
      <c r="Q128" s="58"/>
      <c r="R128" s="58"/>
      <c r="S128" s="50">
        <f t="shared" si="9"/>
        <v>0</v>
      </c>
      <c r="T128" s="41"/>
    </row>
    <row r="129" spans="1:20" customFormat="1" x14ac:dyDescent="0.3">
      <c r="A129" s="63">
        <v>128</v>
      </c>
      <c r="B129" s="64">
        <v>23141700</v>
      </c>
      <c r="C129" s="64" t="s">
        <v>519</v>
      </c>
      <c r="D129" s="65" t="s">
        <v>490</v>
      </c>
      <c r="E129" s="66" t="s">
        <v>520</v>
      </c>
      <c r="F129" s="67">
        <v>1</v>
      </c>
      <c r="G129" s="57"/>
      <c r="H129" s="57"/>
      <c r="I129" s="57"/>
      <c r="J129" s="57"/>
      <c r="K129" s="57"/>
      <c r="L129" s="58"/>
      <c r="M129" s="58"/>
      <c r="N129" s="58"/>
      <c r="O129" s="58"/>
      <c r="P129" s="58"/>
      <c r="Q129" s="58"/>
      <c r="R129" s="58"/>
      <c r="S129" s="50">
        <f t="shared" si="9"/>
        <v>1</v>
      </c>
      <c r="T129" s="41"/>
    </row>
    <row r="130" spans="1:20" customFormat="1" x14ac:dyDescent="0.3">
      <c r="A130" s="63">
        <v>129</v>
      </c>
      <c r="B130" s="64">
        <v>23141700</v>
      </c>
      <c r="C130" s="64" t="s">
        <v>521</v>
      </c>
      <c r="D130" s="65" t="s">
        <v>392</v>
      </c>
      <c r="E130" s="66" t="s">
        <v>522</v>
      </c>
      <c r="F130" s="67">
        <v>0</v>
      </c>
      <c r="G130" s="57"/>
      <c r="H130" s="57"/>
      <c r="I130" s="57"/>
      <c r="J130" s="57"/>
      <c r="K130" s="57"/>
      <c r="L130" s="58"/>
      <c r="M130" s="58"/>
      <c r="N130" s="58"/>
      <c r="O130" s="58"/>
      <c r="P130" s="58"/>
      <c r="Q130" s="58"/>
      <c r="R130" s="58"/>
      <c r="S130" s="50">
        <f t="shared" si="9"/>
        <v>0</v>
      </c>
      <c r="T130" s="41"/>
    </row>
    <row r="131" spans="1:20" customFormat="1" x14ac:dyDescent="0.3">
      <c r="A131" s="63">
        <v>130</v>
      </c>
      <c r="B131" s="64">
        <v>23271806</v>
      </c>
      <c r="C131" s="64" t="s">
        <v>523</v>
      </c>
      <c r="D131" s="65" t="s">
        <v>392</v>
      </c>
      <c r="E131" s="66" t="s">
        <v>524</v>
      </c>
      <c r="F131" s="67">
        <v>1</v>
      </c>
      <c r="G131" s="57"/>
      <c r="H131" s="57"/>
      <c r="I131" s="57"/>
      <c r="J131" s="57"/>
      <c r="K131" s="57"/>
      <c r="L131" s="58"/>
      <c r="M131" s="58"/>
      <c r="N131" s="58"/>
      <c r="O131" s="58"/>
      <c r="P131" s="58"/>
      <c r="Q131" s="58"/>
      <c r="R131" s="58"/>
      <c r="S131" s="50">
        <f t="shared" si="9"/>
        <v>1</v>
      </c>
      <c r="T131" s="41"/>
    </row>
    <row r="132" spans="1:20" customFormat="1" x14ac:dyDescent="0.3">
      <c r="A132" s="63">
        <v>131</v>
      </c>
      <c r="B132" s="64">
        <v>60123502</v>
      </c>
      <c r="C132" s="64" t="s">
        <v>525</v>
      </c>
      <c r="D132" s="65" t="s">
        <v>392</v>
      </c>
      <c r="E132" s="66" t="s">
        <v>526</v>
      </c>
      <c r="F132" s="67">
        <v>15</v>
      </c>
      <c r="G132" s="57"/>
      <c r="H132" s="57"/>
      <c r="I132" s="57"/>
      <c r="J132" s="57"/>
      <c r="K132" s="57"/>
      <c r="L132" s="58"/>
      <c r="M132" s="58"/>
      <c r="N132" s="58"/>
      <c r="O132" s="58"/>
      <c r="P132" s="58"/>
      <c r="Q132" s="58"/>
      <c r="R132" s="58">
        <v>15</v>
      </c>
      <c r="S132" s="50">
        <f t="shared" si="9"/>
        <v>0</v>
      </c>
      <c r="T132" s="41"/>
    </row>
    <row r="133" spans="1:20" customFormat="1" x14ac:dyDescent="0.3">
      <c r="A133" s="63">
        <v>132</v>
      </c>
      <c r="B133" s="64">
        <v>23141700</v>
      </c>
      <c r="C133" s="64" t="s">
        <v>527</v>
      </c>
      <c r="D133" s="65" t="s">
        <v>392</v>
      </c>
      <c r="E133" s="66" t="s">
        <v>528</v>
      </c>
      <c r="F133" s="67">
        <v>5</v>
      </c>
      <c r="G133" s="57"/>
      <c r="H133" s="57"/>
      <c r="I133" s="57"/>
      <c r="J133" s="57"/>
      <c r="K133" s="57"/>
      <c r="L133" s="58"/>
      <c r="M133" s="58"/>
      <c r="N133" s="58">
        <v>3</v>
      </c>
      <c r="O133" s="58"/>
      <c r="P133" s="58"/>
      <c r="Q133" s="58"/>
      <c r="R133" s="58">
        <v>5</v>
      </c>
      <c r="S133" s="50">
        <f t="shared" si="9"/>
        <v>-3</v>
      </c>
      <c r="T133" s="41"/>
    </row>
    <row r="134" spans="1:20" customFormat="1" x14ac:dyDescent="0.3">
      <c r="A134" s="63">
        <v>133</v>
      </c>
      <c r="B134" s="64">
        <v>27111602</v>
      </c>
      <c r="C134" s="64" t="s">
        <v>529</v>
      </c>
      <c r="D134" s="65" t="s">
        <v>392</v>
      </c>
      <c r="E134" s="66" t="s">
        <v>21</v>
      </c>
      <c r="F134" s="67">
        <v>5</v>
      </c>
      <c r="G134" s="57"/>
      <c r="H134" s="57"/>
      <c r="I134" s="57"/>
      <c r="J134" s="57"/>
      <c r="K134" s="57"/>
      <c r="L134" s="58"/>
      <c r="M134" s="58"/>
      <c r="N134" s="58">
        <v>5</v>
      </c>
      <c r="O134" s="58"/>
      <c r="P134" s="58"/>
      <c r="Q134" s="58"/>
      <c r="R134" s="58"/>
      <c r="S134" s="50">
        <f t="shared" si="9"/>
        <v>0</v>
      </c>
      <c r="T134" s="41"/>
    </row>
    <row r="135" spans="1:20" customFormat="1" x14ac:dyDescent="0.3">
      <c r="A135" s="63">
        <v>134</v>
      </c>
      <c r="B135" s="64">
        <v>27111602</v>
      </c>
      <c r="C135" s="64" t="s">
        <v>530</v>
      </c>
      <c r="D135" s="65" t="s">
        <v>392</v>
      </c>
      <c r="E135" s="66" t="s">
        <v>21</v>
      </c>
      <c r="F135" s="67">
        <v>5</v>
      </c>
      <c r="G135" s="57"/>
      <c r="H135" s="57"/>
      <c r="I135" s="57"/>
      <c r="J135" s="57"/>
      <c r="K135" s="57"/>
      <c r="L135" s="58"/>
      <c r="M135" s="58"/>
      <c r="N135" s="58"/>
      <c r="O135" s="58">
        <v>3</v>
      </c>
      <c r="P135" s="58"/>
      <c r="Q135" s="58"/>
      <c r="R135" s="58">
        <v>2</v>
      </c>
      <c r="S135" s="50">
        <f t="shared" si="9"/>
        <v>0</v>
      </c>
      <c r="T135" s="41"/>
    </row>
    <row r="136" spans="1:20" customFormat="1" x14ac:dyDescent="0.3">
      <c r="A136" s="63">
        <v>135</v>
      </c>
      <c r="B136" s="64">
        <v>23101514</v>
      </c>
      <c r="C136" s="64" t="s">
        <v>531</v>
      </c>
      <c r="D136" s="65" t="s">
        <v>392</v>
      </c>
      <c r="E136" s="66" t="s">
        <v>21</v>
      </c>
      <c r="F136" s="67">
        <v>0</v>
      </c>
      <c r="G136" s="57"/>
      <c r="H136" s="57"/>
      <c r="I136" s="57"/>
      <c r="J136" s="57"/>
      <c r="K136" s="57"/>
      <c r="L136" s="58"/>
      <c r="M136" s="58"/>
      <c r="N136" s="58"/>
      <c r="O136" s="58"/>
      <c r="P136" s="58"/>
      <c r="Q136" s="58"/>
      <c r="R136" s="58"/>
      <c r="S136" s="50">
        <f t="shared" si="9"/>
        <v>0</v>
      </c>
      <c r="T136" s="41"/>
    </row>
    <row r="137" spans="1:20" customFormat="1" x14ac:dyDescent="0.3">
      <c r="A137" s="63">
        <v>136</v>
      </c>
      <c r="B137" s="64">
        <v>31162900</v>
      </c>
      <c r="C137" s="64" t="s">
        <v>532</v>
      </c>
      <c r="D137" s="65" t="s">
        <v>392</v>
      </c>
      <c r="E137" s="66" t="s">
        <v>21</v>
      </c>
      <c r="F137" s="67">
        <v>0</v>
      </c>
      <c r="G137" s="57"/>
      <c r="H137" s="57"/>
      <c r="I137" s="57"/>
      <c r="J137" s="57"/>
      <c r="K137" s="57"/>
      <c r="L137" s="58"/>
      <c r="M137" s="58"/>
      <c r="N137" s="58"/>
      <c r="O137" s="58"/>
      <c r="P137" s="58"/>
      <c r="Q137" s="58"/>
      <c r="R137" s="58"/>
      <c r="S137" s="50">
        <f t="shared" si="9"/>
        <v>0</v>
      </c>
      <c r="T137" s="41"/>
    </row>
    <row r="138" spans="1:20" customFormat="1" x14ac:dyDescent="0.3">
      <c r="A138" s="63">
        <v>137</v>
      </c>
      <c r="B138" s="74">
        <v>60121253</v>
      </c>
      <c r="C138" s="74" t="s">
        <v>533</v>
      </c>
      <c r="D138" s="65" t="s">
        <v>392</v>
      </c>
      <c r="E138" s="66" t="s">
        <v>21</v>
      </c>
      <c r="F138" s="67">
        <v>5</v>
      </c>
      <c r="G138" s="75"/>
      <c r="H138" s="75"/>
      <c r="I138" s="75"/>
      <c r="J138" s="75"/>
      <c r="K138" s="75"/>
      <c r="L138" s="76"/>
      <c r="M138" s="76"/>
      <c r="N138" s="76"/>
      <c r="O138" s="76"/>
      <c r="P138" s="76"/>
      <c r="Q138" s="76">
        <v>5</v>
      </c>
      <c r="R138" s="76"/>
      <c r="S138" s="50">
        <f t="shared" si="9"/>
        <v>0</v>
      </c>
      <c r="T138" s="41"/>
    </row>
    <row r="139" spans="1:20" ht="17.25" customHeight="1" x14ac:dyDescent="0.3">
      <c r="A139" s="52">
        <v>138</v>
      </c>
      <c r="B139" s="53">
        <v>11151709</v>
      </c>
      <c r="C139" s="53" t="s">
        <v>534</v>
      </c>
      <c r="D139" s="55" t="s">
        <v>475</v>
      </c>
      <c r="E139" s="55" t="s">
        <v>476</v>
      </c>
      <c r="F139" s="56">
        <v>100</v>
      </c>
      <c r="G139" s="50">
        <v>100</v>
      </c>
      <c r="H139" s="57"/>
      <c r="I139" s="57"/>
      <c r="J139" s="57"/>
      <c r="K139" s="57"/>
      <c r="L139" s="58"/>
      <c r="M139" s="58"/>
      <c r="N139" s="58"/>
      <c r="O139" s="58"/>
      <c r="P139" s="58"/>
      <c r="Q139" s="58"/>
      <c r="R139" s="58"/>
      <c r="S139" s="50">
        <f t="shared" si="9"/>
        <v>0</v>
      </c>
    </row>
    <row r="140" spans="1:20" x14ac:dyDescent="0.3">
      <c r="A140" s="52">
        <v>139</v>
      </c>
      <c r="B140" s="53">
        <v>27111956</v>
      </c>
      <c r="C140" s="53" t="s">
        <v>535</v>
      </c>
      <c r="D140" s="55" t="s">
        <v>392</v>
      </c>
      <c r="E140" s="55" t="s">
        <v>21</v>
      </c>
      <c r="F140" s="56">
        <v>5</v>
      </c>
      <c r="G140" s="50">
        <v>5</v>
      </c>
      <c r="H140" s="57"/>
      <c r="I140" s="57"/>
      <c r="J140" s="57"/>
      <c r="K140" s="57"/>
      <c r="L140" s="58"/>
      <c r="M140" s="58"/>
      <c r="N140" s="58"/>
      <c r="O140" s="58"/>
      <c r="P140" s="58"/>
      <c r="Q140" s="58"/>
      <c r="R140" s="58"/>
      <c r="S140" s="50">
        <f t="shared" si="9"/>
        <v>0</v>
      </c>
    </row>
    <row r="141" spans="1:20" customFormat="1" x14ac:dyDescent="0.3">
      <c r="A141" s="42">
        <v>140</v>
      </c>
      <c r="B141" s="60">
        <v>27111956</v>
      </c>
      <c r="C141" s="60" t="s">
        <v>536</v>
      </c>
      <c r="D141" s="45" t="s">
        <v>392</v>
      </c>
      <c r="E141" s="46" t="s">
        <v>21</v>
      </c>
      <c r="F141" s="61">
        <v>0</v>
      </c>
      <c r="G141" s="62"/>
      <c r="H141" s="62"/>
      <c r="I141" s="62"/>
      <c r="J141" s="62"/>
      <c r="K141" s="62"/>
      <c r="L141" s="59"/>
      <c r="M141" s="59"/>
      <c r="N141" s="59"/>
      <c r="O141" s="59"/>
      <c r="P141" s="59"/>
      <c r="Q141" s="59"/>
      <c r="R141" s="59"/>
      <c r="S141" s="50">
        <f t="shared" si="9"/>
        <v>0</v>
      </c>
      <c r="T141" s="41"/>
    </row>
    <row r="142" spans="1:20" customFormat="1" x14ac:dyDescent="0.3">
      <c r="A142" s="63">
        <v>141</v>
      </c>
      <c r="B142" s="74">
        <v>24101719</v>
      </c>
      <c r="C142" s="64" t="s">
        <v>537</v>
      </c>
      <c r="D142" s="65" t="s">
        <v>392</v>
      </c>
      <c r="E142" s="66" t="s">
        <v>21</v>
      </c>
      <c r="F142" s="67">
        <v>0</v>
      </c>
      <c r="G142" s="57"/>
      <c r="H142" s="57"/>
      <c r="I142" s="57"/>
      <c r="J142" s="57"/>
      <c r="K142" s="57"/>
      <c r="L142" s="58"/>
      <c r="M142" s="58"/>
      <c r="N142" s="58"/>
      <c r="O142" s="58"/>
      <c r="P142" s="58"/>
      <c r="Q142" s="58"/>
      <c r="R142" s="58"/>
      <c r="S142" s="50">
        <f t="shared" si="9"/>
        <v>0</v>
      </c>
      <c r="T142" s="41"/>
    </row>
    <row r="143" spans="1:20" customFormat="1" x14ac:dyDescent="0.3">
      <c r="A143" s="63">
        <v>142</v>
      </c>
      <c r="B143" s="64">
        <v>23141700</v>
      </c>
      <c r="C143" s="64" t="s">
        <v>538</v>
      </c>
      <c r="D143" s="65" t="s">
        <v>392</v>
      </c>
      <c r="E143" s="66" t="s">
        <v>21</v>
      </c>
      <c r="F143" s="67">
        <v>0</v>
      </c>
      <c r="G143" s="57"/>
      <c r="H143" s="57"/>
      <c r="I143" s="57"/>
      <c r="J143" s="57"/>
      <c r="K143" s="57"/>
      <c r="L143" s="58"/>
      <c r="M143" s="58"/>
      <c r="N143" s="58"/>
      <c r="O143" s="58"/>
      <c r="P143" s="58"/>
      <c r="Q143" s="58"/>
      <c r="R143" s="58"/>
      <c r="S143" s="50">
        <f t="shared" si="9"/>
        <v>0</v>
      </c>
      <c r="T143" s="41"/>
    </row>
    <row r="144" spans="1:20" customFormat="1" x14ac:dyDescent="0.3">
      <c r="A144" s="63">
        <v>143</v>
      </c>
      <c r="B144" s="64">
        <v>23231602</v>
      </c>
      <c r="C144" s="64" t="s">
        <v>539</v>
      </c>
      <c r="D144" s="65" t="s">
        <v>392</v>
      </c>
      <c r="E144" s="66" t="s">
        <v>21</v>
      </c>
      <c r="F144" s="67">
        <v>5</v>
      </c>
      <c r="G144" s="57"/>
      <c r="H144" s="57"/>
      <c r="I144" s="57"/>
      <c r="J144" s="57"/>
      <c r="K144" s="57"/>
      <c r="L144" s="58"/>
      <c r="M144" s="58"/>
      <c r="N144" s="58"/>
      <c r="O144" s="58">
        <v>5</v>
      </c>
      <c r="P144" s="58"/>
      <c r="Q144" s="58"/>
      <c r="R144" s="58"/>
      <c r="S144" s="50">
        <f t="shared" si="9"/>
        <v>0</v>
      </c>
      <c r="T144" s="41"/>
    </row>
    <row r="145" spans="1:20" customFormat="1" x14ac:dyDescent="0.3">
      <c r="A145" s="63">
        <v>144</v>
      </c>
      <c r="B145" s="64">
        <v>30152100</v>
      </c>
      <c r="C145" s="64" t="s">
        <v>540</v>
      </c>
      <c r="D145" s="65" t="s">
        <v>392</v>
      </c>
      <c r="E145" s="66" t="s">
        <v>21</v>
      </c>
      <c r="F145" s="67">
        <v>12</v>
      </c>
      <c r="G145" s="57"/>
      <c r="H145" s="57"/>
      <c r="I145" s="57"/>
      <c r="J145" s="57"/>
      <c r="K145" s="57"/>
      <c r="L145" s="58"/>
      <c r="M145" s="58"/>
      <c r="N145" s="58">
        <v>12</v>
      </c>
      <c r="O145" s="58"/>
      <c r="P145" s="58"/>
      <c r="Q145" s="58"/>
      <c r="R145" s="58"/>
      <c r="S145" s="50">
        <f t="shared" si="9"/>
        <v>0</v>
      </c>
      <c r="T145" s="41"/>
    </row>
    <row r="146" spans="1:20" customFormat="1" x14ac:dyDescent="0.3">
      <c r="A146" s="63">
        <v>145</v>
      </c>
      <c r="B146" s="74">
        <v>30152100</v>
      </c>
      <c r="C146" s="74" t="s">
        <v>541</v>
      </c>
      <c r="D146" s="65" t="s">
        <v>392</v>
      </c>
      <c r="E146" s="66" t="s">
        <v>21</v>
      </c>
      <c r="F146" s="67">
        <v>12</v>
      </c>
      <c r="G146" s="75"/>
      <c r="H146" s="75"/>
      <c r="I146" s="75"/>
      <c r="J146" s="75"/>
      <c r="K146" s="75"/>
      <c r="L146" s="76"/>
      <c r="M146" s="76"/>
      <c r="N146" s="76">
        <v>12</v>
      </c>
      <c r="O146" s="76"/>
      <c r="P146" s="76"/>
      <c r="Q146" s="76"/>
      <c r="R146" s="76"/>
      <c r="S146" s="50">
        <f t="shared" ref="S146:S209" si="10">F146-G146-H146-I146-J146-K146-L146-M146-N146-O146-P146-Q146-R146</f>
        <v>0</v>
      </c>
      <c r="T146" s="41"/>
    </row>
    <row r="147" spans="1:20" x14ac:dyDescent="0.3">
      <c r="A147" s="52">
        <v>146</v>
      </c>
      <c r="B147" s="53">
        <v>27111533</v>
      </c>
      <c r="C147" s="53" t="s">
        <v>542</v>
      </c>
      <c r="D147" s="55" t="s">
        <v>392</v>
      </c>
      <c r="E147" s="55" t="s">
        <v>21</v>
      </c>
      <c r="F147" s="56">
        <v>24</v>
      </c>
      <c r="G147" s="50">
        <v>24</v>
      </c>
      <c r="H147" s="57"/>
      <c r="I147" s="57"/>
      <c r="J147" s="57"/>
      <c r="K147" s="57"/>
      <c r="L147" s="58"/>
      <c r="M147" s="58"/>
      <c r="N147" s="58"/>
      <c r="O147" s="58"/>
      <c r="P147" s="58"/>
      <c r="Q147" s="58"/>
      <c r="R147" s="58"/>
      <c r="S147" s="50">
        <f t="shared" si="10"/>
        <v>0</v>
      </c>
    </row>
    <row r="148" spans="1:20" x14ac:dyDescent="0.3">
      <c r="A148" s="52">
        <v>147</v>
      </c>
      <c r="B148" s="53">
        <v>44121618</v>
      </c>
      <c r="C148" s="53" t="s">
        <v>543</v>
      </c>
      <c r="D148" s="55" t="s">
        <v>392</v>
      </c>
      <c r="E148" s="55" t="s">
        <v>21</v>
      </c>
      <c r="F148" s="56">
        <v>5</v>
      </c>
      <c r="G148" s="50">
        <v>5</v>
      </c>
      <c r="H148" s="57"/>
      <c r="I148" s="57"/>
      <c r="J148" s="57"/>
      <c r="K148" s="57"/>
      <c r="L148" s="58"/>
      <c r="M148" s="58"/>
      <c r="N148" s="58"/>
      <c r="O148" s="58"/>
      <c r="P148" s="58"/>
      <c r="Q148" s="58"/>
      <c r="R148" s="58"/>
      <c r="S148" s="50">
        <f t="shared" si="10"/>
        <v>0</v>
      </c>
    </row>
    <row r="149" spans="1:20" customFormat="1" ht="18.75" customHeight="1" x14ac:dyDescent="0.3">
      <c r="A149" s="42">
        <v>148</v>
      </c>
      <c r="B149" s="44">
        <v>44121618</v>
      </c>
      <c r="C149" s="60" t="s">
        <v>544</v>
      </c>
      <c r="D149" s="45" t="s">
        <v>392</v>
      </c>
      <c r="E149" s="46" t="s">
        <v>21</v>
      </c>
      <c r="F149" s="61">
        <v>5</v>
      </c>
      <c r="G149" s="62"/>
      <c r="H149" s="62"/>
      <c r="I149" s="62"/>
      <c r="J149" s="62">
        <v>5</v>
      </c>
      <c r="K149" s="62"/>
      <c r="L149" s="59"/>
      <c r="M149" s="59"/>
      <c r="N149" s="59"/>
      <c r="O149" s="59"/>
      <c r="P149" s="59"/>
      <c r="Q149" s="59"/>
      <c r="R149" s="59"/>
      <c r="S149" s="50">
        <f t="shared" si="10"/>
        <v>0</v>
      </c>
      <c r="T149" s="41"/>
    </row>
    <row r="150" spans="1:20" customFormat="1" x14ac:dyDescent="0.3">
      <c r="A150" s="63">
        <v>149</v>
      </c>
      <c r="B150" s="64">
        <v>23141700</v>
      </c>
      <c r="C150" s="64" t="s">
        <v>545</v>
      </c>
      <c r="D150" s="65" t="s">
        <v>392</v>
      </c>
      <c r="E150" s="66" t="s">
        <v>546</v>
      </c>
      <c r="F150" s="67">
        <v>3</v>
      </c>
      <c r="G150" s="57"/>
      <c r="H150" s="57"/>
      <c r="I150" s="57"/>
      <c r="J150" s="57"/>
      <c r="K150" s="57"/>
      <c r="L150" s="58"/>
      <c r="M150" s="58"/>
      <c r="N150" s="58"/>
      <c r="O150" s="58"/>
      <c r="P150" s="58"/>
      <c r="Q150" s="58">
        <v>14</v>
      </c>
      <c r="R150" s="58"/>
      <c r="S150" s="50">
        <f t="shared" si="10"/>
        <v>-11</v>
      </c>
      <c r="T150" s="41" t="s">
        <v>547</v>
      </c>
    </row>
    <row r="151" spans="1:20" customFormat="1" x14ac:dyDescent="0.3">
      <c r="A151" s="63">
        <v>150</v>
      </c>
      <c r="B151" s="74">
        <v>23141700</v>
      </c>
      <c r="C151" s="74" t="s">
        <v>548</v>
      </c>
      <c r="D151" s="65" t="s">
        <v>392</v>
      </c>
      <c r="E151" s="66" t="s">
        <v>549</v>
      </c>
      <c r="F151" s="67">
        <v>5</v>
      </c>
      <c r="G151" s="75"/>
      <c r="H151" s="75"/>
      <c r="I151" s="75"/>
      <c r="J151" s="75"/>
      <c r="K151" s="75"/>
      <c r="L151" s="76"/>
      <c r="M151" s="76"/>
      <c r="N151" s="76">
        <v>5</v>
      </c>
      <c r="O151" s="76"/>
      <c r="P151" s="76"/>
      <c r="Q151" s="76"/>
      <c r="R151" s="76"/>
      <c r="S151" s="50">
        <f t="shared" si="10"/>
        <v>0</v>
      </c>
      <c r="T151" s="41"/>
    </row>
    <row r="152" spans="1:20" x14ac:dyDescent="0.3">
      <c r="A152" s="52">
        <v>151</v>
      </c>
      <c r="B152" s="53">
        <v>23141700</v>
      </c>
      <c r="C152" s="53" t="s">
        <v>550</v>
      </c>
      <c r="D152" s="55" t="s">
        <v>392</v>
      </c>
      <c r="E152" s="55" t="s">
        <v>551</v>
      </c>
      <c r="F152" s="56">
        <v>2</v>
      </c>
      <c r="G152" s="50">
        <v>2</v>
      </c>
      <c r="H152" s="57"/>
      <c r="I152" s="57"/>
      <c r="J152" s="57"/>
      <c r="K152" s="57"/>
      <c r="L152" s="58"/>
      <c r="M152" s="58"/>
      <c r="N152" s="58"/>
      <c r="O152" s="58"/>
      <c r="P152" s="58"/>
      <c r="Q152" s="58"/>
      <c r="R152" s="58"/>
      <c r="S152" s="50">
        <f t="shared" si="10"/>
        <v>0</v>
      </c>
    </row>
    <row r="153" spans="1:20" x14ac:dyDescent="0.3">
      <c r="A153" s="52">
        <v>152</v>
      </c>
      <c r="B153" s="53">
        <v>23141700</v>
      </c>
      <c r="C153" s="53" t="s">
        <v>552</v>
      </c>
      <c r="D153" s="55" t="s">
        <v>392</v>
      </c>
      <c r="E153" s="55" t="s">
        <v>551</v>
      </c>
      <c r="F153" s="56">
        <v>2</v>
      </c>
      <c r="G153" s="50">
        <v>2</v>
      </c>
      <c r="H153" s="57"/>
      <c r="I153" s="57"/>
      <c r="J153" s="57"/>
      <c r="K153" s="57"/>
      <c r="L153" s="58"/>
      <c r="M153" s="58"/>
      <c r="N153" s="58"/>
      <c r="O153" s="58"/>
      <c r="P153" s="58"/>
      <c r="Q153" s="58"/>
      <c r="R153" s="58"/>
      <c r="S153" s="50">
        <f t="shared" si="10"/>
        <v>0</v>
      </c>
    </row>
    <row r="154" spans="1:20" customFormat="1" x14ac:dyDescent="0.3">
      <c r="A154" s="42">
        <v>153</v>
      </c>
      <c r="B154" s="60">
        <v>23141700</v>
      </c>
      <c r="C154" s="60" t="s">
        <v>553</v>
      </c>
      <c r="D154" s="45" t="s">
        <v>392</v>
      </c>
      <c r="E154" s="46" t="s">
        <v>554</v>
      </c>
      <c r="F154" s="61">
        <v>2</v>
      </c>
      <c r="G154" s="62"/>
      <c r="H154" s="62"/>
      <c r="I154" s="62"/>
      <c r="J154" s="62"/>
      <c r="K154" s="62"/>
      <c r="L154" s="59"/>
      <c r="M154" s="59"/>
      <c r="N154" s="59">
        <v>2</v>
      </c>
      <c r="O154" s="59"/>
      <c r="P154" s="59"/>
      <c r="Q154" s="59"/>
      <c r="R154" s="59"/>
      <c r="S154" s="50">
        <f t="shared" si="10"/>
        <v>0</v>
      </c>
      <c r="T154" s="41"/>
    </row>
    <row r="155" spans="1:20" customFormat="1" x14ac:dyDescent="0.3">
      <c r="A155" s="63">
        <v>154</v>
      </c>
      <c r="B155" s="64">
        <v>23141700</v>
      </c>
      <c r="C155" s="64" t="s">
        <v>555</v>
      </c>
      <c r="D155" s="65" t="s">
        <v>392</v>
      </c>
      <c r="E155" s="66" t="s">
        <v>554</v>
      </c>
      <c r="F155" s="67">
        <v>2</v>
      </c>
      <c r="G155" s="57"/>
      <c r="H155" s="57"/>
      <c r="I155" s="57"/>
      <c r="J155" s="57"/>
      <c r="K155" s="57"/>
      <c r="L155" s="58"/>
      <c r="M155" s="58"/>
      <c r="N155" s="58"/>
      <c r="O155" s="58"/>
      <c r="P155" s="58"/>
      <c r="Q155" s="58"/>
      <c r="R155" s="58"/>
      <c r="S155" s="50">
        <f t="shared" si="10"/>
        <v>2</v>
      </c>
      <c r="T155" s="41"/>
    </row>
    <row r="156" spans="1:20" customFormat="1" x14ac:dyDescent="0.3">
      <c r="A156" s="63">
        <v>155</v>
      </c>
      <c r="B156" s="74">
        <v>27112144</v>
      </c>
      <c r="C156" s="64" t="s">
        <v>556</v>
      </c>
      <c r="D156" s="65" t="s">
        <v>392</v>
      </c>
      <c r="E156" s="66" t="s">
        <v>21</v>
      </c>
      <c r="F156" s="67">
        <v>25</v>
      </c>
      <c r="G156" s="57"/>
      <c r="H156" s="57"/>
      <c r="I156" s="57"/>
      <c r="J156" s="57"/>
      <c r="K156" s="57"/>
      <c r="L156" s="58"/>
      <c r="M156" s="58"/>
      <c r="N156" s="58">
        <v>25</v>
      </c>
      <c r="O156" s="58"/>
      <c r="P156" s="58"/>
      <c r="Q156" s="58"/>
      <c r="R156" s="58"/>
      <c r="S156" s="50">
        <f t="shared" si="10"/>
        <v>0</v>
      </c>
      <c r="T156" s="41"/>
    </row>
    <row r="157" spans="1:20" customFormat="1" x14ac:dyDescent="0.3">
      <c r="A157" s="63">
        <v>156</v>
      </c>
      <c r="B157" s="74">
        <v>27111602</v>
      </c>
      <c r="C157" s="64" t="s">
        <v>557</v>
      </c>
      <c r="D157" s="65" t="s">
        <v>392</v>
      </c>
      <c r="E157" s="66" t="s">
        <v>21</v>
      </c>
      <c r="F157" s="67">
        <v>25</v>
      </c>
      <c r="G157" s="57"/>
      <c r="H157" s="57"/>
      <c r="I157" s="57"/>
      <c r="J157" s="57">
        <v>25</v>
      </c>
      <c r="K157" s="57"/>
      <c r="L157" s="58"/>
      <c r="M157" s="58"/>
      <c r="N157" s="58"/>
      <c r="O157" s="58"/>
      <c r="P157" s="58"/>
      <c r="Q157" s="58"/>
      <c r="R157" s="58"/>
      <c r="S157" s="50">
        <f t="shared" si="10"/>
        <v>0</v>
      </c>
      <c r="T157" s="41"/>
    </row>
    <row r="158" spans="1:20" customFormat="1" x14ac:dyDescent="0.3">
      <c r="A158" s="63">
        <v>157</v>
      </c>
      <c r="B158" s="74">
        <v>60122204</v>
      </c>
      <c r="C158" s="74" t="s">
        <v>558</v>
      </c>
      <c r="D158" s="65" t="s">
        <v>392</v>
      </c>
      <c r="E158" s="66" t="s">
        <v>21</v>
      </c>
      <c r="F158" s="67">
        <v>10</v>
      </c>
      <c r="G158" s="75"/>
      <c r="H158" s="75"/>
      <c r="I158" s="75"/>
      <c r="J158" s="75"/>
      <c r="K158" s="75"/>
      <c r="L158" s="76"/>
      <c r="M158" s="76"/>
      <c r="N158" s="76"/>
      <c r="O158" s="76">
        <v>10</v>
      </c>
      <c r="P158" s="76"/>
      <c r="Q158" s="76"/>
      <c r="R158" s="76"/>
      <c r="S158" s="50">
        <f t="shared" si="10"/>
        <v>0</v>
      </c>
      <c r="T158" s="41"/>
    </row>
    <row r="159" spans="1:20" x14ac:dyDescent="0.3">
      <c r="A159" s="52">
        <v>158</v>
      </c>
      <c r="B159" s="54">
        <v>27111801</v>
      </c>
      <c r="C159" s="53" t="s">
        <v>559</v>
      </c>
      <c r="D159" s="55" t="s">
        <v>392</v>
      </c>
      <c r="E159" s="55" t="s">
        <v>21</v>
      </c>
      <c r="F159" s="89">
        <v>5</v>
      </c>
      <c r="G159" s="50">
        <v>5</v>
      </c>
      <c r="H159" s="57"/>
      <c r="I159" s="57"/>
      <c r="J159" s="57"/>
      <c r="K159" s="57"/>
      <c r="L159" s="58"/>
      <c r="M159" s="58"/>
      <c r="N159" s="58"/>
      <c r="O159" s="58"/>
      <c r="P159" s="58"/>
      <c r="Q159" s="58"/>
      <c r="R159" s="58"/>
      <c r="S159" s="50">
        <f t="shared" si="10"/>
        <v>0</v>
      </c>
    </row>
    <row r="160" spans="1:20" customFormat="1" x14ac:dyDescent="0.3">
      <c r="A160" s="42">
        <v>159</v>
      </c>
      <c r="B160" s="87">
        <v>44111803</v>
      </c>
      <c r="C160" s="43" t="s">
        <v>560</v>
      </c>
      <c r="D160" s="45" t="s">
        <v>392</v>
      </c>
      <c r="E160" s="46" t="s">
        <v>21</v>
      </c>
      <c r="F160" s="61">
        <v>20</v>
      </c>
      <c r="G160" s="85"/>
      <c r="H160" s="85"/>
      <c r="I160" s="85"/>
      <c r="J160" s="85"/>
      <c r="K160" s="85"/>
      <c r="L160" s="86"/>
      <c r="M160" s="86"/>
      <c r="N160" s="86">
        <v>20</v>
      </c>
      <c r="O160" s="86"/>
      <c r="P160" s="86"/>
      <c r="Q160" s="86"/>
      <c r="R160" s="86"/>
      <c r="S160" s="50">
        <f t="shared" si="10"/>
        <v>0</v>
      </c>
      <c r="T160" s="41"/>
    </row>
    <row r="161" spans="1:20" ht="19.5" customHeight="1" x14ac:dyDescent="0.3">
      <c r="A161" s="52">
        <v>160</v>
      </c>
      <c r="B161" s="53">
        <v>23241601</v>
      </c>
      <c r="C161" s="53" t="s">
        <v>561</v>
      </c>
      <c r="D161" s="55" t="s">
        <v>392</v>
      </c>
      <c r="E161" s="55" t="s">
        <v>21</v>
      </c>
      <c r="F161" s="56">
        <v>3</v>
      </c>
      <c r="G161" s="50">
        <v>3</v>
      </c>
      <c r="H161" s="57"/>
      <c r="I161" s="57"/>
      <c r="J161" s="57"/>
      <c r="K161" s="57"/>
      <c r="L161" s="58"/>
      <c r="M161" s="58"/>
      <c r="N161" s="58"/>
      <c r="O161" s="58"/>
      <c r="P161" s="58"/>
      <c r="Q161" s="58"/>
      <c r="R161" s="58"/>
      <c r="S161" s="50">
        <f t="shared" si="10"/>
        <v>0</v>
      </c>
    </row>
    <row r="162" spans="1:20" x14ac:dyDescent="0.3">
      <c r="A162" s="52">
        <v>161</v>
      </c>
      <c r="B162" s="53">
        <v>27112505</v>
      </c>
      <c r="C162" s="53" t="s">
        <v>562</v>
      </c>
      <c r="D162" s="55" t="s">
        <v>392</v>
      </c>
      <c r="E162" s="55" t="s">
        <v>21</v>
      </c>
      <c r="F162" s="56">
        <v>2</v>
      </c>
      <c r="G162" s="50">
        <v>2</v>
      </c>
      <c r="H162" s="57"/>
      <c r="I162" s="57"/>
      <c r="J162" s="57"/>
      <c r="K162" s="57"/>
      <c r="L162" s="58"/>
      <c r="M162" s="58"/>
      <c r="N162" s="58"/>
      <c r="O162" s="58"/>
      <c r="P162" s="58"/>
      <c r="Q162" s="58"/>
      <c r="R162" s="58"/>
      <c r="S162" s="50">
        <f t="shared" si="10"/>
        <v>0</v>
      </c>
    </row>
    <row r="163" spans="1:20" x14ac:dyDescent="0.3">
      <c r="A163" s="52">
        <v>162</v>
      </c>
      <c r="B163" s="53">
        <v>53112001</v>
      </c>
      <c r="C163" s="53" t="s">
        <v>563</v>
      </c>
      <c r="D163" s="55" t="s">
        <v>392</v>
      </c>
      <c r="E163" s="55" t="s">
        <v>21</v>
      </c>
      <c r="F163" s="56">
        <v>15</v>
      </c>
      <c r="G163" s="50">
        <v>15</v>
      </c>
      <c r="H163" s="57"/>
      <c r="I163" s="57"/>
      <c r="J163" s="57">
        <v>0</v>
      </c>
      <c r="K163" s="57"/>
      <c r="L163" s="58"/>
      <c r="M163" s="58"/>
      <c r="N163" s="58"/>
      <c r="O163" s="58"/>
      <c r="P163" s="58"/>
      <c r="Q163" s="58"/>
      <c r="R163" s="58"/>
      <c r="S163" s="50">
        <f t="shared" si="10"/>
        <v>0</v>
      </c>
    </row>
    <row r="164" spans="1:20" x14ac:dyDescent="0.3">
      <c r="A164" s="52">
        <v>163</v>
      </c>
      <c r="B164" s="53">
        <v>24101719</v>
      </c>
      <c r="C164" s="53" t="s">
        <v>564</v>
      </c>
      <c r="D164" s="55" t="s">
        <v>392</v>
      </c>
      <c r="E164" s="55" t="s">
        <v>21</v>
      </c>
      <c r="F164" s="56">
        <v>20</v>
      </c>
      <c r="G164" s="50">
        <v>20</v>
      </c>
      <c r="H164" s="57"/>
      <c r="I164" s="57"/>
      <c r="J164" s="57"/>
      <c r="K164" s="57"/>
      <c r="L164" s="58"/>
      <c r="M164" s="58"/>
      <c r="N164" s="58"/>
      <c r="O164" s="58"/>
      <c r="P164" s="58"/>
      <c r="Q164" s="58"/>
      <c r="R164" s="58"/>
      <c r="S164" s="50">
        <f t="shared" si="10"/>
        <v>0</v>
      </c>
    </row>
    <row r="165" spans="1:20" customFormat="1" x14ac:dyDescent="0.3">
      <c r="A165" s="42">
        <v>164</v>
      </c>
      <c r="B165" s="90">
        <v>23153030</v>
      </c>
      <c r="C165" s="90" t="s">
        <v>565</v>
      </c>
      <c r="D165" s="88" t="s">
        <v>392</v>
      </c>
      <c r="E165" s="46" t="s">
        <v>566</v>
      </c>
      <c r="F165" s="61">
        <v>3</v>
      </c>
      <c r="G165" s="62"/>
      <c r="H165" s="62"/>
      <c r="I165" s="62"/>
      <c r="J165" s="62"/>
      <c r="K165" s="62"/>
      <c r="L165" s="59"/>
      <c r="M165" s="59"/>
      <c r="N165" s="59">
        <v>3</v>
      </c>
      <c r="O165" s="59"/>
      <c r="P165" s="59"/>
      <c r="Q165" s="59"/>
      <c r="R165" s="59"/>
      <c r="S165" s="50">
        <f t="shared" si="10"/>
        <v>0</v>
      </c>
      <c r="T165" s="41"/>
    </row>
    <row r="166" spans="1:20" customFormat="1" x14ac:dyDescent="0.3">
      <c r="A166" s="63">
        <v>165</v>
      </c>
      <c r="B166" s="91">
        <v>23153030</v>
      </c>
      <c r="C166" s="92" t="s">
        <v>567</v>
      </c>
      <c r="D166" s="70" t="s">
        <v>392</v>
      </c>
      <c r="E166" s="66" t="s">
        <v>568</v>
      </c>
      <c r="F166" s="67">
        <v>1</v>
      </c>
      <c r="G166" s="57"/>
      <c r="H166" s="57"/>
      <c r="I166" s="57"/>
      <c r="J166" s="57"/>
      <c r="K166" s="57"/>
      <c r="L166" s="58"/>
      <c r="M166" s="58"/>
      <c r="N166" s="58">
        <v>1</v>
      </c>
      <c r="O166" s="58"/>
      <c r="P166" s="58"/>
      <c r="Q166" s="58"/>
      <c r="R166" s="58"/>
      <c r="S166" s="50">
        <f t="shared" si="10"/>
        <v>0</v>
      </c>
      <c r="T166" s="41"/>
    </row>
    <row r="167" spans="1:20" customFormat="1" x14ac:dyDescent="0.3">
      <c r="A167" s="63">
        <v>166</v>
      </c>
      <c r="B167" s="64">
        <v>53141602</v>
      </c>
      <c r="C167" s="64" t="s">
        <v>569</v>
      </c>
      <c r="D167" s="70" t="s">
        <v>392</v>
      </c>
      <c r="E167" s="66" t="s">
        <v>568</v>
      </c>
      <c r="F167" s="67">
        <v>1</v>
      </c>
      <c r="G167" s="57"/>
      <c r="H167" s="57"/>
      <c r="I167" s="57"/>
      <c r="J167" s="57"/>
      <c r="K167" s="57"/>
      <c r="L167" s="58"/>
      <c r="M167" s="58"/>
      <c r="N167" s="58">
        <v>1</v>
      </c>
      <c r="O167" s="58"/>
      <c r="P167" s="58"/>
      <c r="Q167" s="58"/>
      <c r="R167" s="58"/>
      <c r="S167" s="50">
        <f t="shared" si="10"/>
        <v>0</v>
      </c>
      <c r="T167" s="41"/>
    </row>
    <row r="168" spans="1:20" customFormat="1" x14ac:dyDescent="0.3">
      <c r="A168" s="63">
        <v>167</v>
      </c>
      <c r="B168" s="64">
        <v>53141602</v>
      </c>
      <c r="C168" s="64" t="s">
        <v>570</v>
      </c>
      <c r="D168" s="70" t="s">
        <v>392</v>
      </c>
      <c r="E168" s="66" t="s">
        <v>568</v>
      </c>
      <c r="F168" s="67">
        <v>0</v>
      </c>
      <c r="G168" s="57"/>
      <c r="H168" s="57"/>
      <c r="I168" s="57"/>
      <c r="J168" s="57"/>
      <c r="K168" s="57"/>
      <c r="L168" s="58"/>
      <c r="M168" s="58"/>
      <c r="N168" s="58"/>
      <c r="O168" s="58"/>
      <c r="P168" s="58"/>
      <c r="Q168" s="58"/>
      <c r="R168" s="58"/>
      <c r="S168" s="50">
        <f t="shared" si="10"/>
        <v>0</v>
      </c>
      <c r="T168" s="41"/>
    </row>
    <row r="169" spans="1:20" customFormat="1" x14ac:dyDescent="0.3">
      <c r="A169" s="63">
        <v>168</v>
      </c>
      <c r="B169" s="64">
        <v>53141602</v>
      </c>
      <c r="C169" s="64" t="s">
        <v>571</v>
      </c>
      <c r="D169" s="70" t="s">
        <v>392</v>
      </c>
      <c r="E169" s="66" t="s">
        <v>568</v>
      </c>
      <c r="F169" s="67">
        <v>3</v>
      </c>
      <c r="G169" s="57"/>
      <c r="H169" s="57"/>
      <c r="I169" s="57"/>
      <c r="J169" s="57"/>
      <c r="K169" s="57"/>
      <c r="L169" s="58"/>
      <c r="M169" s="58"/>
      <c r="N169" s="58">
        <v>3</v>
      </c>
      <c r="O169" s="58"/>
      <c r="P169" s="58"/>
      <c r="Q169" s="58"/>
      <c r="R169" s="58"/>
      <c r="S169" s="50">
        <f t="shared" si="10"/>
        <v>0</v>
      </c>
      <c r="T169" s="41"/>
    </row>
    <row r="170" spans="1:20" customFormat="1" x14ac:dyDescent="0.3">
      <c r="A170" s="63">
        <v>169</v>
      </c>
      <c r="B170" s="64">
        <v>53141602</v>
      </c>
      <c r="C170" s="64" t="s">
        <v>572</v>
      </c>
      <c r="D170" s="70" t="s">
        <v>392</v>
      </c>
      <c r="E170" s="66" t="s">
        <v>568</v>
      </c>
      <c r="F170" s="67">
        <v>0</v>
      </c>
      <c r="G170" s="57"/>
      <c r="H170" s="57"/>
      <c r="I170" s="57"/>
      <c r="J170" s="57"/>
      <c r="K170" s="57"/>
      <c r="L170" s="58"/>
      <c r="M170" s="58"/>
      <c r="N170" s="58"/>
      <c r="O170" s="58"/>
      <c r="P170" s="58"/>
      <c r="Q170" s="58"/>
      <c r="R170" s="58"/>
      <c r="S170" s="50">
        <f t="shared" si="10"/>
        <v>0</v>
      </c>
      <c r="T170" s="41"/>
    </row>
    <row r="171" spans="1:20" customFormat="1" x14ac:dyDescent="0.3">
      <c r="A171" s="63">
        <v>170</v>
      </c>
      <c r="B171" s="64">
        <v>53141602</v>
      </c>
      <c r="C171" s="64" t="s">
        <v>573</v>
      </c>
      <c r="D171" s="70" t="s">
        <v>392</v>
      </c>
      <c r="E171" s="66" t="s">
        <v>568</v>
      </c>
      <c r="F171" s="67">
        <v>0</v>
      </c>
      <c r="G171" s="57"/>
      <c r="H171" s="57"/>
      <c r="I171" s="57"/>
      <c r="J171" s="57"/>
      <c r="K171" s="57"/>
      <c r="L171" s="58"/>
      <c r="M171" s="58"/>
      <c r="N171" s="58"/>
      <c r="O171" s="58"/>
      <c r="P171" s="58"/>
      <c r="Q171" s="58"/>
      <c r="R171" s="58"/>
      <c r="S171" s="50">
        <f t="shared" si="10"/>
        <v>0</v>
      </c>
      <c r="T171" s="41"/>
    </row>
    <row r="172" spans="1:20" customFormat="1" x14ac:dyDescent="0.3">
      <c r="A172" s="63">
        <v>171</v>
      </c>
      <c r="B172" s="64">
        <v>53141603</v>
      </c>
      <c r="C172" s="64" t="s">
        <v>574</v>
      </c>
      <c r="D172" s="65" t="s">
        <v>392</v>
      </c>
      <c r="E172" s="66" t="s">
        <v>568</v>
      </c>
      <c r="F172" s="67">
        <v>0</v>
      </c>
      <c r="G172" s="57"/>
      <c r="H172" s="57"/>
      <c r="I172" s="57"/>
      <c r="J172" s="57"/>
      <c r="K172" s="57"/>
      <c r="L172" s="58"/>
      <c r="M172" s="58"/>
      <c r="N172" s="58"/>
      <c r="O172" s="58"/>
      <c r="P172" s="58"/>
      <c r="Q172" s="58"/>
      <c r="R172" s="58"/>
      <c r="S172" s="50">
        <f t="shared" si="10"/>
        <v>0</v>
      </c>
      <c r="T172" s="41"/>
    </row>
    <row r="173" spans="1:20" customFormat="1" x14ac:dyDescent="0.3">
      <c r="A173" s="63">
        <v>172</v>
      </c>
      <c r="B173" s="64">
        <v>23150000</v>
      </c>
      <c r="C173" s="64" t="s">
        <v>575</v>
      </c>
      <c r="D173" s="65" t="s">
        <v>510</v>
      </c>
      <c r="E173" s="66" t="s">
        <v>510</v>
      </c>
      <c r="F173" s="67">
        <v>1</v>
      </c>
      <c r="G173" s="57"/>
      <c r="H173" s="57"/>
      <c r="I173" s="57"/>
      <c r="J173" s="57"/>
      <c r="K173" s="57"/>
      <c r="L173" s="58"/>
      <c r="M173" s="58"/>
      <c r="N173" s="58">
        <v>1</v>
      </c>
      <c r="O173" s="58"/>
      <c r="P173" s="58"/>
      <c r="Q173" s="58"/>
      <c r="R173" s="58"/>
      <c r="S173" s="50">
        <f t="shared" si="10"/>
        <v>0</v>
      </c>
      <c r="T173" s="41"/>
    </row>
    <row r="174" spans="1:20" customFormat="1" x14ac:dyDescent="0.3">
      <c r="A174" s="63">
        <v>173</v>
      </c>
      <c r="B174" s="64">
        <v>23150000</v>
      </c>
      <c r="C174" s="64" t="s">
        <v>576</v>
      </c>
      <c r="D174" s="65"/>
      <c r="E174" s="66"/>
      <c r="F174" s="67">
        <v>0</v>
      </c>
      <c r="G174" s="57"/>
      <c r="H174" s="57"/>
      <c r="I174" s="57"/>
      <c r="J174" s="57"/>
      <c r="K174" s="57"/>
      <c r="L174" s="58"/>
      <c r="M174" s="58"/>
      <c r="N174" s="58"/>
      <c r="O174" s="58"/>
      <c r="P174" s="58"/>
      <c r="Q174" s="58"/>
      <c r="R174" s="58"/>
      <c r="S174" s="50">
        <f t="shared" si="10"/>
        <v>0</v>
      </c>
      <c r="T174" s="41"/>
    </row>
    <row r="175" spans="1:20" customFormat="1" x14ac:dyDescent="0.3">
      <c r="A175" s="63">
        <v>174</v>
      </c>
      <c r="B175" s="64">
        <v>23150000</v>
      </c>
      <c r="C175" s="64" t="s">
        <v>577</v>
      </c>
      <c r="D175" s="65" t="s">
        <v>490</v>
      </c>
      <c r="E175" s="66" t="s">
        <v>490</v>
      </c>
      <c r="F175" s="67">
        <v>0</v>
      </c>
      <c r="G175" s="57"/>
      <c r="H175" s="57"/>
      <c r="I175" s="57"/>
      <c r="J175" s="57"/>
      <c r="K175" s="57"/>
      <c r="L175" s="58"/>
      <c r="M175" s="58"/>
      <c r="N175" s="58"/>
      <c r="O175" s="58"/>
      <c r="P175" s="58"/>
      <c r="Q175" s="58"/>
      <c r="R175" s="58"/>
      <c r="S175" s="50">
        <f t="shared" si="10"/>
        <v>0</v>
      </c>
      <c r="T175" s="41"/>
    </row>
    <row r="176" spans="1:20" customFormat="1" x14ac:dyDescent="0.3">
      <c r="A176" s="63">
        <v>175</v>
      </c>
      <c r="B176" s="64">
        <v>23150000</v>
      </c>
      <c r="C176" s="64" t="s">
        <v>578</v>
      </c>
      <c r="D176" s="65" t="s">
        <v>490</v>
      </c>
      <c r="E176" s="66" t="s">
        <v>490</v>
      </c>
      <c r="F176" s="67">
        <v>0</v>
      </c>
      <c r="G176" s="57"/>
      <c r="H176" s="57"/>
      <c r="I176" s="57"/>
      <c r="J176" s="57"/>
      <c r="K176" s="57"/>
      <c r="L176" s="58"/>
      <c r="M176" s="58"/>
      <c r="N176" s="58"/>
      <c r="O176" s="58"/>
      <c r="P176" s="58"/>
      <c r="Q176" s="58"/>
      <c r="R176" s="58"/>
      <c r="S176" s="50">
        <f t="shared" si="10"/>
        <v>0</v>
      </c>
      <c r="T176" s="41"/>
    </row>
    <row r="177" spans="1:20" customFormat="1" x14ac:dyDescent="0.3">
      <c r="A177" s="63">
        <v>176</v>
      </c>
      <c r="B177" s="64">
        <v>23150000</v>
      </c>
      <c r="C177" s="64" t="s">
        <v>579</v>
      </c>
      <c r="D177" s="65" t="s">
        <v>490</v>
      </c>
      <c r="E177" s="66" t="s">
        <v>490</v>
      </c>
      <c r="F177" s="67">
        <v>0</v>
      </c>
      <c r="G177" s="57"/>
      <c r="H177" s="57"/>
      <c r="I177" s="57"/>
      <c r="J177" s="57"/>
      <c r="K177" s="57"/>
      <c r="L177" s="58"/>
      <c r="M177" s="58"/>
      <c r="N177" s="58"/>
      <c r="O177" s="58"/>
      <c r="P177" s="58"/>
      <c r="Q177" s="58"/>
      <c r="R177" s="58"/>
      <c r="S177" s="50">
        <f t="shared" si="10"/>
        <v>0</v>
      </c>
      <c r="T177" s="41"/>
    </row>
    <row r="178" spans="1:20" customFormat="1" x14ac:dyDescent="0.3">
      <c r="A178" s="63">
        <v>177</v>
      </c>
      <c r="B178" s="64">
        <v>23150000</v>
      </c>
      <c r="C178" s="64" t="s">
        <v>580</v>
      </c>
      <c r="D178" s="65" t="s">
        <v>490</v>
      </c>
      <c r="E178" s="66" t="s">
        <v>21</v>
      </c>
      <c r="F178" s="67">
        <v>1</v>
      </c>
      <c r="G178" s="57"/>
      <c r="H178" s="57"/>
      <c r="I178" s="57"/>
      <c r="J178" s="57"/>
      <c r="K178" s="57"/>
      <c r="L178" s="58"/>
      <c r="M178" s="58"/>
      <c r="N178" s="58">
        <v>1</v>
      </c>
      <c r="O178" s="58"/>
      <c r="P178" s="58"/>
      <c r="Q178" s="58"/>
      <c r="R178" s="58"/>
      <c r="S178" s="50">
        <f t="shared" si="10"/>
        <v>0</v>
      </c>
      <c r="T178" s="41"/>
    </row>
    <row r="179" spans="1:20" customFormat="1" x14ac:dyDescent="0.3">
      <c r="A179" s="63">
        <v>178</v>
      </c>
      <c r="B179" s="64">
        <v>23150000</v>
      </c>
      <c r="C179" s="64" t="s">
        <v>581</v>
      </c>
      <c r="D179" s="65" t="s">
        <v>490</v>
      </c>
      <c r="E179" s="66" t="s">
        <v>21</v>
      </c>
      <c r="F179" s="67">
        <v>0</v>
      </c>
      <c r="G179" s="57"/>
      <c r="H179" s="57"/>
      <c r="I179" s="57"/>
      <c r="J179" s="57"/>
      <c r="K179" s="57"/>
      <c r="L179" s="58"/>
      <c r="M179" s="58"/>
      <c r="N179" s="58"/>
      <c r="O179" s="58"/>
      <c r="P179" s="58"/>
      <c r="Q179" s="58"/>
      <c r="R179" s="58"/>
      <c r="S179" s="50">
        <f t="shared" si="10"/>
        <v>0</v>
      </c>
      <c r="T179" s="41"/>
    </row>
    <row r="180" spans="1:20" customFormat="1" x14ac:dyDescent="0.3">
      <c r="A180" s="63">
        <v>179</v>
      </c>
      <c r="B180" s="64">
        <v>23150000</v>
      </c>
      <c r="C180" s="69" t="s">
        <v>582</v>
      </c>
      <c r="D180" s="65" t="s">
        <v>490</v>
      </c>
      <c r="E180" s="66" t="s">
        <v>21</v>
      </c>
      <c r="F180" s="67">
        <v>0</v>
      </c>
      <c r="G180" s="57"/>
      <c r="H180" s="57"/>
      <c r="I180" s="57"/>
      <c r="J180" s="57"/>
      <c r="K180" s="57"/>
      <c r="L180" s="58"/>
      <c r="M180" s="58"/>
      <c r="N180" s="58"/>
      <c r="O180" s="58"/>
      <c r="P180" s="58"/>
      <c r="Q180" s="58"/>
      <c r="R180" s="58"/>
      <c r="S180" s="50">
        <f t="shared" si="10"/>
        <v>0</v>
      </c>
      <c r="T180" s="41"/>
    </row>
    <row r="181" spans="1:20" customFormat="1" x14ac:dyDescent="0.3">
      <c r="A181" s="63">
        <v>180</v>
      </c>
      <c r="B181" s="64">
        <v>23153022</v>
      </c>
      <c r="C181" s="64" t="s">
        <v>583</v>
      </c>
      <c r="D181" s="65" t="s">
        <v>392</v>
      </c>
      <c r="E181" s="66" t="s">
        <v>21</v>
      </c>
      <c r="F181" s="67">
        <v>1</v>
      </c>
      <c r="G181" s="57"/>
      <c r="H181" s="57"/>
      <c r="I181" s="57"/>
      <c r="J181" s="57"/>
      <c r="K181" s="57"/>
      <c r="L181" s="58"/>
      <c r="M181" s="58"/>
      <c r="N181" s="58">
        <v>1</v>
      </c>
      <c r="O181" s="58"/>
      <c r="P181" s="58"/>
      <c r="Q181" s="58"/>
      <c r="R181" s="58"/>
      <c r="S181" s="50">
        <f t="shared" si="10"/>
        <v>0</v>
      </c>
      <c r="T181" s="41"/>
    </row>
    <row r="182" spans="1:20" customFormat="1" x14ac:dyDescent="0.3">
      <c r="A182" s="63">
        <v>181</v>
      </c>
      <c r="B182" s="64">
        <v>23153022</v>
      </c>
      <c r="C182" s="64" t="s">
        <v>584</v>
      </c>
      <c r="D182" s="65" t="s">
        <v>392</v>
      </c>
      <c r="E182" s="66" t="s">
        <v>21</v>
      </c>
      <c r="F182" s="67">
        <v>1</v>
      </c>
      <c r="G182" s="57"/>
      <c r="H182" s="57"/>
      <c r="I182" s="57"/>
      <c r="J182" s="57"/>
      <c r="K182" s="57"/>
      <c r="L182" s="58"/>
      <c r="M182" s="58"/>
      <c r="N182" s="58">
        <v>1</v>
      </c>
      <c r="O182" s="58"/>
      <c r="P182" s="58"/>
      <c r="Q182" s="58"/>
      <c r="R182" s="58"/>
      <c r="S182" s="50">
        <f t="shared" si="10"/>
        <v>0</v>
      </c>
      <c r="T182" s="41"/>
    </row>
    <row r="183" spans="1:20" customFormat="1" x14ac:dyDescent="0.3">
      <c r="A183" s="63">
        <v>182</v>
      </c>
      <c r="B183" s="64">
        <v>23153022</v>
      </c>
      <c r="C183" s="64" t="s">
        <v>585</v>
      </c>
      <c r="D183" s="65" t="s">
        <v>392</v>
      </c>
      <c r="E183" s="66" t="s">
        <v>21</v>
      </c>
      <c r="F183" s="67">
        <v>0</v>
      </c>
      <c r="G183" s="57"/>
      <c r="H183" s="57"/>
      <c r="I183" s="57"/>
      <c r="J183" s="57"/>
      <c r="K183" s="57"/>
      <c r="L183" s="58"/>
      <c r="M183" s="58"/>
      <c r="N183" s="58"/>
      <c r="O183" s="58"/>
      <c r="P183" s="58"/>
      <c r="Q183" s="58"/>
      <c r="R183" s="58"/>
      <c r="S183" s="50">
        <f t="shared" si="10"/>
        <v>0</v>
      </c>
      <c r="T183" s="41"/>
    </row>
    <row r="184" spans="1:20" customFormat="1" x14ac:dyDescent="0.3">
      <c r="A184" s="63">
        <v>183</v>
      </c>
      <c r="B184" s="64">
        <v>44121700</v>
      </c>
      <c r="C184" s="64" t="s">
        <v>586</v>
      </c>
      <c r="D184" s="65" t="s">
        <v>392</v>
      </c>
      <c r="E184" s="66" t="s">
        <v>21</v>
      </c>
      <c r="F184" s="67">
        <v>1</v>
      </c>
      <c r="G184" s="57"/>
      <c r="H184" s="57"/>
      <c r="I184" s="57"/>
      <c r="J184" s="57"/>
      <c r="K184" s="57"/>
      <c r="L184" s="58"/>
      <c r="M184" s="58"/>
      <c r="N184" s="58"/>
      <c r="O184" s="58"/>
      <c r="P184" s="58"/>
      <c r="Q184" s="58">
        <v>1</v>
      </c>
      <c r="R184" s="58"/>
      <c r="S184" s="50">
        <f t="shared" si="10"/>
        <v>0</v>
      </c>
      <c r="T184" s="41"/>
    </row>
    <row r="185" spans="1:20" customFormat="1" x14ac:dyDescent="0.3">
      <c r="A185" s="63">
        <v>184</v>
      </c>
      <c r="B185" s="64">
        <v>41110000</v>
      </c>
      <c r="C185" s="64" t="s">
        <v>587</v>
      </c>
      <c r="D185" s="65" t="s">
        <v>392</v>
      </c>
      <c r="E185" s="66" t="s">
        <v>86</v>
      </c>
      <c r="F185" s="67">
        <v>1</v>
      </c>
      <c r="G185" s="57"/>
      <c r="H185" s="57"/>
      <c r="I185" s="57"/>
      <c r="J185" s="57"/>
      <c r="K185" s="57"/>
      <c r="L185" s="58"/>
      <c r="M185" s="58"/>
      <c r="N185" s="58">
        <v>1</v>
      </c>
      <c r="O185" s="58"/>
      <c r="P185" s="58"/>
      <c r="Q185" s="58"/>
      <c r="R185" s="58"/>
      <c r="S185" s="50">
        <f t="shared" si="10"/>
        <v>0</v>
      </c>
      <c r="T185" s="41"/>
    </row>
    <row r="186" spans="1:20" customFormat="1" x14ac:dyDescent="0.3">
      <c r="A186" s="63">
        <v>185</v>
      </c>
      <c r="B186" s="64">
        <v>60106211</v>
      </c>
      <c r="C186" s="64" t="s">
        <v>588</v>
      </c>
      <c r="D186" s="65" t="s">
        <v>392</v>
      </c>
      <c r="E186" s="66" t="s">
        <v>21</v>
      </c>
      <c r="F186" s="67">
        <v>0</v>
      </c>
      <c r="G186" s="57"/>
      <c r="H186" s="57"/>
      <c r="I186" s="57"/>
      <c r="J186" s="57"/>
      <c r="K186" s="57"/>
      <c r="L186" s="58"/>
      <c r="M186" s="58"/>
      <c r="N186" s="58"/>
      <c r="O186" s="58"/>
      <c r="P186" s="58"/>
      <c r="Q186" s="58"/>
      <c r="R186" s="58"/>
      <c r="S186" s="50">
        <f t="shared" si="10"/>
        <v>0</v>
      </c>
      <c r="T186" s="41" t="s">
        <v>589</v>
      </c>
    </row>
    <row r="187" spans="1:20" customFormat="1" x14ac:dyDescent="0.3">
      <c r="A187" s="63">
        <v>186</v>
      </c>
      <c r="B187" s="64">
        <v>23101501</v>
      </c>
      <c r="C187" s="64" t="s">
        <v>590</v>
      </c>
      <c r="D187" s="65" t="s">
        <v>392</v>
      </c>
      <c r="E187" s="66" t="s">
        <v>21</v>
      </c>
      <c r="F187" s="67">
        <v>1</v>
      </c>
      <c r="G187" s="57"/>
      <c r="H187" s="57"/>
      <c r="I187" s="57"/>
      <c r="J187" s="57"/>
      <c r="K187" s="57"/>
      <c r="L187" s="58"/>
      <c r="M187" s="58"/>
      <c r="N187" s="58">
        <v>1</v>
      </c>
      <c r="O187" s="58"/>
      <c r="P187" s="58"/>
      <c r="Q187" s="58"/>
      <c r="R187" s="58"/>
      <c r="S187" s="50">
        <f t="shared" si="10"/>
        <v>0</v>
      </c>
      <c r="T187" s="41"/>
    </row>
    <row r="188" spans="1:20" customFormat="1" x14ac:dyDescent="0.3">
      <c r="A188" s="63">
        <v>187</v>
      </c>
      <c r="B188" s="64">
        <v>27110000</v>
      </c>
      <c r="C188" s="64" t="s">
        <v>591</v>
      </c>
      <c r="D188" s="70" t="s">
        <v>392</v>
      </c>
      <c r="E188" s="66" t="s">
        <v>592</v>
      </c>
      <c r="F188" s="67">
        <v>3</v>
      </c>
      <c r="G188" s="57"/>
      <c r="H188" s="57"/>
      <c r="I188" s="57"/>
      <c r="J188" s="57"/>
      <c r="K188" s="57"/>
      <c r="L188" s="58"/>
      <c r="M188" s="58"/>
      <c r="N188" s="58"/>
      <c r="O188" s="58"/>
      <c r="P188" s="58"/>
      <c r="Q188" s="58">
        <v>3</v>
      </c>
      <c r="R188" s="58"/>
      <c r="S188" s="50">
        <f t="shared" si="10"/>
        <v>0</v>
      </c>
      <c r="T188" s="41"/>
    </row>
    <row r="189" spans="1:20" customFormat="1" x14ac:dyDescent="0.3">
      <c r="A189" s="63">
        <v>188</v>
      </c>
      <c r="B189" s="64">
        <v>23101537</v>
      </c>
      <c r="C189" s="64" t="s">
        <v>593</v>
      </c>
      <c r="D189" s="70" t="s">
        <v>392</v>
      </c>
      <c r="E189" s="66" t="s">
        <v>594</v>
      </c>
      <c r="F189" s="67">
        <v>5</v>
      </c>
      <c r="G189" s="57"/>
      <c r="H189" s="57"/>
      <c r="I189" s="57"/>
      <c r="J189" s="57"/>
      <c r="K189" s="57"/>
      <c r="L189" s="58"/>
      <c r="M189" s="58"/>
      <c r="N189" s="58">
        <v>5</v>
      </c>
      <c r="O189" s="58"/>
      <c r="P189" s="58"/>
      <c r="Q189" s="58"/>
      <c r="R189" s="58"/>
      <c r="S189" s="50">
        <f t="shared" si="10"/>
        <v>0</v>
      </c>
      <c r="T189" s="41"/>
    </row>
    <row r="190" spans="1:20" customFormat="1" x14ac:dyDescent="0.3">
      <c r="A190" s="63">
        <v>189</v>
      </c>
      <c r="B190" s="93">
        <v>23101509</v>
      </c>
      <c r="C190" s="94" t="s">
        <v>595</v>
      </c>
      <c r="D190" s="70" t="s">
        <v>392</v>
      </c>
      <c r="E190" s="66" t="s">
        <v>21</v>
      </c>
      <c r="F190" s="67">
        <v>1</v>
      </c>
      <c r="G190" s="57"/>
      <c r="H190" s="57"/>
      <c r="I190" s="57"/>
      <c r="J190" s="57">
        <v>1</v>
      </c>
      <c r="K190" s="57"/>
      <c r="L190" s="58"/>
      <c r="M190" s="58"/>
      <c r="N190" s="58"/>
      <c r="O190" s="58"/>
      <c r="P190" s="58"/>
      <c r="Q190" s="58"/>
      <c r="R190" s="58"/>
      <c r="S190" s="50">
        <f t="shared" si="10"/>
        <v>0</v>
      </c>
      <c r="T190" s="41"/>
    </row>
    <row r="191" spans="1:20" customFormat="1" ht="41.4" x14ac:dyDescent="0.3">
      <c r="A191" s="63">
        <v>190</v>
      </c>
      <c r="B191" s="93">
        <v>23101509</v>
      </c>
      <c r="C191" s="95" t="s">
        <v>596</v>
      </c>
      <c r="D191" s="65" t="s">
        <v>392</v>
      </c>
      <c r="E191" s="66" t="s">
        <v>21</v>
      </c>
      <c r="F191" s="67">
        <v>1</v>
      </c>
      <c r="G191" s="57"/>
      <c r="H191" s="57"/>
      <c r="I191" s="57"/>
      <c r="J191" s="57"/>
      <c r="K191" s="57"/>
      <c r="L191" s="58"/>
      <c r="M191" s="58"/>
      <c r="N191" s="58">
        <v>1</v>
      </c>
      <c r="O191" s="58"/>
      <c r="P191" s="58"/>
      <c r="Q191" s="58"/>
      <c r="R191" s="58"/>
      <c r="S191" s="50">
        <f t="shared" si="10"/>
        <v>0</v>
      </c>
      <c r="T191" s="41"/>
    </row>
    <row r="192" spans="1:20" customFormat="1" x14ac:dyDescent="0.3">
      <c r="A192" s="63">
        <v>191</v>
      </c>
      <c r="B192" s="92">
        <v>23101537</v>
      </c>
      <c r="C192" s="94" t="s">
        <v>597</v>
      </c>
      <c r="D192" s="65" t="s">
        <v>392</v>
      </c>
      <c r="E192" s="66" t="s">
        <v>598</v>
      </c>
      <c r="F192" s="67">
        <v>3</v>
      </c>
      <c r="G192" s="57"/>
      <c r="H192" s="57"/>
      <c r="I192" s="57"/>
      <c r="J192" s="57"/>
      <c r="K192" s="57"/>
      <c r="L192" s="58"/>
      <c r="M192" s="58"/>
      <c r="N192" s="58">
        <v>1</v>
      </c>
      <c r="O192" s="58"/>
      <c r="P192" s="58"/>
      <c r="Q192" s="58">
        <v>3</v>
      </c>
      <c r="R192" s="58"/>
      <c r="S192" s="50">
        <f t="shared" si="10"/>
        <v>-1</v>
      </c>
      <c r="T192" s="41"/>
    </row>
    <row r="193" spans="1:20" customFormat="1" x14ac:dyDescent="0.3">
      <c r="A193" s="63">
        <v>192</v>
      </c>
      <c r="B193" s="92">
        <v>23101537</v>
      </c>
      <c r="C193" s="94" t="s">
        <v>599</v>
      </c>
      <c r="D193" s="65" t="s">
        <v>392</v>
      </c>
      <c r="E193" s="66" t="s">
        <v>21</v>
      </c>
      <c r="F193" s="67">
        <v>3</v>
      </c>
      <c r="G193" s="57"/>
      <c r="H193" s="57"/>
      <c r="I193" s="57"/>
      <c r="J193" s="57"/>
      <c r="K193" s="57"/>
      <c r="L193" s="58"/>
      <c r="M193" s="58"/>
      <c r="N193" s="58"/>
      <c r="O193" s="58"/>
      <c r="P193" s="58"/>
      <c r="Q193" s="58"/>
      <c r="R193" s="58"/>
      <c r="S193" s="50">
        <f t="shared" si="10"/>
        <v>3</v>
      </c>
      <c r="T193" s="41"/>
    </row>
    <row r="194" spans="1:20" customFormat="1" x14ac:dyDescent="0.3">
      <c r="A194" s="63">
        <v>193</v>
      </c>
      <c r="B194" s="92">
        <v>22101619</v>
      </c>
      <c r="C194" s="94" t="s">
        <v>600</v>
      </c>
      <c r="D194" s="65" t="s">
        <v>392</v>
      </c>
      <c r="E194" s="66" t="s">
        <v>21</v>
      </c>
      <c r="F194" s="67">
        <v>1</v>
      </c>
      <c r="G194" s="57"/>
      <c r="H194" s="57"/>
      <c r="I194" s="57"/>
      <c r="J194" s="57"/>
      <c r="K194" s="57"/>
      <c r="L194" s="58"/>
      <c r="M194" s="58"/>
      <c r="N194" s="58">
        <v>1</v>
      </c>
      <c r="O194" s="58"/>
      <c r="P194" s="58"/>
      <c r="Q194" s="58"/>
      <c r="R194" s="58"/>
      <c r="S194" s="50">
        <f t="shared" si="10"/>
        <v>0</v>
      </c>
      <c r="T194" s="41"/>
    </row>
    <row r="195" spans="1:20" customFormat="1" x14ac:dyDescent="0.3">
      <c r="A195" s="63">
        <v>194</v>
      </c>
      <c r="B195" s="92">
        <v>23131601</v>
      </c>
      <c r="C195" s="94" t="s">
        <v>601</v>
      </c>
      <c r="D195" s="65" t="s">
        <v>392</v>
      </c>
      <c r="E195" s="66" t="s">
        <v>21</v>
      </c>
      <c r="F195" s="67">
        <v>3</v>
      </c>
      <c r="G195" s="57"/>
      <c r="H195" s="57"/>
      <c r="I195" s="57"/>
      <c r="J195" s="57"/>
      <c r="K195" s="57"/>
      <c r="L195" s="58"/>
      <c r="M195" s="58"/>
      <c r="N195" s="58">
        <v>3</v>
      </c>
      <c r="O195" s="58"/>
      <c r="P195" s="58"/>
      <c r="Q195" s="58"/>
      <c r="R195" s="58"/>
      <c r="S195" s="50">
        <f t="shared" si="10"/>
        <v>0</v>
      </c>
      <c r="T195" s="51"/>
    </row>
    <row r="196" spans="1:20" customFormat="1" x14ac:dyDescent="0.3">
      <c r="A196" s="63">
        <v>195</v>
      </c>
      <c r="B196" s="70">
        <v>23101502</v>
      </c>
      <c r="C196" s="94" t="s">
        <v>602</v>
      </c>
      <c r="D196" s="65" t="s">
        <v>392</v>
      </c>
      <c r="E196" s="66" t="s">
        <v>21</v>
      </c>
      <c r="F196" s="67">
        <v>1</v>
      </c>
      <c r="G196" s="57"/>
      <c r="H196" s="57"/>
      <c r="I196" s="57"/>
      <c r="J196" s="57"/>
      <c r="K196" s="57"/>
      <c r="L196" s="58"/>
      <c r="M196" s="58"/>
      <c r="N196" s="58">
        <v>1</v>
      </c>
      <c r="O196" s="58"/>
      <c r="P196" s="58"/>
      <c r="Q196" s="58"/>
      <c r="R196" s="58"/>
      <c r="S196" s="50">
        <f t="shared" si="10"/>
        <v>0</v>
      </c>
      <c r="T196" s="51"/>
    </row>
    <row r="197" spans="1:20" customFormat="1" x14ac:dyDescent="0.3">
      <c r="A197" s="63">
        <v>196</v>
      </c>
      <c r="B197" s="70">
        <v>23101502</v>
      </c>
      <c r="C197" s="94" t="s">
        <v>603</v>
      </c>
      <c r="D197" s="65" t="s">
        <v>392</v>
      </c>
      <c r="E197" s="66" t="s">
        <v>21</v>
      </c>
      <c r="F197" s="67">
        <v>2</v>
      </c>
      <c r="G197" s="57"/>
      <c r="H197" s="57"/>
      <c r="I197" s="57"/>
      <c r="J197" s="57">
        <v>0</v>
      </c>
      <c r="K197" s="57">
        <v>2</v>
      </c>
      <c r="L197" s="58"/>
      <c r="M197" s="58"/>
      <c r="N197" s="58"/>
      <c r="O197" s="58"/>
      <c r="P197" s="58"/>
      <c r="Q197" s="58"/>
      <c r="R197" s="58"/>
      <c r="S197" s="50">
        <f t="shared" si="10"/>
        <v>0</v>
      </c>
      <c r="T197" s="51"/>
    </row>
    <row r="198" spans="1:20" customFormat="1" x14ac:dyDescent="0.3">
      <c r="A198" s="63">
        <v>197</v>
      </c>
      <c r="B198" s="92">
        <v>27112748</v>
      </c>
      <c r="C198" s="94" t="s">
        <v>604</v>
      </c>
      <c r="D198" s="65" t="s">
        <v>392</v>
      </c>
      <c r="E198" s="66" t="s">
        <v>21</v>
      </c>
      <c r="F198" s="67">
        <v>1</v>
      </c>
      <c r="G198" s="57"/>
      <c r="H198" s="57"/>
      <c r="I198" s="57"/>
      <c r="J198" s="57">
        <v>1</v>
      </c>
      <c r="K198" s="57"/>
      <c r="L198" s="58"/>
      <c r="M198" s="58"/>
      <c r="N198" s="58"/>
      <c r="O198" s="58"/>
      <c r="P198" s="58"/>
      <c r="Q198" s="58"/>
      <c r="R198" s="58"/>
      <c r="S198" s="50">
        <f t="shared" si="10"/>
        <v>0</v>
      </c>
      <c r="T198" s="51"/>
    </row>
    <row r="199" spans="1:20" customFormat="1" x14ac:dyDescent="0.3">
      <c r="A199" s="63">
        <v>198</v>
      </c>
      <c r="B199" s="92">
        <v>47121602</v>
      </c>
      <c r="C199" s="94" t="s">
        <v>605</v>
      </c>
      <c r="D199" s="65" t="s">
        <v>392</v>
      </c>
      <c r="E199" s="66" t="s">
        <v>21</v>
      </c>
      <c r="F199" s="67">
        <v>1</v>
      </c>
      <c r="G199" s="57"/>
      <c r="H199" s="57"/>
      <c r="I199" s="57"/>
      <c r="J199" s="57"/>
      <c r="K199" s="57"/>
      <c r="L199" s="58"/>
      <c r="M199" s="58"/>
      <c r="N199" s="58">
        <v>1</v>
      </c>
      <c r="O199" s="58"/>
      <c r="P199" s="58"/>
      <c r="Q199" s="58"/>
      <c r="R199" s="58"/>
      <c r="S199" s="50">
        <f t="shared" si="10"/>
        <v>0</v>
      </c>
      <c r="T199" s="51"/>
    </row>
    <row r="200" spans="1:20" customFormat="1" x14ac:dyDescent="0.3">
      <c r="A200" s="63">
        <v>199</v>
      </c>
      <c r="B200" s="92">
        <v>20102104</v>
      </c>
      <c r="C200" s="94" t="s">
        <v>606</v>
      </c>
      <c r="D200" s="65" t="s">
        <v>392</v>
      </c>
      <c r="E200" s="66" t="s">
        <v>86</v>
      </c>
      <c r="F200" s="67">
        <v>1</v>
      </c>
      <c r="G200" s="57"/>
      <c r="H200" s="57"/>
      <c r="I200" s="57"/>
      <c r="J200" s="57"/>
      <c r="K200" s="57"/>
      <c r="L200" s="58"/>
      <c r="M200" s="58"/>
      <c r="N200" s="58"/>
      <c r="O200" s="58"/>
      <c r="P200" s="58"/>
      <c r="Q200" s="58">
        <v>1</v>
      </c>
      <c r="R200" s="58"/>
      <c r="S200" s="50">
        <f t="shared" si="10"/>
        <v>0</v>
      </c>
      <c r="T200" s="51"/>
    </row>
    <row r="201" spans="1:20" customFormat="1" x14ac:dyDescent="0.3">
      <c r="A201" s="63">
        <v>200</v>
      </c>
      <c r="B201" s="92">
        <v>23151607</v>
      </c>
      <c r="C201" s="94" t="s">
        <v>607</v>
      </c>
      <c r="D201" s="65" t="s">
        <v>392</v>
      </c>
      <c r="E201" s="66" t="s">
        <v>21</v>
      </c>
      <c r="F201" s="67">
        <v>4</v>
      </c>
      <c r="G201" s="57"/>
      <c r="H201" s="57"/>
      <c r="I201" s="57"/>
      <c r="J201" s="57"/>
      <c r="K201" s="57"/>
      <c r="L201" s="58"/>
      <c r="M201" s="58"/>
      <c r="N201" s="58">
        <v>4</v>
      </c>
      <c r="O201" s="58"/>
      <c r="P201" s="58"/>
      <c r="Q201" s="58"/>
      <c r="R201" s="58"/>
      <c r="S201" s="50">
        <f t="shared" si="10"/>
        <v>0</v>
      </c>
      <c r="T201" s="51"/>
    </row>
    <row r="202" spans="1:20" customFormat="1" x14ac:dyDescent="0.3">
      <c r="A202" s="63">
        <v>201</v>
      </c>
      <c r="B202" s="92">
        <v>11122000</v>
      </c>
      <c r="C202" s="94" t="s">
        <v>608</v>
      </c>
      <c r="D202" s="65" t="s">
        <v>392</v>
      </c>
      <c r="E202" s="66" t="s">
        <v>609</v>
      </c>
      <c r="F202" s="67">
        <v>7</v>
      </c>
      <c r="G202" s="57"/>
      <c r="H202" s="57"/>
      <c r="I202" s="57"/>
      <c r="J202" s="57"/>
      <c r="K202" s="57"/>
      <c r="L202" s="58"/>
      <c r="M202" s="58"/>
      <c r="N202" s="58"/>
      <c r="O202" s="58"/>
      <c r="P202" s="58">
        <v>4</v>
      </c>
      <c r="Q202" s="58"/>
      <c r="R202" s="58"/>
      <c r="S202" s="50">
        <f t="shared" si="10"/>
        <v>3</v>
      </c>
      <c r="T202" s="51"/>
    </row>
    <row r="203" spans="1:20" customFormat="1" x14ac:dyDescent="0.3">
      <c r="A203" s="63">
        <v>202</v>
      </c>
      <c r="B203" s="92">
        <v>11122000</v>
      </c>
      <c r="C203" s="94" t="s">
        <v>610</v>
      </c>
      <c r="D203" s="65" t="s">
        <v>392</v>
      </c>
      <c r="E203" s="66" t="s">
        <v>609</v>
      </c>
      <c r="F203" s="67">
        <v>5</v>
      </c>
      <c r="G203" s="57"/>
      <c r="H203" s="57"/>
      <c r="I203" s="57"/>
      <c r="J203" s="57"/>
      <c r="K203" s="57"/>
      <c r="L203" s="58"/>
      <c r="M203" s="58"/>
      <c r="N203" s="58"/>
      <c r="O203" s="58"/>
      <c r="P203" s="58">
        <v>5</v>
      </c>
      <c r="Q203" s="58"/>
      <c r="R203" s="58"/>
      <c r="S203" s="50">
        <f t="shared" si="10"/>
        <v>0</v>
      </c>
      <c r="T203" s="51"/>
    </row>
    <row r="204" spans="1:20" customFormat="1" x14ac:dyDescent="0.3">
      <c r="A204" s="96">
        <v>203</v>
      </c>
      <c r="B204" s="70">
        <v>13101601</v>
      </c>
      <c r="C204" s="70" t="s">
        <v>611</v>
      </c>
      <c r="D204" s="70" t="s">
        <v>115</v>
      </c>
      <c r="E204" s="66" t="s">
        <v>115</v>
      </c>
      <c r="F204" s="67">
        <v>36</v>
      </c>
      <c r="G204" s="57"/>
      <c r="H204" s="57"/>
      <c r="I204" s="57"/>
      <c r="J204" s="57"/>
      <c r="K204" s="57"/>
      <c r="L204" s="58"/>
      <c r="M204" s="58"/>
      <c r="N204" s="58"/>
      <c r="O204" s="58"/>
      <c r="P204" s="58"/>
      <c r="Q204" s="58">
        <v>36</v>
      </c>
      <c r="R204" s="58"/>
      <c r="S204" s="50">
        <f t="shared" si="10"/>
        <v>0</v>
      </c>
      <c r="T204" s="51"/>
    </row>
    <row r="205" spans="1:20" customFormat="1" x14ac:dyDescent="0.3">
      <c r="A205" s="97">
        <v>204</v>
      </c>
      <c r="B205" s="70">
        <v>53112002</v>
      </c>
      <c r="C205" s="70" t="s">
        <v>612</v>
      </c>
      <c r="D205" s="70" t="s">
        <v>115</v>
      </c>
      <c r="E205" s="66" t="s">
        <v>115</v>
      </c>
      <c r="F205" s="67">
        <v>36</v>
      </c>
      <c r="G205" s="57"/>
      <c r="H205" s="57"/>
      <c r="I205" s="57"/>
      <c r="J205" s="57"/>
      <c r="K205" s="57"/>
      <c r="L205" s="58"/>
      <c r="M205" s="58"/>
      <c r="N205" s="58"/>
      <c r="O205" s="58">
        <v>36</v>
      </c>
      <c r="P205" s="58"/>
      <c r="Q205" s="58"/>
      <c r="R205" s="58"/>
      <c r="S205" s="50">
        <f t="shared" si="10"/>
        <v>0</v>
      </c>
      <c r="T205" s="51"/>
    </row>
    <row r="206" spans="1:20" customFormat="1" x14ac:dyDescent="0.3">
      <c r="A206" s="98">
        <v>205</v>
      </c>
      <c r="B206" s="92">
        <v>31201610</v>
      </c>
      <c r="C206" s="92" t="s">
        <v>613</v>
      </c>
      <c r="D206" s="92" t="s">
        <v>29</v>
      </c>
      <c r="E206" s="82" t="s">
        <v>614</v>
      </c>
      <c r="F206" s="83">
        <v>15</v>
      </c>
      <c r="G206" s="57"/>
      <c r="H206" s="57"/>
      <c r="I206" s="57"/>
      <c r="J206" s="57"/>
      <c r="K206" s="57"/>
      <c r="L206" s="58"/>
      <c r="M206" s="58"/>
      <c r="N206" s="58">
        <v>5</v>
      </c>
      <c r="O206" s="58"/>
      <c r="P206" s="58"/>
      <c r="Q206" s="58">
        <v>10</v>
      </c>
      <c r="R206" s="58"/>
      <c r="S206" s="50">
        <f t="shared" si="10"/>
        <v>0</v>
      </c>
      <c r="T206" s="51"/>
    </row>
    <row r="207" spans="1:20" x14ac:dyDescent="0.3">
      <c r="A207" s="99">
        <v>206</v>
      </c>
      <c r="B207" s="100">
        <v>12191602</v>
      </c>
      <c r="C207" s="100" t="s">
        <v>615</v>
      </c>
      <c r="D207" s="100" t="s">
        <v>29</v>
      </c>
      <c r="E207" s="100" t="s">
        <v>616</v>
      </c>
      <c r="F207" s="101">
        <v>10</v>
      </c>
      <c r="G207" s="102">
        <v>5</v>
      </c>
      <c r="H207" s="62">
        <v>5</v>
      </c>
      <c r="I207" s="62"/>
      <c r="J207" s="62"/>
      <c r="K207" s="62"/>
      <c r="L207" s="59"/>
      <c r="M207" s="59"/>
      <c r="N207" s="59"/>
      <c r="O207" s="59"/>
      <c r="P207" s="59"/>
      <c r="Q207" s="59"/>
      <c r="R207" s="59"/>
      <c r="S207" s="102">
        <f t="shared" si="10"/>
        <v>0</v>
      </c>
    </row>
    <row r="208" spans="1:20" customFormat="1" x14ac:dyDescent="0.3">
      <c r="A208" s="103">
        <v>207</v>
      </c>
      <c r="B208" s="88">
        <v>56101543</v>
      </c>
      <c r="C208" s="104" t="s">
        <v>617</v>
      </c>
      <c r="D208" s="88" t="s">
        <v>392</v>
      </c>
      <c r="E208" s="46" t="s">
        <v>21</v>
      </c>
      <c r="F208" s="61">
        <v>2</v>
      </c>
      <c r="G208" s="62"/>
      <c r="H208" s="62"/>
      <c r="I208" s="62"/>
      <c r="J208" s="62"/>
      <c r="K208" s="62"/>
      <c r="L208" s="59"/>
      <c r="M208" s="59"/>
      <c r="N208" s="59">
        <v>2</v>
      </c>
      <c r="O208" s="59"/>
      <c r="P208" s="59"/>
      <c r="Q208" s="59"/>
      <c r="R208" s="59"/>
      <c r="S208" s="50">
        <f t="shared" si="10"/>
        <v>0</v>
      </c>
      <c r="T208" s="51"/>
    </row>
    <row r="209" spans="1:20" customFormat="1" x14ac:dyDescent="0.3">
      <c r="A209" s="97">
        <v>208</v>
      </c>
      <c r="B209" s="70">
        <v>13111008</v>
      </c>
      <c r="C209" s="70" t="s">
        <v>618</v>
      </c>
      <c r="D209" s="70" t="s">
        <v>115</v>
      </c>
      <c r="E209" s="66" t="s">
        <v>115</v>
      </c>
      <c r="F209" s="67">
        <v>50</v>
      </c>
      <c r="G209" s="57"/>
      <c r="H209" s="57"/>
      <c r="I209" s="57"/>
      <c r="J209" s="57"/>
      <c r="K209" s="57"/>
      <c r="L209" s="58"/>
      <c r="M209" s="58"/>
      <c r="N209" s="58">
        <v>50</v>
      </c>
      <c r="O209" s="58"/>
      <c r="P209" s="58"/>
      <c r="Q209" s="58"/>
      <c r="R209" s="58"/>
      <c r="S209" s="50">
        <f t="shared" si="10"/>
        <v>0</v>
      </c>
      <c r="T209" s="51"/>
    </row>
    <row r="210" spans="1:20" customFormat="1" x14ac:dyDescent="0.3">
      <c r="A210" s="97">
        <v>209</v>
      </c>
      <c r="B210" s="105">
        <v>23241601</v>
      </c>
      <c r="C210" s="94" t="s">
        <v>619</v>
      </c>
      <c r="D210" s="106" t="s">
        <v>392</v>
      </c>
      <c r="E210" s="107" t="s">
        <v>21</v>
      </c>
      <c r="F210" s="67">
        <v>3</v>
      </c>
      <c r="G210" s="57"/>
      <c r="H210" s="57"/>
      <c r="I210" s="57"/>
      <c r="J210" s="57"/>
      <c r="K210" s="57"/>
      <c r="L210" s="58"/>
      <c r="M210" s="58"/>
      <c r="N210" s="58"/>
      <c r="O210" s="58"/>
      <c r="P210" s="58"/>
      <c r="Q210" s="58"/>
      <c r="R210" s="58"/>
      <c r="S210" s="50">
        <f t="shared" ref="S210:S226" si="11">F210-G210-H210-I210-J210-K210-L210-M210-N210-O210-P210-Q210-R210</f>
        <v>3</v>
      </c>
      <c r="T210" s="51"/>
    </row>
    <row r="211" spans="1:20" customFormat="1" x14ac:dyDescent="0.3">
      <c r="A211" s="97">
        <v>210</v>
      </c>
      <c r="B211" s="105">
        <v>23241601</v>
      </c>
      <c r="C211" s="94" t="s">
        <v>620</v>
      </c>
      <c r="D211" s="65" t="s">
        <v>392</v>
      </c>
      <c r="E211" s="66" t="s">
        <v>21</v>
      </c>
      <c r="F211" s="67">
        <v>3</v>
      </c>
      <c r="G211" s="57"/>
      <c r="H211" s="57"/>
      <c r="I211" s="57"/>
      <c r="J211" s="57"/>
      <c r="K211" s="57"/>
      <c r="L211" s="58"/>
      <c r="M211" s="58"/>
      <c r="N211" s="58"/>
      <c r="O211" s="58"/>
      <c r="P211" s="58"/>
      <c r="Q211" s="58"/>
      <c r="R211" s="58"/>
      <c r="S211" s="50">
        <f t="shared" si="11"/>
        <v>3</v>
      </c>
      <c r="T211" s="51"/>
    </row>
    <row r="212" spans="1:20" customFormat="1" x14ac:dyDescent="0.3">
      <c r="A212" s="97">
        <v>211</v>
      </c>
      <c r="B212" s="105">
        <v>23241601</v>
      </c>
      <c r="C212" s="94" t="s">
        <v>621</v>
      </c>
      <c r="D212" s="65" t="s">
        <v>392</v>
      </c>
      <c r="E212" s="66" t="s">
        <v>21</v>
      </c>
      <c r="F212" s="67">
        <v>3</v>
      </c>
      <c r="G212" s="57"/>
      <c r="H212" s="57"/>
      <c r="I212" s="57"/>
      <c r="J212" s="57"/>
      <c r="K212" s="57"/>
      <c r="L212" s="58"/>
      <c r="M212" s="58">
        <v>2</v>
      </c>
      <c r="N212" s="58"/>
      <c r="O212" s="58"/>
      <c r="P212" s="58"/>
      <c r="Q212" s="58"/>
      <c r="R212" s="58"/>
      <c r="S212" s="50">
        <f t="shared" si="11"/>
        <v>1</v>
      </c>
      <c r="T212" s="51"/>
    </row>
    <row r="213" spans="1:20" customFormat="1" x14ac:dyDescent="0.3">
      <c r="A213" s="97">
        <v>212</v>
      </c>
      <c r="B213" s="105">
        <v>23232001</v>
      </c>
      <c r="C213" s="94" t="s">
        <v>622</v>
      </c>
      <c r="D213" s="65" t="s">
        <v>392</v>
      </c>
      <c r="E213" s="66" t="s">
        <v>21</v>
      </c>
      <c r="F213" s="67">
        <v>3</v>
      </c>
      <c r="G213" s="57"/>
      <c r="H213" s="57"/>
      <c r="I213" s="57"/>
      <c r="J213" s="57"/>
      <c r="K213" s="57"/>
      <c r="L213" s="58"/>
      <c r="M213" s="58">
        <v>2</v>
      </c>
      <c r="N213" s="58"/>
      <c r="O213" s="58"/>
      <c r="P213" s="58"/>
      <c r="Q213" s="58"/>
      <c r="R213" s="58">
        <v>1</v>
      </c>
      <c r="S213" s="50">
        <f t="shared" si="11"/>
        <v>0</v>
      </c>
      <c r="T213" s="51"/>
    </row>
    <row r="214" spans="1:20" customFormat="1" x14ac:dyDescent="0.3">
      <c r="A214" s="97">
        <v>213</v>
      </c>
      <c r="B214" s="105">
        <v>31161510</v>
      </c>
      <c r="C214" s="94" t="s">
        <v>623</v>
      </c>
      <c r="D214" s="65" t="s">
        <v>392</v>
      </c>
      <c r="E214" s="66" t="s">
        <v>21</v>
      </c>
      <c r="F214" s="67">
        <v>10</v>
      </c>
      <c r="G214" s="57"/>
      <c r="H214" s="57"/>
      <c r="I214" s="57"/>
      <c r="J214" s="57"/>
      <c r="K214" s="57"/>
      <c r="L214" s="58"/>
      <c r="M214" s="58">
        <v>10</v>
      </c>
      <c r="N214" s="58"/>
      <c r="O214" s="58"/>
      <c r="P214" s="58"/>
      <c r="Q214" s="58"/>
      <c r="R214" s="58"/>
      <c r="S214" s="50">
        <f t="shared" si="11"/>
        <v>0</v>
      </c>
      <c r="T214" s="51"/>
    </row>
    <row r="215" spans="1:20" customFormat="1" x14ac:dyDescent="0.3">
      <c r="A215" s="97">
        <v>214</v>
      </c>
      <c r="B215" s="105">
        <v>23232001</v>
      </c>
      <c r="C215" s="94" t="s">
        <v>624</v>
      </c>
      <c r="D215" s="65" t="s">
        <v>392</v>
      </c>
      <c r="E215" s="66" t="s">
        <v>21</v>
      </c>
      <c r="F215" s="67">
        <v>2</v>
      </c>
      <c r="G215" s="57"/>
      <c r="H215" s="57"/>
      <c r="I215" s="57"/>
      <c r="J215" s="57"/>
      <c r="K215" s="57"/>
      <c r="L215" s="58"/>
      <c r="M215" s="58">
        <v>1</v>
      </c>
      <c r="N215" s="58"/>
      <c r="O215" s="58"/>
      <c r="P215" s="58"/>
      <c r="Q215" s="58"/>
      <c r="R215" s="58"/>
      <c r="S215" s="50">
        <f t="shared" si="11"/>
        <v>1</v>
      </c>
      <c r="T215" s="51"/>
    </row>
    <row r="216" spans="1:20" customFormat="1" x14ac:dyDescent="0.3">
      <c r="A216" s="97">
        <v>215</v>
      </c>
      <c r="B216" s="105">
        <v>23232001</v>
      </c>
      <c r="C216" s="94" t="s">
        <v>625</v>
      </c>
      <c r="D216" s="65" t="s">
        <v>392</v>
      </c>
      <c r="E216" s="66" t="s">
        <v>21</v>
      </c>
      <c r="F216" s="67">
        <v>1</v>
      </c>
      <c r="G216" s="57"/>
      <c r="H216" s="57"/>
      <c r="I216" s="57"/>
      <c r="J216" s="57"/>
      <c r="K216" s="57"/>
      <c r="L216" s="58"/>
      <c r="M216" s="58"/>
      <c r="N216" s="58"/>
      <c r="O216" s="58"/>
      <c r="P216" s="58"/>
      <c r="Q216" s="58"/>
      <c r="R216" s="58"/>
      <c r="S216" s="50">
        <f t="shared" si="11"/>
        <v>1</v>
      </c>
      <c r="T216" s="51"/>
    </row>
    <row r="217" spans="1:20" customFormat="1" x14ac:dyDescent="0.3">
      <c r="A217" s="97">
        <v>216</v>
      </c>
      <c r="B217" s="105">
        <v>27141001</v>
      </c>
      <c r="C217" s="94" t="s">
        <v>626</v>
      </c>
      <c r="D217" s="65" t="s">
        <v>392</v>
      </c>
      <c r="E217" s="66" t="s">
        <v>21</v>
      </c>
      <c r="F217" s="67">
        <v>1</v>
      </c>
      <c r="G217" s="57"/>
      <c r="H217" s="57"/>
      <c r="I217" s="57"/>
      <c r="J217" s="57"/>
      <c r="K217" s="57"/>
      <c r="L217" s="58"/>
      <c r="M217" s="58">
        <v>1</v>
      </c>
      <c r="N217" s="58"/>
      <c r="O217" s="58"/>
      <c r="P217" s="58"/>
      <c r="Q217" s="58"/>
      <c r="R217" s="58"/>
      <c r="S217" s="50">
        <f t="shared" si="11"/>
        <v>0</v>
      </c>
      <c r="T217" s="51"/>
    </row>
    <row r="218" spans="1:20" customFormat="1" x14ac:dyDescent="0.3">
      <c r="A218" s="97">
        <v>217</v>
      </c>
      <c r="B218" s="105">
        <v>27141001</v>
      </c>
      <c r="C218" s="94" t="s">
        <v>627</v>
      </c>
      <c r="D218" s="65" t="s">
        <v>392</v>
      </c>
      <c r="E218" s="66" t="s">
        <v>21</v>
      </c>
      <c r="F218" s="67">
        <v>1</v>
      </c>
      <c r="G218" s="57"/>
      <c r="H218" s="57"/>
      <c r="I218" s="57"/>
      <c r="J218" s="57"/>
      <c r="K218" s="57"/>
      <c r="L218" s="58"/>
      <c r="M218" s="58"/>
      <c r="N218" s="58"/>
      <c r="O218" s="58"/>
      <c r="P218" s="58"/>
      <c r="Q218" s="58"/>
      <c r="R218" s="58"/>
      <c r="S218" s="50">
        <f t="shared" si="11"/>
        <v>1</v>
      </c>
      <c r="T218" s="51"/>
    </row>
    <row r="219" spans="1:20" customFormat="1" x14ac:dyDescent="0.3">
      <c r="A219" s="97">
        <v>218</v>
      </c>
      <c r="B219" s="105">
        <v>27141001</v>
      </c>
      <c r="C219" s="94" t="s">
        <v>628</v>
      </c>
      <c r="D219" s="65" t="s">
        <v>392</v>
      </c>
      <c r="E219" s="66" t="s">
        <v>21</v>
      </c>
      <c r="F219" s="67">
        <v>1</v>
      </c>
      <c r="G219" s="57"/>
      <c r="H219" s="57"/>
      <c r="I219" s="57"/>
      <c r="J219" s="57"/>
      <c r="K219" s="57"/>
      <c r="L219" s="58"/>
      <c r="M219" s="58"/>
      <c r="N219" s="58"/>
      <c r="O219" s="58"/>
      <c r="P219" s="58"/>
      <c r="Q219" s="58"/>
      <c r="R219" s="58"/>
      <c r="S219" s="50">
        <f t="shared" si="11"/>
        <v>1</v>
      </c>
      <c r="T219" s="51"/>
    </row>
    <row r="220" spans="1:20" customFormat="1" x14ac:dyDescent="0.3">
      <c r="A220" s="97">
        <v>219</v>
      </c>
      <c r="B220" s="105">
        <v>47121602</v>
      </c>
      <c r="C220" s="94" t="s">
        <v>629</v>
      </c>
      <c r="D220" s="65" t="s">
        <v>392</v>
      </c>
      <c r="E220" s="66" t="s">
        <v>21</v>
      </c>
      <c r="F220" s="67">
        <v>1</v>
      </c>
      <c r="G220" s="57"/>
      <c r="H220" s="57"/>
      <c r="I220" s="57"/>
      <c r="J220" s="57"/>
      <c r="K220" s="57"/>
      <c r="L220" s="58"/>
      <c r="M220" s="58">
        <v>1</v>
      </c>
      <c r="N220" s="58"/>
      <c r="O220" s="58"/>
      <c r="P220" s="58"/>
      <c r="Q220" s="58"/>
      <c r="R220" s="58"/>
      <c r="S220" s="50">
        <f t="shared" si="11"/>
        <v>0</v>
      </c>
      <c r="T220" s="51"/>
    </row>
    <row r="221" spans="1:20" customFormat="1" x14ac:dyDescent="0.3">
      <c r="A221" s="97">
        <v>220</v>
      </c>
      <c r="B221" s="105">
        <v>27141001</v>
      </c>
      <c r="C221" s="94" t="s">
        <v>630</v>
      </c>
      <c r="D221" s="65" t="s">
        <v>392</v>
      </c>
      <c r="E221" s="66" t="s">
        <v>21</v>
      </c>
      <c r="F221" s="67">
        <v>1</v>
      </c>
      <c r="G221" s="57"/>
      <c r="H221" s="57"/>
      <c r="I221" s="57"/>
      <c r="J221" s="57"/>
      <c r="K221" s="57"/>
      <c r="L221" s="58"/>
      <c r="M221" s="58"/>
      <c r="N221" s="58"/>
      <c r="O221" s="58"/>
      <c r="P221" s="58"/>
      <c r="Q221" s="58"/>
      <c r="R221" s="58"/>
      <c r="S221" s="50">
        <f t="shared" si="11"/>
        <v>1</v>
      </c>
      <c r="T221" s="51"/>
    </row>
    <row r="222" spans="1:20" customFormat="1" x14ac:dyDescent="0.3">
      <c r="A222" s="97">
        <v>221</v>
      </c>
      <c r="B222" s="105">
        <v>27141001</v>
      </c>
      <c r="C222" s="94" t="s">
        <v>631</v>
      </c>
      <c r="D222" s="65" t="s">
        <v>392</v>
      </c>
      <c r="E222" s="66" t="s">
        <v>21</v>
      </c>
      <c r="F222" s="67">
        <v>55</v>
      </c>
      <c r="G222" s="57"/>
      <c r="H222" s="57"/>
      <c r="I222" s="57"/>
      <c r="J222" s="57"/>
      <c r="K222" s="57"/>
      <c r="L222" s="58"/>
      <c r="M222" s="58">
        <v>10</v>
      </c>
      <c r="N222" s="58"/>
      <c r="O222" s="58"/>
      <c r="P222" s="58"/>
      <c r="Q222" s="58"/>
      <c r="R222" s="58">
        <v>10</v>
      </c>
      <c r="S222" s="50">
        <f t="shared" si="11"/>
        <v>35</v>
      </c>
      <c r="T222" s="51"/>
    </row>
    <row r="223" spans="1:20" customFormat="1" x14ac:dyDescent="0.3">
      <c r="A223" s="97">
        <v>222</v>
      </c>
      <c r="B223" s="105">
        <v>26111504</v>
      </c>
      <c r="C223" s="94" t="s">
        <v>632</v>
      </c>
      <c r="D223" s="65" t="s">
        <v>392</v>
      </c>
      <c r="E223" s="66" t="s">
        <v>21</v>
      </c>
      <c r="F223" s="67">
        <v>2</v>
      </c>
      <c r="G223" s="57"/>
      <c r="H223" s="57"/>
      <c r="I223" s="57"/>
      <c r="J223" s="57"/>
      <c r="K223" s="57"/>
      <c r="L223" s="58"/>
      <c r="M223" s="58"/>
      <c r="N223" s="58"/>
      <c r="O223" s="58"/>
      <c r="P223" s="58"/>
      <c r="Q223" s="58"/>
      <c r="R223" s="58"/>
      <c r="S223" s="50">
        <f t="shared" si="11"/>
        <v>2</v>
      </c>
      <c r="T223" s="51"/>
    </row>
    <row r="224" spans="1:20" customFormat="1" x14ac:dyDescent="0.3">
      <c r="A224" s="97">
        <v>223</v>
      </c>
      <c r="B224" s="105">
        <v>23241601</v>
      </c>
      <c r="C224" s="94" t="s">
        <v>633</v>
      </c>
      <c r="D224" s="108" t="s">
        <v>392</v>
      </c>
      <c r="E224" s="107" t="s">
        <v>21</v>
      </c>
      <c r="F224" s="67">
        <v>2</v>
      </c>
      <c r="G224" s="57"/>
      <c r="H224" s="57"/>
      <c r="I224" s="57"/>
      <c r="J224" s="57"/>
      <c r="K224" s="57"/>
      <c r="L224" s="58"/>
      <c r="M224" s="58">
        <v>2</v>
      </c>
      <c r="N224" s="58"/>
      <c r="O224" s="58"/>
      <c r="P224" s="58"/>
      <c r="Q224" s="58"/>
      <c r="R224" s="58"/>
      <c r="S224" s="50">
        <f t="shared" si="11"/>
        <v>0</v>
      </c>
      <c r="T224" s="51"/>
    </row>
    <row r="225" spans="1:20" customFormat="1" x14ac:dyDescent="0.3">
      <c r="A225" s="109">
        <v>224</v>
      </c>
      <c r="B225" s="105">
        <v>27141001</v>
      </c>
      <c r="C225" s="110" t="s">
        <v>634</v>
      </c>
      <c r="D225" s="108" t="s">
        <v>392</v>
      </c>
      <c r="E225" s="107" t="s">
        <v>21</v>
      </c>
      <c r="F225" s="67">
        <v>25</v>
      </c>
      <c r="G225" s="57"/>
      <c r="H225" s="57"/>
      <c r="I225" s="57"/>
      <c r="J225" s="57"/>
      <c r="K225" s="57"/>
      <c r="L225" s="58"/>
      <c r="M225" s="58">
        <v>5</v>
      </c>
      <c r="N225" s="58"/>
      <c r="O225" s="58"/>
      <c r="P225" s="58"/>
      <c r="Q225" s="58"/>
      <c r="R225" s="58">
        <v>15</v>
      </c>
      <c r="S225" s="50">
        <f t="shared" si="11"/>
        <v>5</v>
      </c>
      <c r="T225" s="51"/>
    </row>
    <row r="226" spans="1:20" customFormat="1" x14ac:dyDescent="0.3">
      <c r="A226" s="97">
        <v>225</v>
      </c>
      <c r="B226" s="111">
        <v>27141001</v>
      </c>
      <c r="C226" s="112" t="s">
        <v>635</v>
      </c>
      <c r="D226" s="108" t="s">
        <v>392</v>
      </c>
      <c r="E226" s="107" t="s">
        <v>21</v>
      </c>
      <c r="F226" s="83">
        <v>5</v>
      </c>
      <c r="G226" s="57"/>
      <c r="H226" s="57"/>
      <c r="I226" s="57"/>
      <c r="J226" s="57"/>
      <c r="K226" s="57"/>
      <c r="L226" s="58"/>
      <c r="M226" s="58"/>
      <c r="N226" s="58"/>
      <c r="O226" s="58"/>
      <c r="P226" s="58"/>
      <c r="Q226" s="58"/>
      <c r="R226" s="58">
        <v>5</v>
      </c>
      <c r="S226" s="50">
        <f t="shared" si="11"/>
        <v>0</v>
      </c>
      <c r="T226" s="51"/>
    </row>
    <row r="231" spans="1:20" x14ac:dyDescent="0.3">
      <c r="F231" s="41">
        <f>14*3</f>
        <v>42</v>
      </c>
    </row>
    <row r="232" spans="1:20" x14ac:dyDescent="0.3">
      <c r="F232" s="41">
        <f>3*16</f>
        <v>48</v>
      </c>
    </row>
  </sheetData>
  <conditionalFormatting sqref="B166:C166">
    <cfRule type="containsBlanks" dxfId="2" priority="3">
      <formula>LEN(TRIM(B166))=0</formula>
    </cfRule>
  </conditionalFormatting>
  <conditionalFormatting sqref="B190:C226">
    <cfRule type="containsBlanks" dxfId="1" priority="1">
      <formula>LEN(TRIM(B190))=0</formula>
    </cfRule>
  </conditionalFormatting>
  <conditionalFormatting sqref="C156:C164">
    <cfRule type="containsBlanks" dxfId="0" priority="5">
      <formula>LEN(TRIM(C156))=0</formula>
    </cfRule>
  </conditionalFormatting>
  <dataValidations count="1">
    <dataValidation type="whole" allowBlank="1" showInputMessage="1" showErrorMessage="1" sqref="B190:B191" xr:uid="{5086CFCB-EC80-4331-84B9-A7F140B382A4}">
      <formula1>0</formula1>
      <formula2>9999999999</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FABLAB</vt:lpstr>
      <vt:lpstr>SST</vt:lpstr>
      <vt:lpstr>PELETERIA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Pablo Hoyos Maya</dc:creator>
  <cp:keywords/>
  <dc:description/>
  <cp:lastModifiedBy>Maribel Gil</cp:lastModifiedBy>
  <cp:revision/>
  <dcterms:created xsi:type="dcterms:W3CDTF">2024-08-28T15:32:35Z</dcterms:created>
  <dcterms:modified xsi:type="dcterms:W3CDTF">2026-10-24T01:02:40Z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2024-08-28T15:50:59Z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13d36089-1f2f-4b1b-8151-593db0ad4140</vt:lpwstr>
  </property>
  <property fmtid="{D5CDD505-2E9C-101B-9397-08002B2CF9AE}" pid="8" name="MSIP_Label_fc111285-cafa-4fc9-8a9a-bd902089b24f_ContentBits">
    <vt:lpwstr>0</vt:lpwstr>
  </property>
</Properties>
</file>